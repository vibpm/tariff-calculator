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cons.local\folders_users\userfolder2\i.ryabceva\Desktop\Рабочая\_Калькулятор\08-1 Калькулятор 15.08.2025\"/>
    </mc:Choice>
  </mc:AlternateContent>
  <xr:revisionPtr revIDLastSave="0" documentId="13_ncr:1_{AEF9BDB1-40C1-46C2-8688-91422C16E645}" xr6:coauthVersionLast="36" xr6:coauthVersionMax="47" xr10:uidLastSave="{00000000-0000-0000-0000-000000000000}"/>
  <workbookProtection lockStructure="1"/>
  <bookViews>
    <workbookView xWindow="-108" yWindow="-108" windowWidth="23256" windowHeight="12456" tabRatio="716" xr2:uid="{8E03676D-7357-4BB4-B2AB-4B02B08C007D}"/>
  </bookViews>
  <sheets>
    <sheet name="Калькулятор" sheetId="2" r:id="rId1"/>
    <sheet name="Расчет РС" sheetId="55" r:id="rId2"/>
    <sheet name="Примеры_расчет РС" sheetId="56" r:id="rId3"/>
    <sheet name="Сравнение версий" sheetId="29" r:id="rId4"/>
    <sheet name="Прейскурант НМВ" sheetId="7" r:id="rId5"/>
    <sheet name="КП" sheetId="53" state="hidden" r:id="rId6"/>
    <sheet name="списки" sheetId="32" state="hidden" r:id="rId7"/>
    <sheet name="Данные для сравнения" sheetId="31" state="hidden" r:id="rId8"/>
    <sheet name="ТП" sheetId="54" state="hidden" r:id="rId9"/>
  </sheets>
  <definedNames>
    <definedName name="_xlnm._FilterDatabase" localSheetId="6" hidden="1">списки!$A$50:$H$1086</definedName>
    <definedName name="БАЗОВЫЙ">'Данные для сравнения'!$W$3:$AA$90</definedName>
    <definedName name="МИНИМАЛЬНЫЙ">'Данные для сравнения'!$Q$3:$U$90</definedName>
    <definedName name="Минут">списки!$B$3:$G$23</definedName>
    <definedName name="НМВ">'Прейскурант НМВ'!$M$3:$V$200</definedName>
    <definedName name="НМВ_безНДС">'Прейскурант НМВ'!$AX$3:$BG$200</definedName>
    <definedName name="НМВ_Пользователей">'Прейскурант НМВ'!$AB$3:$AF$100</definedName>
    <definedName name="_xlnm.Print_Area" localSheetId="3">'Сравнение версий'!$B$2:$H$85</definedName>
    <definedName name="ОПТИМАЛЬНЫЙ">'Данные для сравнения'!$K$3:$O$90</definedName>
    <definedName name="ЭКСПЕРТ">'Данные для сравнения'!$E$3:$I$90</definedName>
  </definedNames>
  <calcPr calcId="191029"/>
  <pivotCaches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29" l="1"/>
  <c r="N6" i="29"/>
  <c r="C6" i="29"/>
  <c r="D6" i="29"/>
  <c r="E6" i="29"/>
  <c r="F6" i="29"/>
  <c r="G6" i="29"/>
  <c r="H6" i="29"/>
  <c r="W5" i="31"/>
  <c r="X5" i="31"/>
  <c r="Y5" i="31"/>
  <c r="Z5" i="31"/>
  <c r="AA5" i="31"/>
  <c r="AC5" i="31"/>
  <c r="AD5" i="31"/>
  <c r="AE5" i="31"/>
  <c r="AF5" i="31"/>
  <c r="AH5" i="31"/>
  <c r="AI5" i="31"/>
  <c r="AJ5" i="31"/>
  <c r="AK5" i="31"/>
  <c r="AM5" i="31"/>
  <c r="AN5" i="31"/>
  <c r="AO5" i="31"/>
  <c r="AQ5" i="31"/>
  <c r="AS5" i="31"/>
  <c r="AT5" i="31"/>
  <c r="AU5" i="31"/>
  <c r="AV5" i="31"/>
  <c r="AX5" i="31"/>
  <c r="AY5" i="31"/>
  <c r="AZ5" i="31"/>
  <c r="BA5" i="31"/>
  <c r="BH5" i="31"/>
  <c r="BI5" i="31"/>
  <c r="BJ5" i="31"/>
  <c r="BK5" i="31"/>
  <c r="O17" i="2" l="1"/>
  <c r="P16" i="2"/>
  <c r="Y17" i="2"/>
  <c r="Z16" i="2"/>
  <c r="Y21" i="2" l="1"/>
  <c r="G6" i="54" l="1"/>
  <c r="I98" i="7" l="1"/>
  <c r="AD34" i="2" l="1"/>
  <c r="T34" i="2"/>
  <c r="J34" i="2"/>
  <c r="H51" i="32" l="1"/>
  <c r="M8" i="55" l="1"/>
  <c r="D8" i="55"/>
  <c r="BI5" i="53" l="1"/>
  <c r="BH5" i="53"/>
  <c r="BG5" i="53"/>
  <c r="BF5" i="53"/>
  <c r="BE5" i="53"/>
  <c r="BD5" i="53"/>
  <c r="BC5" i="53"/>
  <c r="BB5" i="53"/>
  <c r="BA5" i="53"/>
  <c r="AZ5" i="53"/>
  <c r="AY5" i="53"/>
  <c r="AX5" i="53"/>
  <c r="AW5" i="53"/>
  <c r="AV5" i="53"/>
  <c r="AU5" i="53"/>
  <c r="AT5" i="53"/>
  <c r="AS5" i="53"/>
  <c r="AR5" i="53"/>
  <c r="AQ5" i="53"/>
  <c r="AP5" i="53"/>
  <c r="AO5" i="53"/>
  <c r="AN5" i="53"/>
  <c r="AM5" i="53"/>
  <c r="AL5" i="53"/>
  <c r="AK5" i="53"/>
  <c r="AJ5" i="53"/>
  <c r="AI5" i="53"/>
  <c r="AH5" i="53"/>
  <c r="AG5" i="53"/>
  <c r="AF5" i="53"/>
  <c r="AE5" i="53"/>
  <c r="AD5" i="53"/>
  <c r="AC5" i="53"/>
  <c r="AB5" i="53"/>
  <c r="AA5" i="53"/>
  <c r="Z5" i="53"/>
  <c r="Y5" i="53"/>
  <c r="X5" i="53"/>
  <c r="W5" i="53"/>
  <c r="V5" i="53"/>
  <c r="U5" i="53"/>
  <c r="T5" i="53"/>
  <c r="S5" i="53"/>
  <c r="R5" i="53"/>
  <c r="Q5" i="53"/>
  <c r="P5" i="53"/>
  <c r="O5" i="53"/>
  <c r="N5" i="53"/>
  <c r="BF83" i="31" l="1"/>
  <c r="BE83" i="31"/>
  <c r="BF82" i="31"/>
  <c r="BE82" i="31"/>
  <c r="BF81" i="31"/>
  <c r="BE81" i="31"/>
  <c r="BF80" i="31"/>
  <c r="BE80" i="31"/>
  <c r="BF79" i="31"/>
  <c r="BE79" i="31"/>
  <c r="BF78" i="31"/>
  <c r="BE78" i="31"/>
  <c r="BF77" i="31"/>
  <c r="BE77" i="31"/>
  <c r="BF76" i="31"/>
  <c r="BE76" i="31"/>
  <c r="BF75" i="31"/>
  <c r="BE75" i="31"/>
  <c r="BF74" i="31"/>
  <c r="BE74" i="31"/>
  <c r="BF73" i="31"/>
  <c r="BE73" i="31"/>
  <c r="BF72" i="31"/>
  <c r="BE72" i="31"/>
  <c r="BF71" i="31"/>
  <c r="BE71" i="31"/>
  <c r="BF70" i="31"/>
  <c r="BE70" i="31"/>
  <c r="BF68" i="31"/>
  <c r="BE68" i="31"/>
  <c r="BD83" i="31"/>
  <c r="BD82" i="31"/>
  <c r="BD81" i="31"/>
  <c r="BD80" i="31"/>
  <c r="BD79" i="31"/>
  <c r="BD78" i="31"/>
  <c r="BD77" i="31"/>
  <c r="BD76" i="31"/>
  <c r="BD75" i="31"/>
  <c r="BD74" i="31"/>
  <c r="BD73" i="31"/>
  <c r="BD72" i="31"/>
  <c r="BD71" i="31"/>
  <c r="BD70" i="31"/>
  <c r="BD68" i="31"/>
  <c r="BC83" i="31"/>
  <c r="BC82" i="31"/>
  <c r="BC81" i="31"/>
  <c r="BC80" i="31"/>
  <c r="BC79" i="31"/>
  <c r="BC78" i="31"/>
  <c r="BC77" i="31"/>
  <c r="BC76" i="31"/>
  <c r="BC75" i="31"/>
  <c r="BC74" i="31"/>
  <c r="BC73" i="31"/>
  <c r="BC72" i="31"/>
  <c r="BC71" i="31"/>
  <c r="BC70" i="31"/>
  <c r="BC68" i="31"/>
  <c r="G8" i="2"/>
  <c r="X9" i="2"/>
  <c r="N9" i="2"/>
  <c r="D9" i="2"/>
  <c r="Y10" i="2" l="1"/>
  <c r="O10" i="2"/>
  <c r="E10" i="2"/>
  <c r="D2" i="2" l="1"/>
  <c r="N2" i="2"/>
  <c r="X2" i="2"/>
  <c r="F29" i="32"/>
  <c r="I241" i="7" l="1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240" i="7"/>
  <c r="N9" i="55" l="1"/>
  <c r="D16" i="55" s="1"/>
  <c r="E16" i="55" s="1"/>
  <c r="E9" i="55"/>
  <c r="D15" i="55" s="1"/>
  <c r="E15" i="55" s="1"/>
  <c r="Q8" i="55"/>
  <c r="H8" i="55"/>
  <c r="Q7" i="55"/>
  <c r="H7" i="55"/>
  <c r="Q6" i="55"/>
  <c r="H6" i="55"/>
  <c r="R3" i="55"/>
  <c r="I3" i="55"/>
  <c r="J8" i="55"/>
  <c r="J7" i="55"/>
  <c r="S6" i="55"/>
  <c r="J6" i="55"/>
  <c r="S7" i="55"/>
  <c r="I944" i="7" l="1"/>
  <c r="I945" i="7"/>
  <c r="I946" i="7"/>
  <c r="I947" i="7"/>
  <c r="I948" i="7"/>
  <c r="I949" i="7"/>
  <c r="I950" i="7"/>
  <c r="I951" i="7"/>
  <c r="I952" i="7"/>
  <c r="R6" i="55"/>
  <c r="R7" i="55"/>
  <c r="I8" i="55"/>
  <c r="I6" i="55"/>
  <c r="I7" i="55"/>
  <c r="S8" i="55"/>
  <c r="F15" i="55" l="1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83" i="32"/>
  <c r="H84" i="32"/>
  <c r="H85" i="32"/>
  <c r="H90" i="32"/>
  <c r="H91" i="32"/>
  <c r="H92" i="32"/>
  <c r="H93" i="32"/>
  <c r="H94" i="32"/>
  <c r="H95" i="32"/>
  <c r="H96" i="32"/>
  <c r="H97" i="32"/>
  <c r="H98" i="32"/>
  <c r="H99" i="32"/>
  <c r="H100" i="32"/>
  <c r="H101" i="32"/>
  <c r="H102" i="32"/>
  <c r="H103" i="32"/>
  <c r="H104" i="32"/>
  <c r="H105" i="32"/>
  <c r="H106" i="32"/>
  <c r="H107" i="32"/>
  <c r="H108" i="32"/>
  <c r="H111" i="32"/>
  <c r="H112" i="32"/>
  <c r="H113" i="32"/>
  <c r="H114" i="32"/>
  <c r="H115" i="32"/>
  <c r="H116" i="32"/>
  <c r="H117" i="32"/>
  <c r="H118" i="32"/>
  <c r="H119" i="32"/>
  <c r="H120" i="32"/>
  <c r="H121" i="32"/>
  <c r="H122" i="32"/>
  <c r="H123" i="32"/>
  <c r="H124" i="32"/>
  <c r="H125" i="32"/>
  <c r="H126" i="32"/>
  <c r="H127" i="32"/>
  <c r="H128" i="32"/>
  <c r="H133" i="32"/>
  <c r="H134" i="32"/>
  <c r="H135" i="32"/>
  <c r="H136" i="32"/>
  <c r="H137" i="32"/>
  <c r="H138" i="32"/>
  <c r="H139" i="32"/>
  <c r="H140" i="32"/>
  <c r="H141" i="32"/>
  <c r="H142" i="32"/>
  <c r="H143" i="32"/>
  <c r="H144" i="32"/>
  <c r="H145" i="32"/>
  <c r="H146" i="32"/>
  <c r="H147" i="32"/>
  <c r="H148" i="32"/>
  <c r="H149" i="32"/>
  <c r="H150" i="32"/>
  <c r="H151" i="32"/>
  <c r="H154" i="32"/>
  <c r="H155" i="32"/>
  <c r="H156" i="32"/>
  <c r="H157" i="32"/>
  <c r="H158" i="32"/>
  <c r="H159" i="32"/>
  <c r="H160" i="32"/>
  <c r="H161" i="32"/>
  <c r="H162" i="32"/>
  <c r="H163" i="32"/>
  <c r="H164" i="32"/>
  <c r="H165" i="32"/>
  <c r="H166" i="32"/>
  <c r="H167" i="32"/>
  <c r="H168" i="32"/>
  <c r="H169" i="32"/>
  <c r="H170" i="32"/>
  <c r="H171" i="32"/>
  <c r="H176" i="32"/>
  <c r="H177" i="32"/>
  <c r="H178" i="32"/>
  <c r="H179" i="32"/>
  <c r="H180" i="32"/>
  <c r="H181" i="32"/>
  <c r="H182" i="32"/>
  <c r="H183" i="32"/>
  <c r="H184" i="32"/>
  <c r="H185" i="32"/>
  <c r="H186" i="32"/>
  <c r="H187" i="32"/>
  <c r="H188" i="32"/>
  <c r="H189" i="32"/>
  <c r="H190" i="32"/>
  <c r="H191" i="32"/>
  <c r="H192" i="32"/>
  <c r="H193" i="32"/>
  <c r="H194" i="32"/>
  <c r="H197" i="32"/>
  <c r="H198" i="32"/>
  <c r="H199" i="32"/>
  <c r="H200" i="32"/>
  <c r="H201" i="32"/>
  <c r="H202" i="32"/>
  <c r="H203" i="32"/>
  <c r="H204" i="32"/>
  <c r="H205" i="32"/>
  <c r="H206" i="32"/>
  <c r="H207" i="32"/>
  <c r="H208" i="32"/>
  <c r="H209" i="32"/>
  <c r="H210" i="32"/>
  <c r="H211" i="32"/>
  <c r="H212" i="32"/>
  <c r="H213" i="32"/>
  <c r="H214" i="32"/>
  <c r="H219" i="32"/>
  <c r="H220" i="32"/>
  <c r="H221" i="32"/>
  <c r="H222" i="32"/>
  <c r="H223" i="32"/>
  <c r="H224" i="32"/>
  <c r="H225" i="32"/>
  <c r="H226" i="32"/>
  <c r="H227" i="32"/>
  <c r="H228" i="32"/>
  <c r="H229" i="32"/>
  <c r="H230" i="32"/>
  <c r="H231" i="32"/>
  <c r="H232" i="32"/>
  <c r="H233" i="32"/>
  <c r="H234" i="32"/>
  <c r="H235" i="32"/>
  <c r="H236" i="32"/>
  <c r="H237" i="32"/>
  <c r="H240" i="32"/>
  <c r="H241" i="32"/>
  <c r="H242" i="32"/>
  <c r="H243" i="32"/>
  <c r="H244" i="32"/>
  <c r="H245" i="32"/>
  <c r="H246" i="32"/>
  <c r="H247" i="32"/>
  <c r="H248" i="32"/>
  <c r="H249" i="32"/>
  <c r="H250" i="32"/>
  <c r="H251" i="32"/>
  <c r="H252" i="32"/>
  <c r="H253" i="32"/>
  <c r="H254" i="32"/>
  <c r="H255" i="32"/>
  <c r="H256" i="32"/>
  <c r="H257" i="32"/>
  <c r="H262" i="32"/>
  <c r="H263" i="32"/>
  <c r="H264" i="32"/>
  <c r="H265" i="32"/>
  <c r="H266" i="32"/>
  <c r="H267" i="32"/>
  <c r="H268" i="32"/>
  <c r="H269" i="32"/>
  <c r="H270" i="32"/>
  <c r="H271" i="32"/>
  <c r="H272" i="32"/>
  <c r="H273" i="32"/>
  <c r="H274" i="32"/>
  <c r="H275" i="32"/>
  <c r="H276" i="32"/>
  <c r="H277" i="32"/>
  <c r="H278" i="32"/>
  <c r="H279" i="32"/>
  <c r="H280" i="32"/>
  <c r="H283" i="32"/>
  <c r="H284" i="32"/>
  <c r="H285" i="32"/>
  <c r="H286" i="32"/>
  <c r="H287" i="32"/>
  <c r="H288" i="32"/>
  <c r="H289" i="32"/>
  <c r="H290" i="32"/>
  <c r="H291" i="32"/>
  <c r="H292" i="32"/>
  <c r="H293" i="32"/>
  <c r="H294" i="32"/>
  <c r="H295" i="32"/>
  <c r="H296" i="32"/>
  <c r="H297" i="32"/>
  <c r="H298" i="32"/>
  <c r="H299" i="32"/>
  <c r="H300" i="32"/>
  <c r="H305" i="32"/>
  <c r="H306" i="32"/>
  <c r="H307" i="32"/>
  <c r="H308" i="32"/>
  <c r="H309" i="32"/>
  <c r="H310" i="32"/>
  <c r="H311" i="32"/>
  <c r="H312" i="32"/>
  <c r="H313" i="32"/>
  <c r="H314" i="32"/>
  <c r="H315" i="32"/>
  <c r="H316" i="32"/>
  <c r="H317" i="32"/>
  <c r="H318" i="32"/>
  <c r="H319" i="32"/>
  <c r="H320" i="32"/>
  <c r="H321" i="32"/>
  <c r="H322" i="32"/>
  <c r="H323" i="32"/>
  <c r="H326" i="32"/>
  <c r="H327" i="32"/>
  <c r="H328" i="32"/>
  <c r="H329" i="32"/>
  <c r="H330" i="32"/>
  <c r="H331" i="32"/>
  <c r="H332" i="32"/>
  <c r="H333" i="32"/>
  <c r="H334" i="32"/>
  <c r="H335" i="32"/>
  <c r="H336" i="32"/>
  <c r="H337" i="32"/>
  <c r="H338" i="32"/>
  <c r="H339" i="32"/>
  <c r="H340" i="32"/>
  <c r="H341" i="32"/>
  <c r="H342" i="32"/>
  <c r="H343" i="32"/>
  <c r="H348" i="32"/>
  <c r="H349" i="32"/>
  <c r="H350" i="32"/>
  <c r="H351" i="32"/>
  <c r="H352" i="32"/>
  <c r="H353" i="32"/>
  <c r="H354" i="32"/>
  <c r="H355" i="32"/>
  <c r="H356" i="32"/>
  <c r="H357" i="32"/>
  <c r="H358" i="32"/>
  <c r="H359" i="32"/>
  <c r="H360" i="32"/>
  <c r="H361" i="32"/>
  <c r="H362" i="32"/>
  <c r="H363" i="32"/>
  <c r="H364" i="32"/>
  <c r="H365" i="32"/>
  <c r="H366" i="32"/>
  <c r="H367" i="32"/>
  <c r="H368" i="32"/>
  <c r="H369" i="32"/>
  <c r="H370" i="32"/>
  <c r="H371" i="32"/>
  <c r="H372" i="32"/>
  <c r="H373" i="32"/>
  <c r="H374" i="32"/>
  <c r="H379" i="32"/>
  <c r="H380" i="32"/>
  <c r="H381" i="32"/>
  <c r="H382" i="32"/>
  <c r="H383" i="32"/>
  <c r="H384" i="32"/>
  <c r="H385" i="32"/>
  <c r="H386" i="32"/>
  <c r="H387" i="32"/>
  <c r="H388" i="32"/>
  <c r="H389" i="32"/>
  <c r="H390" i="32"/>
  <c r="H391" i="32"/>
  <c r="H392" i="32"/>
  <c r="H393" i="32"/>
  <c r="H394" i="32"/>
  <c r="H395" i="32"/>
  <c r="H396" i="32"/>
  <c r="H397" i="32"/>
  <c r="H398" i="32"/>
  <c r="H399" i="32"/>
  <c r="H400" i="32"/>
  <c r="H401" i="32"/>
  <c r="H402" i="32"/>
  <c r="H403" i="32"/>
  <c r="H404" i="32"/>
  <c r="H405" i="32"/>
  <c r="H410" i="32"/>
  <c r="H411" i="32"/>
  <c r="H412" i="32"/>
  <c r="H413" i="32"/>
  <c r="H414" i="32"/>
  <c r="H415" i="32"/>
  <c r="H416" i="32"/>
  <c r="H417" i="32"/>
  <c r="H418" i="32"/>
  <c r="H419" i="32"/>
  <c r="H420" i="32"/>
  <c r="H421" i="32"/>
  <c r="H422" i="32"/>
  <c r="H423" i="32"/>
  <c r="H424" i="32"/>
  <c r="H425" i="32"/>
  <c r="H426" i="32"/>
  <c r="H427" i="32"/>
  <c r="H428" i="32"/>
  <c r="H429" i="32"/>
  <c r="H430" i="32"/>
  <c r="H431" i="32"/>
  <c r="H432" i="32"/>
  <c r="H433" i="32"/>
  <c r="H434" i="32"/>
  <c r="H435" i="32"/>
  <c r="H436" i="32"/>
  <c r="H441" i="32"/>
  <c r="H442" i="32"/>
  <c r="H443" i="32"/>
  <c r="H444" i="32"/>
  <c r="H445" i="32"/>
  <c r="H446" i="32"/>
  <c r="H447" i="32"/>
  <c r="H448" i="32"/>
  <c r="H449" i="32"/>
  <c r="H450" i="32"/>
  <c r="H451" i="32"/>
  <c r="H452" i="32"/>
  <c r="H453" i="32"/>
  <c r="H454" i="32"/>
  <c r="H455" i="32"/>
  <c r="H456" i="32"/>
  <c r="H457" i="32"/>
  <c r="H458" i="32"/>
  <c r="H459" i="32"/>
  <c r="H460" i="32"/>
  <c r="H461" i="32"/>
  <c r="H462" i="32"/>
  <c r="H463" i="32"/>
  <c r="H464" i="32"/>
  <c r="H465" i="32"/>
  <c r="H466" i="32"/>
  <c r="H467" i="32"/>
  <c r="H472" i="32"/>
  <c r="H473" i="32"/>
  <c r="H474" i="32"/>
  <c r="H475" i="32"/>
  <c r="H476" i="32"/>
  <c r="H477" i="32"/>
  <c r="H478" i="32"/>
  <c r="H479" i="32"/>
  <c r="H480" i="32"/>
  <c r="H481" i="32"/>
  <c r="H482" i="32"/>
  <c r="H483" i="32"/>
  <c r="H484" i="32"/>
  <c r="H485" i="32"/>
  <c r="H486" i="32"/>
  <c r="H487" i="32"/>
  <c r="H488" i="32"/>
  <c r="H489" i="32"/>
  <c r="H490" i="32"/>
  <c r="H491" i="32"/>
  <c r="H492" i="32"/>
  <c r="H493" i="32"/>
  <c r="H494" i="32"/>
  <c r="H495" i="32"/>
  <c r="H496" i="32"/>
  <c r="H497" i="32"/>
  <c r="H498" i="32"/>
  <c r="H503" i="32"/>
  <c r="H504" i="32"/>
  <c r="H505" i="32"/>
  <c r="H506" i="32"/>
  <c r="H507" i="32"/>
  <c r="H508" i="32"/>
  <c r="H509" i="32"/>
  <c r="H510" i="32"/>
  <c r="H511" i="32"/>
  <c r="H512" i="32"/>
  <c r="H513" i="32"/>
  <c r="H514" i="32"/>
  <c r="H515" i="32"/>
  <c r="H516" i="32"/>
  <c r="H517" i="32"/>
  <c r="H518" i="32"/>
  <c r="H519" i="32"/>
  <c r="H520" i="32"/>
  <c r="H521" i="32"/>
  <c r="H522" i="32"/>
  <c r="H523" i="32"/>
  <c r="H524" i="32"/>
  <c r="H525" i="32"/>
  <c r="H526" i="32"/>
  <c r="H527" i="32"/>
  <c r="H528" i="32"/>
  <c r="H529" i="32"/>
  <c r="H534" i="32"/>
  <c r="H535" i="32"/>
  <c r="H536" i="32"/>
  <c r="H537" i="32"/>
  <c r="H538" i="32"/>
  <c r="H539" i="32"/>
  <c r="H540" i="32"/>
  <c r="H541" i="32"/>
  <c r="H542" i="32"/>
  <c r="H543" i="32"/>
  <c r="H544" i="32"/>
  <c r="H545" i="32"/>
  <c r="H546" i="32"/>
  <c r="H547" i="32"/>
  <c r="H548" i="32"/>
  <c r="H549" i="32"/>
  <c r="H550" i="32"/>
  <c r="H551" i="32"/>
  <c r="H552" i="32"/>
  <c r="H553" i="32"/>
  <c r="H554" i="32"/>
  <c r="H555" i="32"/>
  <c r="H556" i="32"/>
  <c r="H557" i="32"/>
  <c r="H558" i="32"/>
  <c r="H559" i="32"/>
  <c r="H560" i="32"/>
  <c r="H565" i="32"/>
  <c r="H566" i="32"/>
  <c r="H567" i="32"/>
  <c r="H568" i="32"/>
  <c r="H569" i="32"/>
  <c r="H570" i="32"/>
  <c r="H571" i="32"/>
  <c r="H572" i="32"/>
  <c r="H573" i="32"/>
  <c r="H574" i="32"/>
  <c r="H575" i="32"/>
  <c r="H576" i="32"/>
  <c r="H577" i="32"/>
  <c r="H578" i="32"/>
  <c r="H579" i="32"/>
  <c r="H580" i="32"/>
  <c r="H581" i="32"/>
  <c r="H582" i="32"/>
  <c r="H583" i="32"/>
  <c r="H586" i="32"/>
  <c r="H587" i="32"/>
  <c r="H588" i="32"/>
  <c r="H589" i="32"/>
  <c r="H590" i="32"/>
  <c r="H591" i="32"/>
  <c r="H592" i="32"/>
  <c r="H593" i="32"/>
  <c r="H594" i="32"/>
  <c r="H595" i="32"/>
  <c r="H596" i="32"/>
  <c r="H597" i="32"/>
  <c r="H598" i="32"/>
  <c r="H599" i="32"/>
  <c r="H600" i="32"/>
  <c r="H601" i="32"/>
  <c r="H602" i="32"/>
  <c r="H603" i="32"/>
  <c r="H604" i="32"/>
  <c r="H605" i="32"/>
  <c r="H606" i="32"/>
  <c r="H607" i="32"/>
  <c r="H608" i="32"/>
  <c r="H609" i="32"/>
  <c r="H610" i="32"/>
  <c r="H611" i="32"/>
  <c r="H612" i="32"/>
  <c r="H613" i="32"/>
  <c r="H614" i="32"/>
  <c r="H615" i="32"/>
  <c r="H616" i="32"/>
  <c r="H617" i="32"/>
  <c r="H618" i="32"/>
  <c r="H619" i="32"/>
  <c r="H620" i="32"/>
  <c r="H621" i="32"/>
  <c r="H622" i="32"/>
  <c r="H623" i="32"/>
  <c r="H624" i="32"/>
  <c r="H625" i="32"/>
  <c r="H626" i="32"/>
  <c r="H629" i="32"/>
  <c r="H630" i="32"/>
  <c r="H631" i="32"/>
  <c r="H632" i="32"/>
  <c r="H633" i="32"/>
  <c r="H634" i="32"/>
  <c r="H635" i="32"/>
  <c r="H636" i="32"/>
  <c r="H637" i="32"/>
  <c r="H638" i="32"/>
  <c r="H639" i="32"/>
  <c r="H640" i="32"/>
  <c r="H641" i="32"/>
  <c r="H642" i="32"/>
  <c r="H643" i="32"/>
  <c r="H644" i="32"/>
  <c r="H645" i="32"/>
  <c r="H646" i="32"/>
  <c r="H647" i="32"/>
  <c r="H648" i="32"/>
  <c r="H649" i="32"/>
  <c r="H650" i="32"/>
  <c r="H651" i="32"/>
  <c r="H652" i="32"/>
  <c r="H653" i="32"/>
  <c r="H654" i="32"/>
  <c r="H655" i="32"/>
  <c r="H656" i="32"/>
  <c r="H657" i="32"/>
  <c r="H658" i="32"/>
  <c r="H659" i="32"/>
  <c r="H660" i="32"/>
  <c r="H661" i="32"/>
  <c r="H662" i="32"/>
  <c r="H663" i="32"/>
  <c r="H664" i="32"/>
  <c r="H665" i="32"/>
  <c r="H666" i="32"/>
  <c r="H667" i="32"/>
  <c r="H668" i="32"/>
  <c r="H669" i="32"/>
  <c r="H672" i="32"/>
  <c r="H673" i="32"/>
  <c r="H674" i="32"/>
  <c r="H675" i="32"/>
  <c r="H676" i="32"/>
  <c r="H677" i="32"/>
  <c r="H678" i="32"/>
  <c r="H679" i="32"/>
  <c r="H680" i="32"/>
  <c r="H681" i="32"/>
  <c r="H682" i="32"/>
  <c r="H683" i="32"/>
  <c r="H684" i="32"/>
  <c r="H685" i="32"/>
  <c r="H686" i="32"/>
  <c r="H687" i="32"/>
  <c r="H688" i="32"/>
  <c r="H689" i="32"/>
  <c r="H690" i="32"/>
  <c r="H691" i="32"/>
  <c r="H692" i="32"/>
  <c r="H693" i="32"/>
  <c r="H694" i="32"/>
  <c r="H695" i="32"/>
  <c r="H696" i="32"/>
  <c r="H697" i="32"/>
  <c r="H698" i="32"/>
  <c r="H699" i="32"/>
  <c r="H700" i="32"/>
  <c r="H701" i="32"/>
  <c r="H702" i="32"/>
  <c r="H703" i="32"/>
  <c r="H704" i="32"/>
  <c r="H705" i="32"/>
  <c r="H706" i="32"/>
  <c r="H707" i="32"/>
  <c r="H708" i="32"/>
  <c r="H709" i="32"/>
  <c r="H710" i="32"/>
  <c r="H711" i="32"/>
  <c r="H712" i="32"/>
  <c r="H715" i="32"/>
  <c r="H716" i="32"/>
  <c r="H717" i="32"/>
  <c r="H718" i="32"/>
  <c r="H719" i="32"/>
  <c r="H720" i="32"/>
  <c r="H721" i="32"/>
  <c r="H722" i="32"/>
  <c r="H723" i="32"/>
  <c r="H724" i="32"/>
  <c r="H725" i="32"/>
  <c r="H726" i="32"/>
  <c r="H727" i="32"/>
  <c r="H728" i="32"/>
  <c r="H729" i="32"/>
  <c r="H730" i="32"/>
  <c r="H731" i="32"/>
  <c r="H732" i="32"/>
  <c r="H733" i="32"/>
  <c r="H734" i="32"/>
  <c r="H735" i="32"/>
  <c r="H736" i="32"/>
  <c r="H737" i="32"/>
  <c r="H738" i="32"/>
  <c r="H739" i="32"/>
  <c r="H740" i="32"/>
  <c r="H741" i="32"/>
  <c r="H742" i="32"/>
  <c r="H743" i="32"/>
  <c r="H744" i="32"/>
  <c r="H745" i="32"/>
  <c r="H746" i="32"/>
  <c r="H747" i="32"/>
  <c r="H748" i="32"/>
  <c r="H749" i="32"/>
  <c r="H750" i="32"/>
  <c r="H751" i="32"/>
  <c r="H752" i="32"/>
  <c r="H753" i="32"/>
  <c r="H754" i="32"/>
  <c r="H755" i="32"/>
  <c r="H758" i="32"/>
  <c r="H759" i="32"/>
  <c r="H760" i="32"/>
  <c r="H761" i="32"/>
  <c r="H762" i="32"/>
  <c r="H763" i="32"/>
  <c r="H764" i="32"/>
  <c r="H765" i="32"/>
  <c r="H766" i="32"/>
  <c r="H767" i="32"/>
  <c r="H768" i="32"/>
  <c r="H769" i="32"/>
  <c r="H770" i="32"/>
  <c r="H771" i="32"/>
  <c r="H772" i="32"/>
  <c r="H773" i="32"/>
  <c r="H774" i="32"/>
  <c r="H775" i="32"/>
  <c r="H776" i="32"/>
  <c r="H777" i="32"/>
  <c r="H778" i="32"/>
  <c r="H779" i="32"/>
  <c r="H780" i="32"/>
  <c r="H781" i="32"/>
  <c r="H782" i="32"/>
  <c r="H783" i="32"/>
  <c r="H784" i="32"/>
  <c r="H785" i="32"/>
  <c r="H786" i="32"/>
  <c r="H787" i="32"/>
  <c r="H788" i="32"/>
  <c r="H789" i="32"/>
  <c r="H790" i="32"/>
  <c r="H791" i="32"/>
  <c r="H792" i="32"/>
  <c r="H793" i="32"/>
  <c r="H794" i="32"/>
  <c r="H795" i="32"/>
  <c r="H796" i="32"/>
  <c r="H797" i="32"/>
  <c r="H798" i="32"/>
  <c r="H801" i="32"/>
  <c r="H802" i="32"/>
  <c r="H803" i="32"/>
  <c r="H804" i="32"/>
  <c r="H805" i="32"/>
  <c r="H806" i="32"/>
  <c r="H807" i="32"/>
  <c r="H808" i="32"/>
  <c r="H809" i="32"/>
  <c r="H810" i="32"/>
  <c r="H811" i="32"/>
  <c r="H812" i="32"/>
  <c r="H813" i="32"/>
  <c r="H814" i="32"/>
  <c r="H815" i="32"/>
  <c r="H816" i="32"/>
  <c r="H817" i="32"/>
  <c r="H818" i="32"/>
  <c r="H819" i="32"/>
  <c r="H820" i="32"/>
  <c r="H821" i="32"/>
  <c r="H822" i="32"/>
  <c r="H823" i="32"/>
  <c r="H824" i="32"/>
  <c r="H825" i="32"/>
  <c r="H826" i="32"/>
  <c r="H827" i="32"/>
  <c r="H828" i="32"/>
  <c r="H829" i="32"/>
  <c r="H830" i="32"/>
  <c r="H831" i="32"/>
  <c r="H832" i="32"/>
  <c r="H833" i="32"/>
  <c r="H834" i="32"/>
  <c r="H835" i="32"/>
  <c r="H836" i="32"/>
  <c r="H837" i="32"/>
  <c r="H838" i="32"/>
  <c r="H839" i="32"/>
  <c r="H840" i="32"/>
  <c r="H841" i="32"/>
  <c r="H844" i="32"/>
  <c r="H845" i="32"/>
  <c r="H846" i="32"/>
  <c r="H847" i="32"/>
  <c r="H848" i="32"/>
  <c r="H849" i="32"/>
  <c r="H850" i="32"/>
  <c r="H851" i="32"/>
  <c r="H852" i="32"/>
  <c r="H853" i="32"/>
  <c r="H854" i="32"/>
  <c r="H855" i="32"/>
  <c r="H856" i="32"/>
  <c r="H857" i="32"/>
  <c r="H858" i="32"/>
  <c r="H859" i="32"/>
  <c r="H860" i="32"/>
  <c r="H861" i="32"/>
  <c r="H862" i="32"/>
  <c r="H863" i="32"/>
  <c r="H864" i="32"/>
  <c r="H865" i="32"/>
  <c r="H866" i="32"/>
  <c r="H867" i="32"/>
  <c r="H868" i="32"/>
  <c r="H869" i="32"/>
  <c r="H870" i="32"/>
  <c r="H871" i="32"/>
  <c r="H872" i="32"/>
  <c r="H873" i="32"/>
  <c r="H874" i="32"/>
  <c r="H875" i="32"/>
  <c r="H876" i="32"/>
  <c r="H877" i="32"/>
  <c r="H878" i="32"/>
  <c r="H879" i="32"/>
  <c r="H880" i="32"/>
  <c r="H881" i="32"/>
  <c r="H882" i="32"/>
  <c r="H883" i="32"/>
  <c r="H884" i="32"/>
  <c r="H885" i="32"/>
  <c r="H886" i="32"/>
  <c r="H887" i="32"/>
  <c r="H888" i="32"/>
  <c r="H889" i="32"/>
  <c r="H890" i="32"/>
  <c r="H891" i="32"/>
  <c r="H892" i="32"/>
  <c r="H893" i="32"/>
  <c r="H894" i="32"/>
  <c r="H895" i="32"/>
  <c r="H896" i="32"/>
  <c r="H897" i="32"/>
  <c r="H898" i="32"/>
  <c r="H899" i="32"/>
  <c r="H900" i="32"/>
  <c r="H901" i="32"/>
  <c r="H902" i="32"/>
  <c r="H903" i="32"/>
  <c r="H904" i="32"/>
  <c r="H905" i="32"/>
  <c r="H906" i="32"/>
  <c r="H907" i="32"/>
  <c r="H908" i="32"/>
  <c r="H909" i="32"/>
  <c r="H910" i="32"/>
  <c r="H911" i="32"/>
  <c r="H912" i="32"/>
  <c r="H913" i="32"/>
  <c r="H914" i="32"/>
  <c r="H915" i="32"/>
  <c r="H916" i="32"/>
  <c r="H917" i="32"/>
  <c r="H918" i="32"/>
  <c r="H919" i="32"/>
  <c r="H920" i="32"/>
  <c r="H921" i="32"/>
  <c r="H922" i="32"/>
  <c r="H923" i="32"/>
  <c r="H924" i="32"/>
  <c r="H925" i="32"/>
  <c r="H926" i="32"/>
  <c r="H927" i="32"/>
  <c r="H928" i="32"/>
  <c r="H929" i="32"/>
  <c r="H930" i="32"/>
  <c r="H931" i="32"/>
  <c r="H932" i="32"/>
  <c r="H933" i="32"/>
  <c r="H934" i="32"/>
  <c r="H935" i="32"/>
  <c r="H936" i="32"/>
  <c r="H937" i="32"/>
  <c r="H938" i="32"/>
  <c r="H939" i="32"/>
  <c r="H940" i="32"/>
  <c r="H941" i="32"/>
  <c r="H942" i="32"/>
  <c r="H943" i="32"/>
  <c r="H944" i="32"/>
  <c r="H945" i="32"/>
  <c r="H946" i="32"/>
  <c r="H947" i="32"/>
  <c r="H948" i="32"/>
  <c r="H949" i="32"/>
  <c r="H950" i="32"/>
  <c r="H951" i="32"/>
  <c r="H952" i="32"/>
  <c r="H953" i="32"/>
  <c r="H954" i="32"/>
  <c r="H955" i="32"/>
  <c r="H956" i="32"/>
  <c r="H957" i="32"/>
  <c r="H958" i="32"/>
  <c r="H959" i="32"/>
  <c r="H960" i="32"/>
  <c r="H961" i="32"/>
  <c r="H962" i="32"/>
  <c r="H963" i="32"/>
  <c r="H964" i="32"/>
  <c r="H965" i="32"/>
  <c r="H966" i="32"/>
  <c r="H967" i="32"/>
  <c r="H968" i="32"/>
  <c r="H969" i="32"/>
  <c r="H970" i="32"/>
  <c r="H971" i="32"/>
  <c r="H972" i="32"/>
  <c r="H973" i="32"/>
  <c r="H974" i="32"/>
  <c r="H975" i="32"/>
  <c r="H976" i="32"/>
  <c r="H977" i="32"/>
  <c r="H978" i="32"/>
  <c r="H979" i="32"/>
  <c r="H980" i="32"/>
  <c r="H981" i="32"/>
  <c r="H982" i="32"/>
  <c r="H983" i="32"/>
  <c r="H984" i="32"/>
  <c r="H985" i="32"/>
  <c r="H986" i="32"/>
  <c r="H987" i="32"/>
  <c r="H988" i="32"/>
  <c r="H989" i="32"/>
  <c r="H990" i="32"/>
  <c r="H991" i="32"/>
  <c r="H992" i="32"/>
  <c r="H993" i="32"/>
  <c r="H994" i="32"/>
  <c r="H995" i="32"/>
  <c r="H996" i="32"/>
  <c r="H997" i="32"/>
  <c r="H998" i="32"/>
  <c r="H999" i="32"/>
  <c r="H1000" i="32"/>
  <c r="H1001" i="32"/>
  <c r="H1002" i="32"/>
  <c r="H1003" i="32"/>
  <c r="H1004" i="32"/>
  <c r="H1005" i="32"/>
  <c r="H1006" i="32"/>
  <c r="H1007" i="32"/>
  <c r="H1008" i="32"/>
  <c r="H1009" i="32"/>
  <c r="H1010" i="32"/>
  <c r="H1011" i="32"/>
  <c r="H1012" i="32"/>
  <c r="H1013" i="32"/>
  <c r="H1014" i="32"/>
  <c r="H1015" i="32"/>
  <c r="H1016" i="32"/>
  <c r="H1017" i="32"/>
  <c r="H1018" i="32"/>
  <c r="H1019" i="32"/>
  <c r="H1020" i="32"/>
  <c r="H1021" i="32"/>
  <c r="H1022" i="32"/>
  <c r="H1023" i="32"/>
  <c r="H1024" i="32"/>
  <c r="H1025" i="32"/>
  <c r="H1026" i="32"/>
  <c r="H1027" i="32"/>
  <c r="H1028" i="32"/>
  <c r="H1029" i="32"/>
  <c r="H1030" i="32"/>
  <c r="H1031" i="32"/>
  <c r="H1032" i="32"/>
  <c r="H1033" i="32"/>
  <c r="H1034" i="32"/>
  <c r="H1035" i="32"/>
  <c r="H1036" i="32"/>
  <c r="H1037" i="32"/>
  <c r="H1038" i="32"/>
  <c r="H1039" i="32"/>
  <c r="H1040" i="32"/>
  <c r="H1041" i="32"/>
  <c r="H1042" i="32"/>
  <c r="H1043" i="32"/>
  <c r="H1044" i="32"/>
  <c r="H1045" i="32"/>
  <c r="H1046" i="32"/>
  <c r="H1047" i="32"/>
  <c r="H1048" i="32"/>
  <c r="H1049" i="32"/>
  <c r="H1050" i="32"/>
  <c r="H1051" i="32"/>
  <c r="H1052" i="32"/>
  <c r="H1053" i="32"/>
  <c r="H1054" i="32"/>
  <c r="H1055" i="32"/>
  <c r="H1056" i="32"/>
  <c r="H1057" i="32"/>
  <c r="H1058" i="32"/>
  <c r="H1059" i="32"/>
  <c r="H1060" i="32"/>
  <c r="H1061" i="32"/>
  <c r="H1062" i="32"/>
  <c r="H1063" i="32"/>
  <c r="H1064" i="32"/>
  <c r="H1065" i="32"/>
  <c r="H1066" i="32"/>
  <c r="H1067" i="32"/>
  <c r="H1068" i="32"/>
  <c r="H1069" i="32"/>
  <c r="H1070" i="32"/>
  <c r="H1071" i="32"/>
  <c r="H1072" i="32"/>
  <c r="H1073" i="32"/>
  <c r="H1074" i="32"/>
  <c r="H1075" i="32"/>
  <c r="H1076" i="32"/>
  <c r="H1077" i="32"/>
  <c r="H1078" i="32"/>
  <c r="H1079" i="32"/>
  <c r="H1080" i="32"/>
  <c r="H1081" i="32"/>
  <c r="H1082" i="32"/>
  <c r="H1083" i="32"/>
  <c r="H1084" i="32"/>
  <c r="H1085" i="32"/>
  <c r="H1086" i="32"/>
  <c r="O21" i="2"/>
  <c r="E21" i="2"/>
  <c r="R8" i="55"/>
  <c r="F16" i="55" l="1"/>
  <c r="F17" i="55" s="1"/>
  <c r="X12" i="2"/>
  <c r="D12" i="2"/>
  <c r="N12" i="2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 l="1"/>
  <c r="I937" i="7"/>
  <c r="I938" i="7"/>
  <c r="I939" i="7"/>
  <c r="I940" i="7"/>
  <c r="I941" i="7"/>
  <c r="I942" i="7"/>
  <c r="I943" i="7"/>
  <c r="I953" i="7"/>
  <c r="I239" i="7" l="1"/>
  <c r="I238" i="7"/>
  <c r="I237" i="7"/>
  <c r="I236" i="7"/>
  <c r="I235" i="7"/>
  <c r="I234" i="7"/>
  <c r="I233" i="7"/>
  <c r="I232" i="7"/>
  <c r="I231" i="7"/>
  <c r="I230" i="7"/>
  <c r="I229" i="7"/>
  <c r="I228" i="7"/>
  <c r="I227" i="7"/>
  <c r="I226" i="7"/>
  <c r="I225" i="7"/>
  <c r="I224" i="7"/>
  <c r="I223" i="7"/>
  <c r="I222" i="7"/>
  <c r="N55" i="29" l="1"/>
  <c r="C55" i="29" s="1"/>
  <c r="W54" i="31"/>
  <c r="X54" i="31"/>
  <c r="Y54" i="31"/>
  <c r="Z54" i="31"/>
  <c r="AQ54" i="31" s="1"/>
  <c r="AA54" i="31"/>
  <c r="AC54" i="31"/>
  <c r="AD54" i="31"/>
  <c r="AE54" i="31"/>
  <c r="AF54" i="31"/>
  <c r="AH54" i="31"/>
  <c r="AI54" i="31"/>
  <c r="AJ54" i="31"/>
  <c r="AK54" i="31"/>
  <c r="AM54" i="31"/>
  <c r="AN54" i="31"/>
  <c r="AO54" i="31"/>
  <c r="AS54" i="31"/>
  <c r="AT54" i="31"/>
  <c r="AU54" i="31"/>
  <c r="AV54" i="31"/>
  <c r="AX54" i="31"/>
  <c r="AY54" i="31"/>
  <c r="AZ54" i="31"/>
  <c r="BA54" i="31"/>
  <c r="BH54" i="31"/>
  <c r="BI54" i="31"/>
  <c r="BJ54" i="31"/>
  <c r="BK54" i="31"/>
  <c r="G55" i="29" l="1"/>
  <c r="F55" i="29"/>
  <c r="E55" i="29"/>
  <c r="H55" i="29"/>
  <c r="D55" i="29"/>
  <c r="AC17" i="2"/>
  <c r="S17" i="2"/>
  <c r="D1086" i="32" l="1"/>
  <c r="D1085" i="32"/>
  <c r="D1084" i="32"/>
  <c r="D1083" i="32"/>
  <c r="D1082" i="32"/>
  <c r="D1081" i="32"/>
  <c r="D1080" i="32"/>
  <c r="D1079" i="32"/>
  <c r="D1078" i="32"/>
  <c r="D1077" i="32"/>
  <c r="D1076" i="32"/>
  <c r="D1075" i="32"/>
  <c r="D1074" i="32"/>
  <c r="D1073" i="32"/>
  <c r="D1072" i="32"/>
  <c r="D1071" i="32"/>
  <c r="D1070" i="32"/>
  <c r="D1069" i="32"/>
  <c r="D1068" i="32"/>
  <c r="D1067" i="32"/>
  <c r="D1066" i="32"/>
  <c r="D1065" i="32"/>
  <c r="D1064" i="32"/>
  <c r="D1063" i="32"/>
  <c r="D1062" i="32"/>
  <c r="D1061" i="32"/>
  <c r="D1060" i="32"/>
  <c r="D1059" i="32"/>
  <c r="D1058" i="32"/>
  <c r="D1057" i="32"/>
  <c r="D1056" i="32"/>
  <c r="D1055" i="32"/>
  <c r="D1054" i="32"/>
  <c r="D1053" i="32"/>
  <c r="D1052" i="32"/>
  <c r="D1051" i="32"/>
  <c r="D1050" i="32"/>
  <c r="D1049" i="32"/>
  <c r="D1048" i="32"/>
  <c r="D1047" i="32"/>
  <c r="D1046" i="32"/>
  <c r="D1045" i="32"/>
  <c r="D1044" i="32"/>
  <c r="D1043" i="32"/>
  <c r="D1042" i="32"/>
  <c r="D1041" i="32"/>
  <c r="D1040" i="32"/>
  <c r="D1039" i="32"/>
  <c r="D1038" i="32"/>
  <c r="D1037" i="32"/>
  <c r="D1036" i="32"/>
  <c r="D1035" i="32"/>
  <c r="D1034" i="32"/>
  <c r="D1033" i="32"/>
  <c r="D1032" i="32"/>
  <c r="D1031" i="32"/>
  <c r="D1030" i="32"/>
  <c r="D1029" i="32"/>
  <c r="D1028" i="32"/>
  <c r="D1027" i="32"/>
  <c r="D1026" i="32"/>
  <c r="D1025" i="32"/>
  <c r="D1024" i="32"/>
  <c r="D1023" i="32"/>
  <c r="D1022" i="32"/>
  <c r="D1021" i="32"/>
  <c r="D1020" i="32"/>
  <c r="D1019" i="32"/>
  <c r="D1018" i="32"/>
  <c r="D1017" i="32"/>
  <c r="D1016" i="32"/>
  <c r="D1015" i="32"/>
  <c r="D1014" i="32"/>
  <c r="D1013" i="32"/>
  <c r="D1012" i="32"/>
  <c r="D1011" i="32"/>
  <c r="D1010" i="32"/>
  <c r="D1009" i="32"/>
  <c r="D1008" i="32"/>
  <c r="D1007" i="32"/>
  <c r="D1006" i="32"/>
  <c r="D1005" i="32"/>
  <c r="D1004" i="32"/>
  <c r="D1003" i="32"/>
  <c r="D1002" i="32"/>
  <c r="D1001" i="32"/>
  <c r="D1000" i="32"/>
  <c r="D999" i="32"/>
  <c r="D998" i="32"/>
  <c r="D997" i="32"/>
  <c r="D996" i="32"/>
  <c r="D995" i="32"/>
  <c r="D994" i="32"/>
  <c r="D993" i="32"/>
  <c r="D992" i="32"/>
  <c r="D991" i="32"/>
  <c r="D990" i="32"/>
  <c r="D989" i="32"/>
  <c r="D988" i="32"/>
  <c r="D987" i="32"/>
  <c r="D986" i="32"/>
  <c r="D985" i="32"/>
  <c r="D984" i="32"/>
  <c r="D983" i="32"/>
  <c r="D982" i="32"/>
  <c r="D981" i="32"/>
  <c r="D980" i="32"/>
  <c r="D979" i="32"/>
  <c r="D978" i="32"/>
  <c r="D977" i="32"/>
  <c r="D976" i="32"/>
  <c r="D975" i="32"/>
  <c r="D974" i="32"/>
  <c r="D973" i="32"/>
  <c r="D972" i="32"/>
  <c r="D971" i="32"/>
  <c r="D970" i="32"/>
  <c r="D969" i="32"/>
  <c r="D968" i="32"/>
  <c r="D967" i="32"/>
  <c r="D966" i="32"/>
  <c r="D965" i="32"/>
  <c r="D964" i="32"/>
  <c r="D963" i="32"/>
  <c r="D962" i="32"/>
  <c r="D961" i="32"/>
  <c r="D960" i="32"/>
  <c r="D959" i="32"/>
  <c r="D958" i="32"/>
  <c r="D957" i="32"/>
  <c r="D956" i="32"/>
  <c r="D955" i="32"/>
  <c r="D954" i="32"/>
  <c r="D953" i="32"/>
  <c r="D952" i="32"/>
  <c r="D951" i="32"/>
  <c r="D950" i="32"/>
  <c r="D949" i="32"/>
  <c r="D948" i="32"/>
  <c r="D947" i="32"/>
  <c r="D946" i="32"/>
  <c r="D945" i="32"/>
  <c r="D944" i="32"/>
  <c r="D943" i="32"/>
  <c r="D942" i="32"/>
  <c r="D941" i="32"/>
  <c r="D940" i="32"/>
  <c r="D939" i="32"/>
  <c r="D938" i="32"/>
  <c r="D937" i="32"/>
  <c r="D936" i="32"/>
  <c r="D935" i="32"/>
  <c r="D934" i="32"/>
  <c r="D933" i="32"/>
  <c r="D932" i="32"/>
  <c r="D931" i="32"/>
  <c r="D930" i="32"/>
  <c r="D929" i="32"/>
  <c r="D928" i="32"/>
  <c r="D927" i="32"/>
  <c r="D926" i="32"/>
  <c r="D925" i="32"/>
  <c r="D924" i="32"/>
  <c r="D923" i="32"/>
  <c r="D922" i="32"/>
  <c r="D921" i="32"/>
  <c r="D920" i="32"/>
  <c r="D919" i="32"/>
  <c r="D918" i="32"/>
  <c r="D917" i="32"/>
  <c r="D916" i="32"/>
  <c r="D915" i="32"/>
  <c r="D914" i="32"/>
  <c r="D913" i="32"/>
  <c r="D912" i="32"/>
  <c r="D911" i="32"/>
  <c r="D910" i="32"/>
  <c r="D909" i="32"/>
  <c r="D908" i="32"/>
  <c r="D907" i="32"/>
  <c r="D906" i="32"/>
  <c r="D905" i="32"/>
  <c r="D904" i="32"/>
  <c r="D903" i="32"/>
  <c r="D902" i="32"/>
  <c r="D901" i="32"/>
  <c r="D900" i="32"/>
  <c r="D899" i="32"/>
  <c r="D898" i="32"/>
  <c r="D897" i="32"/>
  <c r="D896" i="32"/>
  <c r="D895" i="32"/>
  <c r="D894" i="32"/>
  <c r="D893" i="32"/>
  <c r="D892" i="32"/>
  <c r="D891" i="32"/>
  <c r="D890" i="32"/>
  <c r="D889" i="32"/>
  <c r="D888" i="32"/>
  <c r="D887" i="32"/>
  <c r="D886" i="32"/>
  <c r="D885" i="32"/>
  <c r="D884" i="32"/>
  <c r="D883" i="32"/>
  <c r="D882" i="32"/>
  <c r="D881" i="32"/>
  <c r="D880" i="32"/>
  <c r="D879" i="32"/>
  <c r="D878" i="32"/>
  <c r="D877" i="32"/>
  <c r="D876" i="32"/>
  <c r="D875" i="32"/>
  <c r="D874" i="32"/>
  <c r="D873" i="32"/>
  <c r="D872" i="32"/>
  <c r="D871" i="32"/>
  <c r="D870" i="32"/>
  <c r="D869" i="32"/>
  <c r="D868" i="32"/>
  <c r="D867" i="32"/>
  <c r="D866" i="32"/>
  <c r="D865" i="32"/>
  <c r="D864" i="32"/>
  <c r="D863" i="32"/>
  <c r="D862" i="32"/>
  <c r="D861" i="32"/>
  <c r="D860" i="32"/>
  <c r="D859" i="32"/>
  <c r="D858" i="32"/>
  <c r="D857" i="32"/>
  <c r="D856" i="32"/>
  <c r="D855" i="32"/>
  <c r="D854" i="32"/>
  <c r="D853" i="32"/>
  <c r="D852" i="32"/>
  <c r="D851" i="32"/>
  <c r="D850" i="32"/>
  <c r="D849" i="32"/>
  <c r="D848" i="32"/>
  <c r="D847" i="32"/>
  <c r="D846" i="32"/>
  <c r="D845" i="32"/>
  <c r="D844" i="32"/>
  <c r="D843" i="32"/>
  <c r="D842" i="32"/>
  <c r="D841" i="32"/>
  <c r="D840" i="32"/>
  <c r="D839" i="32"/>
  <c r="D838" i="32"/>
  <c r="D837" i="32"/>
  <c r="D836" i="32"/>
  <c r="D835" i="32"/>
  <c r="D834" i="32"/>
  <c r="D833" i="32"/>
  <c r="D832" i="32"/>
  <c r="D831" i="32"/>
  <c r="D830" i="32"/>
  <c r="D829" i="32"/>
  <c r="D828" i="32"/>
  <c r="D827" i="32"/>
  <c r="D826" i="32"/>
  <c r="D825" i="32"/>
  <c r="D824" i="32"/>
  <c r="D823" i="32"/>
  <c r="D822" i="32"/>
  <c r="D821" i="32"/>
  <c r="D820" i="32"/>
  <c r="D819" i="32"/>
  <c r="D818" i="32"/>
  <c r="D817" i="32"/>
  <c r="D816" i="32"/>
  <c r="D815" i="32"/>
  <c r="D814" i="32"/>
  <c r="D813" i="32"/>
  <c r="D812" i="32"/>
  <c r="D811" i="32"/>
  <c r="D810" i="32"/>
  <c r="D809" i="32"/>
  <c r="D808" i="32"/>
  <c r="D807" i="32"/>
  <c r="D806" i="32"/>
  <c r="D805" i="32"/>
  <c r="D804" i="32"/>
  <c r="D803" i="32"/>
  <c r="D802" i="32"/>
  <c r="D801" i="32"/>
  <c r="D800" i="32"/>
  <c r="D799" i="32"/>
  <c r="D798" i="32"/>
  <c r="D797" i="32"/>
  <c r="D796" i="32"/>
  <c r="D795" i="32"/>
  <c r="D794" i="32"/>
  <c r="D793" i="32"/>
  <c r="D792" i="32"/>
  <c r="D791" i="32"/>
  <c r="D790" i="32"/>
  <c r="D789" i="32"/>
  <c r="D788" i="32"/>
  <c r="D787" i="32"/>
  <c r="D786" i="32"/>
  <c r="D785" i="32"/>
  <c r="D784" i="32"/>
  <c r="D783" i="32"/>
  <c r="D782" i="32"/>
  <c r="D781" i="32"/>
  <c r="D780" i="32"/>
  <c r="D779" i="32"/>
  <c r="D778" i="32"/>
  <c r="D777" i="32"/>
  <c r="D776" i="32"/>
  <c r="D775" i="32"/>
  <c r="D774" i="32"/>
  <c r="D773" i="32"/>
  <c r="D772" i="32"/>
  <c r="D771" i="32"/>
  <c r="D770" i="32"/>
  <c r="D769" i="32"/>
  <c r="D768" i="32"/>
  <c r="D767" i="32"/>
  <c r="D766" i="32"/>
  <c r="D765" i="32"/>
  <c r="D764" i="32"/>
  <c r="D763" i="32"/>
  <c r="D762" i="32"/>
  <c r="D761" i="32"/>
  <c r="D760" i="32"/>
  <c r="D759" i="32"/>
  <c r="D758" i="32"/>
  <c r="D757" i="32"/>
  <c r="D756" i="32"/>
  <c r="D755" i="32"/>
  <c r="D754" i="32"/>
  <c r="D753" i="32"/>
  <c r="D752" i="32"/>
  <c r="D751" i="32"/>
  <c r="D750" i="32"/>
  <c r="D749" i="32"/>
  <c r="D748" i="32"/>
  <c r="D747" i="32"/>
  <c r="D746" i="32"/>
  <c r="D745" i="32"/>
  <c r="D744" i="32"/>
  <c r="D743" i="32"/>
  <c r="D742" i="32"/>
  <c r="D741" i="32"/>
  <c r="D740" i="32"/>
  <c r="D739" i="32"/>
  <c r="D738" i="32"/>
  <c r="D737" i="32"/>
  <c r="D736" i="32"/>
  <c r="D735" i="32"/>
  <c r="D734" i="32"/>
  <c r="D733" i="32"/>
  <c r="D732" i="32"/>
  <c r="D731" i="32"/>
  <c r="D730" i="32"/>
  <c r="D729" i="32"/>
  <c r="D728" i="32"/>
  <c r="D727" i="32"/>
  <c r="D726" i="32"/>
  <c r="D725" i="32"/>
  <c r="D724" i="32"/>
  <c r="D723" i="32"/>
  <c r="D722" i="32"/>
  <c r="D721" i="32"/>
  <c r="D720" i="32"/>
  <c r="D719" i="32"/>
  <c r="D718" i="32"/>
  <c r="D717" i="32"/>
  <c r="D716" i="32"/>
  <c r="D715" i="32"/>
  <c r="D714" i="32"/>
  <c r="D713" i="32"/>
  <c r="D712" i="32"/>
  <c r="D711" i="32"/>
  <c r="D710" i="32"/>
  <c r="D709" i="32"/>
  <c r="D708" i="32"/>
  <c r="D707" i="32"/>
  <c r="D706" i="32"/>
  <c r="D705" i="32"/>
  <c r="D704" i="32"/>
  <c r="D703" i="32"/>
  <c r="D702" i="32"/>
  <c r="D701" i="32"/>
  <c r="D700" i="32"/>
  <c r="D699" i="32"/>
  <c r="D698" i="32"/>
  <c r="D697" i="32"/>
  <c r="D696" i="32"/>
  <c r="D695" i="32"/>
  <c r="D694" i="32"/>
  <c r="D693" i="32"/>
  <c r="D692" i="32"/>
  <c r="D691" i="32"/>
  <c r="D690" i="32"/>
  <c r="D689" i="32"/>
  <c r="D688" i="32"/>
  <c r="D687" i="32"/>
  <c r="D686" i="32"/>
  <c r="D685" i="32"/>
  <c r="D684" i="32"/>
  <c r="D683" i="32"/>
  <c r="D682" i="32"/>
  <c r="D681" i="32"/>
  <c r="D680" i="32"/>
  <c r="D679" i="32"/>
  <c r="D678" i="32"/>
  <c r="D677" i="32"/>
  <c r="D676" i="32"/>
  <c r="D675" i="32"/>
  <c r="D674" i="32"/>
  <c r="D673" i="32"/>
  <c r="D672" i="32"/>
  <c r="D671" i="32"/>
  <c r="D670" i="32"/>
  <c r="D669" i="32"/>
  <c r="D668" i="32"/>
  <c r="D667" i="32"/>
  <c r="D666" i="32"/>
  <c r="D665" i="32"/>
  <c r="D664" i="32"/>
  <c r="D663" i="32"/>
  <c r="D662" i="32"/>
  <c r="D661" i="32"/>
  <c r="D660" i="32"/>
  <c r="D659" i="32"/>
  <c r="D658" i="32"/>
  <c r="D657" i="32"/>
  <c r="D656" i="32"/>
  <c r="D655" i="32"/>
  <c r="D654" i="32"/>
  <c r="D653" i="32"/>
  <c r="D652" i="32"/>
  <c r="D651" i="32"/>
  <c r="D650" i="32"/>
  <c r="D649" i="32"/>
  <c r="D648" i="32"/>
  <c r="D647" i="32"/>
  <c r="D646" i="32"/>
  <c r="D645" i="32"/>
  <c r="D644" i="32"/>
  <c r="D643" i="32"/>
  <c r="D642" i="32"/>
  <c r="D641" i="32"/>
  <c r="D640" i="32"/>
  <c r="D639" i="32"/>
  <c r="D638" i="32"/>
  <c r="D637" i="32"/>
  <c r="D636" i="32"/>
  <c r="D635" i="32"/>
  <c r="D634" i="32"/>
  <c r="D633" i="32"/>
  <c r="D632" i="32"/>
  <c r="D631" i="32"/>
  <c r="D630" i="32"/>
  <c r="D629" i="32"/>
  <c r="D628" i="32"/>
  <c r="D627" i="32"/>
  <c r="D626" i="32"/>
  <c r="D625" i="32"/>
  <c r="D624" i="32"/>
  <c r="D623" i="32"/>
  <c r="D622" i="32"/>
  <c r="D621" i="32"/>
  <c r="D620" i="32"/>
  <c r="D619" i="32"/>
  <c r="D618" i="32"/>
  <c r="D617" i="32"/>
  <c r="D616" i="32"/>
  <c r="D615" i="32"/>
  <c r="D614" i="32"/>
  <c r="D613" i="32"/>
  <c r="D612" i="32"/>
  <c r="D611" i="32"/>
  <c r="D610" i="32"/>
  <c r="D609" i="32"/>
  <c r="D608" i="32"/>
  <c r="D607" i="32"/>
  <c r="D606" i="32"/>
  <c r="D605" i="32"/>
  <c r="D604" i="32"/>
  <c r="D603" i="32"/>
  <c r="D602" i="32"/>
  <c r="D601" i="32"/>
  <c r="D600" i="32"/>
  <c r="D599" i="32"/>
  <c r="D598" i="32"/>
  <c r="D597" i="32"/>
  <c r="D596" i="32"/>
  <c r="D595" i="32"/>
  <c r="D594" i="32"/>
  <c r="D593" i="32"/>
  <c r="D592" i="32"/>
  <c r="D591" i="32"/>
  <c r="D590" i="32"/>
  <c r="D589" i="32"/>
  <c r="D588" i="32"/>
  <c r="D587" i="32"/>
  <c r="D586" i="32"/>
  <c r="D585" i="32"/>
  <c r="D584" i="32"/>
  <c r="D583" i="32"/>
  <c r="D582" i="32"/>
  <c r="D581" i="32"/>
  <c r="D580" i="32"/>
  <c r="D579" i="32"/>
  <c r="D578" i="32"/>
  <c r="D577" i="32"/>
  <c r="D576" i="32"/>
  <c r="D575" i="32"/>
  <c r="D574" i="32"/>
  <c r="D573" i="32"/>
  <c r="D572" i="32"/>
  <c r="D571" i="32"/>
  <c r="D570" i="32"/>
  <c r="D569" i="32"/>
  <c r="I17" i="2" l="1"/>
  <c r="BI1" i="31" l="1"/>
  <c r="BJ1" i="31"/>
  <c r="BK1" i="31"/>
  <c r="BH1" i="31"/>
  <c r="BD1" i="31"/>
  <c r="BE1" i="31"/>
  <c r="BF1" i="31"/>
  <c r="BC1" i="31"/>
  <c r="AY1" i="31"/>
  <c r="AZ1" i="31"/>
  <c r="BA1" i="31"/>
  <c r="AX1" i="31"/>
  <c r="AS1" i="31"/>
  <c r="AT1" i="31"/>
  <c r="AU1" i="31"/>
  <c r="AV1" i="31"/>
  <c r="AM1" i="31"/>
  <c r="AQ1" i="31"/>
  <c r="BH6" i="31" l="1"/>
  <c r="BI6" i="31"/>
  <c r="BJ6" i="31"/>
  <c r="BK6" i="31"/>
  <c r="BH7" i="31"/>
  <c r="BI7" i="31"/>
  <c r="BJ7" i="31"/>
  <c r="BK7" i="31"/>
  <c r="BH8" i="31"/>
  <c r="BI8" i="31"/>
  <c r="BJ8" i="31"/>
  <c r="BK8" i="31"/>
  <c r="BH9" i="31"/>
  <c r="BI9" i="31"/>
  <c r="BJ9" i="31"/>
  <c r="BK9" i="31"/>
  <c r="BH10" i="31"/>
  <c r="BI10" i="31"/>
  <c r="BJ10" i="31"/>
  <c r="BK10" i="31"/>
  <c r="BH11" i="31"/>
  <c r="BI11" i="31"/>
  <c r="BJ11" i="31"/>
  <c r="BK11" i="31"/>
  <c r="BH12" i="31"/>
  <c r="BI12" i="31"/>
  <c r="BJ12" i="31"/>
  <c r="BK12" i="31"/>
  <c r="BH13" i="31"/>
  <c r="BI13" i="31"/>
  <c r="BJ13" i="31"/>
  <c r="BK13" i="31"/>
  <c r="BH14" i="31"/>
  <c r="BI14" i="31"/>
  <c r="BJ14" i="31"/>
  <c r="BK14" i="31"/>
  <c r="BH15" i="31"/>
  <c r="BI15" i="31"/>
  <c r="BJ15" i="31"/>
  <c r="BK15" i="31"/>
  <c r="BH16" i="31"/>
  <c r="BI16" i="31"/>
  <c r="BJ16" i="31"/>
  <c r="BK16" i="31"/>
  <c r="BH17" i="31"/>
  <c r="BI17" i="31"/>
  <c r="BJ17" i="31"/>
  <c r="BK17" i="31"/>
  <c r="BH18" i="31"/>
  <c r="BI18" i="31"/>
  <c r="BJ18" i="31"/>
  <c r="BK18" i="31"/>
  <c r="BH19" i="31"/>
  <c r="BI19" i="31"/>
  <c r="BJ19" i="31"/>
  <c r="BK19" i="31"/>
  <c r="BH20" i="31"/>
  <c r="BI20" i="31"/>
  <c r="BJ20" i="31"/>
  <c r="BK20" i="31"/>
  <c r="BH21" i="31"/>
  <c r="BI21" i="31"/>
  <c r="BJ21" i="31"/>
  <c r="BK21" i="31"/>
  <c r="BH22" i="31"/>
  <c r="BI22" i="31"/>
  <c r="BJ22" i="31"/>
  <c r="BK22" i="31"/>
  <c r="BH23" i="31"/>
  <c r="BI23" i="31"/>
  <c r="BJ23" i="31"/>
  <c r="BK23" i="31"/>
  <c r="BH24" i="31"/>
  <c r="BI24" i="31"/>
  <c r="BJ24" i="31"/>
  <c r="BK24" i="31"/>
  <c r="BH25" i="31"/>
  <c r="BI25" i="31"/>
  <c r="BJ25" i="31"/>
  <c r="BK25" i="31"/>
  <c r="BH26" i="31"/>
  <c r="BI26" i="31"/>
  <c r="BJ26" i="31"/>
  <c r="BK26" i="31"/>
  <c r="BH27" i="31"/>
  <c r="BI27" i="31"/>
  <c r="BJ27" i="31"/>
  <c r="BK27" i="31"/>
  <c r="BH28" i="31"/>
  <c r="BI28" i="31"/>
  <c r="BJ28" i="31"/>
  <c r="BK28" i="31"/>
  <c r="BH29" i="31"/>
  <c r="BI29" i="31"/>
  <c r="BJ29" i="31"/>
  <c r="BK29" i="31"/>
  <c r="BH30" i="31"/>
  <c r="BI30" i="31"/>
  <c r="BJ30" i="31"/>
  <c r="BK30" i="31"/>
  <c r="BH31" i="31"/>
  <c r="BI31" i="31"/>
  <c r="BJ31" i="31"/>
  <c r="BK31" i="31"/>
  <c r="BH32" i="31"/>
  <c r="BI32" i="31"/>
  <c r="BJ32" i="31"/>
  <c r="BK32" i="31"/>
  <c r="BH33" i="31"/>
  <c r="BI33" i="31"/>
  <c r="BJ33" i="31"/>
  <c r="BK33" i="31"/>
  <c r="BH34" i="31"/>
  <c r="BI34" i="31"/>
  <c r="BJ34" i="31"/>
  <c r="BK34" i="31"/>
  <c r="BH35" i="31"/>
  <c r="BI35" i="31"/>
  <c r="BJ35" i="31"/>
  <c r="BK35" i="31"/>
  <c r="BH36" i="31"/>
  <c r="BI36" i="31"/>
  <c r="BJ36" i="31"/>
  <c r="BK36" i="31"/>
  <c r="BH37" i="31"/>
  <c r="BI37" i="31"/>
  <c r="BJ37" i="31"/>
  <c r="BK37" i="31"/>
  <c r="BH38" i="31"/>
  <c r="BI38" i="31"/>
  <c r="BJ38" i="31"/>
  <c r="BK38" i="31"/>
  <c r="BH39" i="31"/>
  <c r="BI39" i="31"/>
  <c r="BJ39" i="31"/>
  <c r="BK39" i="31"/>
  <c r="BH40" i="31"/>
  <c r="BI40" i="31"/>
  <c r="BJ40" i="31"/>
  <c r="BK40" i="31"/>
  <c r="BH41" i="31"/>
  <c r="BI41" i="31"/>
  <c r="BJ41" i="31"/>
  <c r="BK41" i="31"/>
  <c r="BH42" i="31"/>
  <c r="BI42" i="31"/>
  <c r="BJ42" i="31"/>
  <c r="BK42" i="31"/>
  <c r="BH43" i="31"/>
  <c r="BI43" i="31"/>
  <c r="BJ43" i="31"/>
  <c r="BK43" i="31"/>
  <c r="BH44" i="31"/>
  <c r="BI44" i="31"/>
  <c r="BJ44" i="31"/>
  <c r="BK44" i="31"/>
  <c r="BH45" i="31"/>
  <c r="BI45" i="31"/>
  <c r="BJ45" i="31"/>
  <c r="BK45" i="31"/>
  <c r="BH46" i="31"/>
  <c r="BI46" i="31"/>
  <c r="BJ46" i="31"/>
  <c r="BK46" i="31"/>
  <c r="BH47" i="31"/>
  <c r="BI47" i="31"/>
  <c r="BJ47" i="31"/>
  <c r="BK47" i="31"/>
  <c r="BH48" i="31"/>
  <c r="BI48" i="31"/>
  <c r="BJ48" i="31"/>
  <c r="BK48" i="31"/>
  <c r="BH49" i="31"/>
  <c r="BI49" i="31"/>
  <c r="BJ49" i="31"/>
  <c r="BK49" i="31"/>
  <c r="BH50" i="31"/>
  <c r="BI50" i="31"/>
  <c r="BJ50" i="31"/>
  <c r="BK50" i="31"/>
  <c r="BH51" i="31"/>
  <c r="BI51" i="31"/>
  <c r="BJ51" i="31"/>
  <c r="BK51" i="31"/>
  <c r="BH52" i="31"/>
  <c r="BI52" i="31"/>
  <c r="BJ52" i="31"/>
  <c r="BK52" i="31"/>
  <c r="BH53" i="31"/>
  <c r="BI53" i="31"/>
  <c r="BJ53" i="31"/>
  <c r="BK53" i="31"/>
  <c r="BH55" i="31"/>
  <c r="BI55" i="31"/>
  <c r="BJ55" i="31"/>
  <c r="BK55" i="31"/>
  <c r="BH56" i="31"/>
  <c r="BI56" i="31"/>
  <c r="BJ56" i="31"/>
  <c r="BK56" i="31"/>
  <c r="BH57" i="31"/>
  <c r="BI57" i="31"/>
  <c r="BJ57" i="31"/>
  <c r="BK57" i="31"/>
  <c r="BH58" i="31"/>
  <c r="BI58" i="31"/>
  <c r="BJ58" i="31"/>
  <c r="BK58" i="31"/>
  <c r="BH59" i="31"/>
  <c r="BI59" i="31"/>
  <c r="BJ59" i="31"/>
  <c r="BK59" i="31"/>
  <c r="BH60" i="31"/>
  <c r="BI60" i="31"/>
  <c r="BJ60" i="31"/>
  <c r="BK60" i="31"/>
  <c r="BH61" i="31"/>
  <c r="BI61" i="31"/>
  <c r="BJ61" i="31"/>
  <c r="BK61" i="31"/>
  <c r="BH62" i="31"/>
  <c r="BI62" i="31"/>
  <c r="BJ62" i="31"/>
  <c r="BK62" i="31"/>
  <c r="BH63" i="31"/>
  <c r="BI63" i="31"/>
  <c r="BJ63" i="31"/>
  <c r="BK63" i="31"/>
  <c r="BH64" i="31"/>
  <c r="BI64" i="31"/>
  <c r="BJ64" i="31"/>
  <c r="BK64" i="31"/>
  <c r="BH65" i="31"/>
  <c r="BI65" i="31"/>
  <c r="BJ65" i="31"/>
  <c r="BK65" i="31"/>
  <c r="BH66" i="31"/>
  <c r="BI66" i="31"/>
  <c r="BJ66" i="31"/>
  <c r="BK66" i="31"/>
  <c r="BH67" i="31"/>
  <c r="BI67" i="31"/>
  <c r="BJ67" i="31"/>
  <c r="BK67" i="31"/>
  <c r="BH68" i="31"/>
  <c r="BI68" i="31"/>
  <c r="BJ68" i="31"/>
  <c r="BK68" i="31"/>
  <c r="BH70" i="31"/>
  <c r="BI70" i="31"/>
  <c r="BJ70" i="31"/>
  <c r="BK70" i="31"/>
  <c r="BH71" i="31"/>
  <c r="BI71" i="31"/>
  <c r="BJ71" i="31"/>
  <c r="BK71" i="31"/>
  <c r="BH72" i="31"/>
  <c r="BI72" i="31"/>
  <c r="BJ72" i="31"/>
  <c r="BK72" i="31"/>
  <c r="BH73" i="31"/>
  <c r="BI73" i="31"/>
  <c r="BJ73" i="31"/>
  <c r="BK73" i="31"/>
  <c r="BH74" i="31"/>
  <c r="BI74" i="31"/>
  <c r="BJ74" i="31"/>
  <c r="BK74" i="31"/>
  <c r="BH75" i="31"/>
  <c r="BI75" i="31"/>
  <c r="BJ75" i="31"/>
  <c r="BK75" i="31"/>
  <c r="BH76" i="31"/>
  <c r="BI76" i="31"/>
  <c r="BJ76" i="31"/>
  <c r="BK76" i="31"/>
  <c r="BH77" i="31"/>
  <c r="BI77" i="31"/>
  <c r="BJ77" i="31"/>
  <c r="BK77" i="31"/>
  <c r="BH78" i="31"/>
  <c r="BI78" i="31"/>
  <c r="BJ78" i="31"/>
  <c r="BK78" i="31"/>
  <c r="BH79" i="31"/>
  <c r="BI79" i="31"/>
  <c r="BJ79" i="31"/>
  <c r="BK79" i="31"/>
  <c r="BH80" i="31"/>
  <c r="BI80" i="31"/>
  <c r="BJ80" i="31"/>
  <c r="BK80" i="31"/>
  <c r="BH81" i="31"/>
  <c r="BI81" i="31"/>
  <c r="BJ81" i="31"/>
  <c r="BK81" i="31"/>
  <c r="BH82" i="31"/>
  <c r="BI82" i="31"/>
  <c r="BJ82" i="31"/>
  <c r="BK82" i="31"/>
  <c r="BH83" i="31"/>
  <c r="BI83" i="31"/>
  <c r="BJ83" i="31"/>
  <c r="BK83" i="31"/>
  <c r="BK4" i="31"/>
  <c r="BJ4" i="31"/>
  <c r="BI4" i="31"/>
  <c r="BH4" i="31"/>
  <c r="Z4" i="31"/>
  <c r="AX6" i="31"/>
  <c r="AY6" i="31"/>
  <c r="AZ6" i="31"/>
  <c r="BA6" i="31"/>
  <c r="AX7" i="31"/>
  <c r="AY7" i="31"/>
  <c r="AZ7" i="31"/>
  <c r="BA7" i="31"/>
  <c r="AX8" i="31"/>
  <c r="AY8" i="31"/>
  <c r="AZ8" i="31"/>
  <c r="BA8" i="31"/>
  <c r="AX9" i="31"/>
  <c r="AY9" i="31"/>
  <c r="AZ9" i="31"/>
  <c r="BA9" i="31"/>
  <c r="AX10" i="31"/>
  <c r="AY10" i="31"/>
  <c r="AZ10" i="31"/>
  <c r="BA10" i="31"/>
  <c r="AX11" i="31"/>
  <c r="AY11" i="31"/>
  <c r="AZ11" i="31"/>
  <c r="BA11" i="31"/>
  <c r="AX12" i="31"/>
  <c r="AY12" i="31"/>
  <c r="AZ12" i="31"/>
  <c r="BA12" i="31"/>
  <c r="AX13" i="31"/>
  <c r="AY13" i="31"/>
  <c r="AZ13" i="31"/>
  <c r="BA13" i="31"/>
  <c r="AX14" i="31"/>
  <c r="AY14" i="31"/>
  <c r="AZ14" i="31"/>
  <c r="BA14" i="31"/>
  <c r="AX15" i="31"/>
  <c r="AY15" i="31"/>
  <c r="AZ15" i="31"/>
  <c r="BA15" i="31"/>
  <c r="AX16" i="31"/>
  <c r="AY16" i="31"/>
  <c r="AZ16" i="31"/>
  <c r="BA16" i="31"/>
  <c r="AX17" i="31"/>
  <c r="AY17" i="31"/>
  <c r="AZ17" i="31"/>
  <c r="BA17" i="31"/>
  <c r="AX18" i="31"/>
  <c r="AY18" i="31"/>
  <c r="AZ18" i="31"/>
  <c r="BA18" i="31"/>
  <c r="AX19" i="31"/>
  <c r="AY19" i="31"/>
  <c r="AZ19" i="31"/>
  <c r="BA19" i="31"/>
  <c r="AX20" i="31"/>
  <c r="AY20" i="31"/>
  <c r="AZ20" i="31"/>
  <c r="BA20" i="31"/>
  <c r="AX21" i="31"/>
  <c r="AY21" i="31"/>
  <c r="AZ21" i="31"/>
  <c r="BA21" i="31"/>
  <c r="AX22" i="31"/>
  <c r="AY22" i="31"/>
  <c r="AZ22" i="31"/>
  <c r="BA22" i="31"/>
  <c r="AX23" i="31"/>
  <c r="AY23" i="31"/>
  <c r="AZ23" i="31"/>
  <c r="BA23" i="31"/>
  <c r="AX24" i="31"/>
  <c r="AY24" i="31"/>
  <c r="AZ24" i="31"/>
  <c r="BA24" i="31"/>
  <c r="AX25" i="31"/>
  <c r="AY25" i="31"/>
  <c r="AZ25" i="31"/>
  <c r="BA25" i="31"/>
  <c r="AX26" i="31"/>
  <c r="AY26" i="31"/>
  <c r="AZ26" i="31"/>
  <c r="BA26" i="31"/>
  <c r="AX27" i="31"/>
  <c r="AY27" i="31"/>
  <c r="AZ27" i="31"/>
  <c r="BA27" i="31"/>
  <c r="AX28" i="31"/>
  <c r="AY28" i="31"/>
  <c r="AZ28" i="31"/>
  <c r="BA28" i="31"/>
  <c r="AX29" i="31"/>
  <c r="AY29" i="31"/>
  <c r="AZ29" i="31"/>
  <c r="BA29" i="31"/>
  <c r="AX30" i="31"/>
  <c r="AY30" i="31"/>
  <c r="AZ30" i="31"/>
  <c r="BA30" i="31"/>
  <c r="AX31" i="31"/>
  <c r="AY31" i="31"/>
  <c r="AZ31" i="31"/>
  <c r="BA31" i="31"/>
  <c r="AX32" i="31"/>
  <c r="AY32" i="31"/>
  <c r="AZ32" i="31"/>
  <c r="BA32" i="31"/>
  <c r="AX33" i="31"/>
  <c r="AY33" i="31"/>
  <c r="AZ33" i="31"/>
  <c r="BA33" i="31"/>
  <c r="AX34" i="31"/>
  <c r="AY34" i="31"/>
  <c r="AZ34" i="31"/>
  <c r="BA34" i="31"/>
  <c r="AX35" i="31"/>
  <c r="AY35" i="31"/>
  <c r="AZ35" i="31"/>
  <c r="BA35" i="31"/>
  <c r="AX36" i="31"/>
  <c r="AY36" i="31"/>
  <c r="AZ36" i="31"/>
  <c r="BA36" i="31"/>
  <c r="AX37" i="31"/>
  <c r="AY37" i="31"/>
  <c r="AZ37" i="31"/>
  <c r="BA37" i="31"/>
  <c r="AX38" i="31"/>
  <c r="AY38" i="31"/>
  <c r="AZ38" i="31"/>
  <c r="BA38" i="31"/>
  <c r="AX39" i="31"/>
  <c r="AY39" i="31"/>
  <c r="AZ39" i="31"/>
  <c r="BA39" i="31"/>
  <c r="AX40" i="31"/>
  <c r="AY40" i="31"/>
  <c r="AZ40" i="31"/>
  <c r="BA40" i="31"/>
  <c r="AX41" i="31"/>
  <c r="AY41" i="31"/>
  <c r="AZ41" i="31"/>
  <c r="BA41" i="31"/>
  <c r="AX42" i="31"/>
  <c r="AY42" i="31"/>
  <c r="AZ42" i="31"/>
  <c r="BA42" i="31"/>
  <c r="AX43" i="31"/>
  <c r="AY43" i="31"/>
  <c r="AZ43" i="31"/>
  <c r="BA43" i="31"/>
  <c r="AX44" i="31"/>
  <c r="AY44" i="31"/>
  <c r="AZ44" i="31"/>
  <c r="BA44" i="31"/>
  <c r="AX45" i="31"/>
  <c r="AY45" i="31"/>
  <c r="AZ45" i="31"/>
  <c r="BA45" i="31"/>
  <c r="AX46" i="31"/>
  <c r="AY46" i="31"/>
  <c r="AZ46" i="31"/>
  <c r="BA46" i="31"/>
  <c r="AX47" i="31"/>
  <c r="AY47" i="31"/>
  <c r="AZ47" i="31"/>
  <c r="BA47" i="31"/>
  <c r="AX48" i="31"/>
  <c r="AY48" i="31"/>
  <c r="AZ48" i="31"/>
  <c r="BA48" i="31"/>
  <c r="AX49" i="31"/>
  <c r="AY49" i="31"/>
  <c r="AZ49" i="31"/>
  <c r="BA49" i="31"/>
  <c r="AX50" i="31"/>
  <c r="AY50" i="31"/>
  <c r="AZ50" i="31"/>
  <c r="BA50" i="31"/>
  <c r="AX51" i="31"/>
  <c r="AY51" i="31"/>
  <c r="AZ51" i="31"/>
  <c r="BA51" i="31"/>
  <c r="AX52" i="31"/>
  <c r="AY52" i="31"/>
  <c r="AZ52" i="31"/>
  <c r="BA52" i="31"/>
  <c r="AX53" i="31"/>
  <c r="AY53" i="31"/>
  <c r="AZ53" i="31"/>
  <c r="BA53" i="31"/>
  <c r="AX55" i="31"/>
  <c r="AY55" i="31"/>
  <c r="AZ55" i="31"/>
  <c r="BA55" i="31"/>
  <c r="AX56" i="31"/>
  <c r="AY56" i="31"/>
  <c r="AZ56" i="31"/>
  <c r="BA56" i="31"/>
  <c r="AX57" i="31"/>
  <c r="AY57" i="31"/>
  <c r="AZ57" i="31"/>
  <c r="BA57" i="31"/>
  <c r="AX58" i="31"/>
  <c r="AY58" i="31"/>
  <c r="AZ58" i="31"/>
  <c r="BA58" i="31"/>
  <c r="AX59" i="31"/>
  <c r="AY59" i="31"/>
  <c r="AZ59" i="31"/>
  <c r="BA59" i="31"/>
  <c r="AX60" i="31"/>
  <c r="AY60" i="31"/>
  <c r="AZ60" i="31"/>
  <c r="BA60" i="31"/>
  <c r="AX61" i="31"/>
  <c r="AY61" i="31"/>
  <c r="AZ61" i="31"/>
  <c r="BA61" i="31"/>
  <c r="AX62" i="31"/>
  <c r="AY62" i="31"/>
  <c r="AZ62" i="31"/>
  <c r="BA62" i="31"/>
  <c r="AX63" i="31"/>
  <c r="AY63" i="31"/>
  <c r="AZ63" i="31"/>
  <c r="BA63" i="31"/>
  <c r="AX64" i="31"/>
  <c r="AY64" i="31"/>
  <c r="AZ64" i="31"/>
  <c r="BA64" i="31"/>
  <c r="AX65" i="31"/>
  <c r="AY65" i="31"/>
  <c r="AZ65" i="31"/>
  <c r="BA65" i="31"/>
  <c r="AX66" i="31"/>
  <c r="AY66" i="31"/>
  <c r="AZ66" i="31"/>
  <c r="BA66" i="31"/>
  <c r="AX67" i="31"/>
  <c r="AY67" i="31"/>
  <c r="AZ67" i="31"/>
  <c r="BA67" i="31"/>
  <c r="AX68" i="31"/>
  <c r="AY68" i="31"/>
  <c r="AZ68" i="31"/>
  <c r="BA68" i="31"/>
  <c r="AX70" i="31"/>
  <c r="AY70" i="31"/>
  <c r="AZ70" i="31"/>
  <c r="BA70" i="31"/>
  <c r="AX71" i="31"/>
  <c r="AY71" i="31"/>
  <c r="AZ71" i="31"/>
  <c r="BA71" i="31"/>
  <c r="AX72" i="31"/>
  <c r="AY72" i="31"/>
  <c r="AZ72" i="31"/>
  <c r="BA72" i="31"/>
  <c r="AX73" i="31"/>
  <c r="AY73" i="31"/>
  <c r="AZ73" i="31"/>
  <c r="BA73" i="31"/>
  <c r="AX74" i="31"/>
  <c r="AY74" i="31"/>
  <c r="AZ74" i="31"/>
  <c r="BA74" i="31"/>
  <c r="AX75" i="31"/>
  <c r="AY75" i="31"/>
  <c r="AZ75" i="31"/>
  <c r="BA75" i="31"/>
  <c r="AX76" i="31"/>
  <c r="AY76" i="31"/>
  <c r="AZ76" i="31"/>
  <c r="BA76" i="31"/>
  <c r="AX77" i="31"/>
  <c r="AY77" i="31"/>
  <c r="AZ77" i="31"/>
  <c r="BA77" i="31"/>
  <c r="AX78" i="31"/>
  <c r="AY78" i="31"/>
  <c r="AZ78" i="31"/>
  <c r="BA78" i="31"/>
  <c r="AX79" i="31"/>
  <c r="AY79" i="31"/>
  <c r="AZ79" i="31"/>
  <c r="BA79" i="31"/>
  <c r="AX80" i="31"/>
  <c r="AY80" i="31"/>
  <c r="AZ80" i="31"/>
  <c r="BA80" i="31"/>
  <c r="AX81" i="31"/>
  <c r="AY81" i="31"/>
  <c r="AZ81" i="31"/>
  <c r="BA81" i="31"/>
  <c r="AX82" i="31"/>
  <c r="AY82" i="31"/>
  <c r="AZ82" i="31"/>
  <c r="BA82" i="31"/>
  <c r="AX83" i="31"/>
  <c r="AY83" i="31"/>
  <c r="AZ83" i="31"/>
  <c r="BA83" i="31"/>
  <c r="BA4" i="31"/>
  <c r="AZ4" i="31"/>
  <c r="AY4" i="31"/>
  <c r="AX4" i="31"/>
  <c r="AS6" i="31"/>
  <c r="AT6" i="31"/>
  <c r="AU6" i="31"/>
  <c r="AV6" i="31"/>
  <c r="AS7" i="31"/>
  <c r="AT7" i="31"/>
  <c r="AU7" i="31"/>
  <c r="AV7" i="31"/>
  <c r="AS8" i="31"/>
  <c r="AT8" i="31"/>
  <c r="AU8" i="31"/>
  <c r="AV8" i="31"/>
  <c r="AS9" i="31"/>
  <c r="AT9" i="31"/>
  <c r="AU9" i="31"/>
  <c r="AV9" i="31"/>
  <c r="AS10" i="31"/>
  <c r="AT10" i="31"/>
  <c r="AU10" i="31"/>
  <c r="AV10" i="31"/>
  <c r="AS11" i="31"/>
  <c r="AT11" i="31"/>
  <c r="AU11" i="31"/>
  <c r="AV11" i="31"/>
  <c r="AS12" i="31"/>
  <c r="AT12" i="31"/>
  <c r="AU12" i="31"/>
  <c r="AV12" i="31"/>
  <c r="AS13" i="31"/>
  <c r="AT13" i="31"/>
  <c r="AU13" i="31"/>
  <c r="AV13" i="31"/>
  <c r="AS14" i="31"/>
  <c r="AT14" i="31"/>
  <c r="AU14" i="31"/>
  <c r="AV14" i="31"/>
  <c r="AS15" i="31"/>
  <c r="AT15" i="31"/>
  <c r="AU15" i="31"/>
  <c r="AV15" i="31"/>
  <c r="AS16" i="31"/>
  <c r="AT16" i="31"/>
  <c r="AU16" i="31"/>
  <c r="AV16" i="31"/>
  <c r="AS17" i="31"/>
  <c r="AT17" i="31"/>
  <c r="AU17" i="31"/>
  <c r="AV17" i="31"/>
  <c r="AS18" i="31"/>
  <c r="AT18" i="31"/>
  <c r="AU18" i="31"/>
  <c r="AV18" i="31"/>
  <c r="AS19" i="31"/>
  <c r="AT19" i="31"/>
  <c r="AU19" i="31"/>
  <c r="AV19" i="31"/>
  <c r="AS20" i="31"/>
  <c r="AT20" i="31"/>
  <c r="AU20" i="31"/>
  <c r="AV20" i="31"/>
  <c r="AS21" i="31"/>
  <c r="AT21" i="31"/>
  <c r="AU21" i="31"/>
  <c r="AV21" i="31"/>
  <c r="AS22" i="31"/>
  <c r="AT22" i="31"/>
  <c r="AU22" i="31"/>
  <c r="AV22" i="31"/>
  <c r="AS23" i="31"/>
  <c r="AT23" i="31"/>
  <c r="AU23" i="31"/>
  <c r="AV23" i="31"/>
  <c r="AS24" i="31"/>
  <c r="AT24" i="31"/>
  <c r="AU24" i="31"/>
  <c r="AV24" i="31"/>
  <c r="AS25" i="31"/>
  <c r="AT25" i="31"/>
  <c r="AU25" i="31"/>
  <c r="AV25" i="31"/>
  <c r="AS26" i="31"/>
  <c r="AT26" i="31"/>
  <c r="AU26" i="31"/>
  <c r="AV26" i="31"/>
  <c r="AS27" i="31"/>
  <c r="AT27" i="31"/>
  <c r="AU27" i="31"/>
  <c r="AV27" i="31"/>
  <c r="AS28" i="31"/>
  <c r="AT28" i="31"/>
  <c r="AU28" i="31"/>
  <c r="AV28" i="31"/>
  <c r="AS29" i="31"/>
  <c r="AT29" i="31"/>
  <c r="AU29" i="31"/>
  <c r="AV29" i="31"/>
  <c r="AS30" i="31"/>
  <c r="AT30" i="31"/>
  <c r="AU30" i="31"/>
  <c r="AV30" i="31"/>
  <c r="AS31" i="31"/>
  <c r="AT31" i="31"/>
  <c r="AU31" i="31"/>
  <c r="AV31" i="31"/>
  <c r="AS32" i="31"/>
  <c r="AT32" i="31"/>
  <c r="AU32" i="31"/>
  <c r="AV32" i="31"/>
  <c r="AS33" i="31"/>
  <c r="AT33" i="31"/>
  <c r="AU33" i="31"/>
  <c r="AV33" i="31"/>
  <c r="AS34" i="31"/>
  <c r="AT34" i="31"/>
  <c r="AU34" i="31"/>
  <c r="AV34" i="31"/>
  <c r="AS35" i="31"/>
  <c r="AT35" i="31"/>
  <c r="AU35" i="31"/>
  <c r="AV35" i="31"/>
  <c r="AS36" i="31"/>
  <c r="AT36" i="31"/>
  <c r="AU36" i="31"/>
  <c r="AV36" i="31"/>
  <c r="AS37" i="31"/>
  <c r="AT37" i="31"/>
  <c r="AU37" i="31"/>
  <c r="AV37" i="31"/>
  <c r="AS38" i="31"/>
  <c r="AT38" i="31"/>
  <c r="AU38" i="31"/>
  <c r="AV38" i="31"/>
  <c r="AS39" i="31"/>
  <c r="AT39" i="31"/>
  <c r="AU39" i="31"/>
  <c r="AV39" i="31"/>
  <c r="AS40" i="31"/>
  <c r="AT40" i="31"/>
  <c r="AU40" i="31"/>
  <c r="AV40" i="31"/>
  <c r="AS41" i="31"/>
  <c r="AT41" i="31"/>
  <c r="AU41" i="31"/>
  <c r="AV41" i="31"/>
  <c r="AS42" i="31"/>
  <c r="AT42" i="31"/>
  <c r="AU42" i="31"/>
  <c r="AV42" i="31"/>
  <c r="AS43" i="31"/>
  <c r="AT43" i="31"/>
  <c r="AU43" i="31"/>
  <c r="AV43" i="31"/>
  <c r="AS44" i="31"/>
  <c r="AT44" i="31"/>
  <c r="AU44" i="31"/>
  <c r="AV44" i="31"/>
  <c r="AS45" i="31"/>
  <c r="AT45" i="31"/>
  <c r="AU45" i="31"/>
  <c r="AV45" i="31"/>
  <c r="AS46" i="31"/>
  <c r="AT46" i="31"/>
  <c r="AU46" i="31"/>
  <c r="AV46" i="31"/>
  <c r="AS47" i="31"/>
  <c r="AT47" i="31"/>
  <c r="AU47" i="31"/>
  <c r="AV47" i="31"/>
  <c r="AS48" i="31"/>
  <c r="AT48" i="31"/>
  <c r="AU48" i="31"/>
  <c r="AV48" i="31"/>
  <c r="AS49" i="31"/>
  <c r="AT49" i="31"/>
  <c r="AU49" i="31"/>
  <c r="AV49" i="31"/>
  <c r="AS50" i="31"/>
  <c r="AT50" i="31"/>
  <c r="AU50" i="31"/>
  <c r="AV50" i="31"/>
  <c r="AS51" i="31"/>
  <c r="AT51" i="31"/>
  <c r="AU51" i="31"/>
  <c r="AV51" i="31"/>
  <c r="AS52" i="31"/>
  <c r="AT52" i="31"/>
  <c r="AU52" i="31"/>
  <c r="AV52" i="31"/>
  <c r="AS53" i="31"/>
  <c r="AT53" i="31"/>
  <c r="AU53" i="31"/>
  <c r="AV53" i="31"/>
  <c r="AS55" i="31"/>
  <c r="AT55" i="31"/>
  <c r="AU55" i="31"/>
  <c r="AV55" i="31"/>
  <c r="AS56" i="31"/>
  <c r="AT56" i="31"/>
  <c r="AU56" i="31"/>
  <c r="AV56" i="31"/>
  <c r="AS57" i="31"/>
  <c r="AT57" i="31"/>
  <c r="AU57" i="31"/>
  <c r="AV57" i="31"/>
  <c r="AS58" i="31"/>
  <c r="AT58" i="31"/>
  <c r="AU58" i="31"/>
  <c r="AV58" i="31"/>
  <c r="AS59" i="31"/>
  <c r="AT59" i="31"/>
  <c r="AU59" i="31"/>
  <c r="AV59" i="31"/>
  <c r="AS60" i="31"/>
  <c r="AT60" i="31"/>
  <c r="AU60" i="31"/>
  <c r="AV60" i="31"/>
  <c r="AS61" i="31"/>
  <c r="AT61" i="31"/>
  <c r="AU61" i="31"/>
  <c r="AV61" i="31"/>
  <c r="AS62" i="31"/>
  <c r="AT62" i="31"/>
  <c r="AU62" i="31"/>
  <c r="AV62" i="31"/>
  <c r="AS63" i="31"/>
  <c r="AT63" i="31"/>
  <c r="AU63" i="31"/>
  <c r="AV63" i="31"/>
  <c r="AS64" i="31"/>
  <c r="AT64" i="31"/>
  <c r="AU64" i="31"/>
  <c r="AV64" i="31"/>
  <c r="AS65" i="31"/>
  <c r="AT65" i="31"/>
  <c r="AU65" i="31"/>
  <c r="AV65" i="31"/>
  <c r="AS66" i="31"/>
  <c r="AT66" i="31"/>
  <c r="AU66" i="31"/>
  <c r="AV66" i="31"/>
  <c r="AS67" i="31"/>
  <c r="AT67" i="31"/>
  <c r="AU67" i="31"/>
  <c r="AV67" i="31"/>
  <c r="AS68" i="31"/>
  <c r="AT68" i="31"/>
  <c r="AU68" i="31"/>
  <c r="AV68" i="31"/>
  <c r="AS70" i="31"/>
  <c r="AT70" i="31"/>
  <c r="AU70" i="31"/>
  <c r="AV70" i="31"/>
  <c r="AS71" i="31"/>
  <c r="AT71" i="31"/>
  <c r="AU71" i="31"/>
  <c r="AV71" i="31"/>
  <c r="AS72" i="31"/>
  <c r="AT72" i="31"/>
  <c r="AU72" i="31"/>
  <c r="AV72" i="31"/>
  <c r="AS73" i="31"/>
  <c r="AT73" i="31"/>
  <c r="AU73" i="31"/>
  <c r="AV73" i="31"/>
  <c r="AS74" i="31"/>
  <c r="AT74" i="31"/>
  <c r="AU74" i="31"/>
  <c r="AV74" i="31"/>
  <c r="AS75" i="31"/>
  <c r="AT75" i="31"/>
  <c r="AU75" i="31"/>
  <c r="AV75" i="31"/>
  <c r="AS76" i="31"/>
  <c r="AT76" i="31"/>
  <c r="AU76" i="31"/>
  <c r="AV76" i="31"/>
  <c r="AS77" i="31"/>
  <c r="AT77" i="31"/>
  <c r="AU77" i="31"/>
  <c r="AV77" i="31"/>
  <c r="AS78" i="31"/>
  <c r="AT78" i="31"/>
  <c r="AU78" i="31"/>
  <c r="AV78" i="31"/>
  <c r="AS79" i="31"/>
  <c r="AT79" i="31"/>
  <c r="AU79" i="31"/>
  <c r="AV79" i="31"/>
  <c r="AS80" i="31"/>
  <c r="AT80" i="31"/>
  <c r="AU80" i="31"/>
  <c r="AV80" i="31"/>
  <c r="AS81" i="31"/>
  <c r="AT81" i="31"/>
  <c r="AU81" i="31"/>
  <c r="AV81" i="31"/>
  <c r="AS82" i="31"/>
  <c r="AT82" i="31"/>
  <c r="AU82" i="31"/>
  <c r="AV82" i="31"/>
  <c r="AS83" i="31"/>
  <c r="AT83" i="31"/>
  <c r="AU83" i="31"/>
  <c r="AV83" i="31"/>
  <c r="AV4" i="31"/>
  <c r="AU4" i="31"/>
  <c r="AT4" i="31"/>
  <c r="AS4" i="31"/>
  <c r="AC4" i="31"/>
  <c r="K3" i="54" l="1"/>
  <c r="L3" i="54"/>
  <c r="M3" i="54"/>
  <c r="N3" i="54"/>
  <c r="K4" i="54"/>
  <c r="L4" i="54"/>
  <c r="M4" i="54"/>
  <c r="N4" i="54"/>
  <c r="K5" i="54"/>
  <c r="L5" i="54"/>
  <c r="M5" i="54"/>
  <c r="N5" i="54"/>
  <c r="K6" i="54"/>
  <c r="L6" i="54"/>
  <c r="M6" i="54"/>
  <c r="N6" i="54"/>
  <c r="K7" i="54"/>
  <c r="L7" i="54"/>
  <c r="M7" i="54"/>
  <c r="N7" i="54"/>
  <c r="N2" i="54"/>
  <c r="M2" i="54"/>
  <c r="L2" i="54"/>
  <c r="K2" i="54"/>
  <c r="EN2" i="53" l="1"/>
  <c r="K1" i="31" l="1"/>
  <c r="D327" i="32"/>
  <c r="D326" i="32"/>
  <c r="D325" i="32"/>
  <c r="D324" i="32"/>
  <c r="D320" i="32"/>
  <c r="D319" i="32"/>
  <c r="D318" i="32"/>
  <c r="D317" i="32"/>
  <c r="D316" i="32"/>
  <c r="D315" i="32"/>
  <c r="D314" i="32"/>
  <c r="D313" i="32"/>
  <c r="D284" i="32"/>
  <c r="D283" i="32"/>
  <c r="D282" i="32"/>
  <c r="D281" i="32"/>
  <c r="D277" i="32"/>
  <c r="D276" i="32"/>
  <c r="D275" i="32"/>
  <c r="D274" i="32"/>
  <c r="D273" i="32"/>
  <c r="D272" i="32"/>
  <c r="D271" i="32"/>
  <c r="D270" i="32"/>
  <c r="D241" i="32"/>
  <c r="D240" i="32"/>
  <c r="D239" i="32"/>
  <c r="D238" i="32"/>
  <c r="D234" i="32"/>
  <c r="D233" i="32"/>
  <c r="D232" i="32"/>
  <c r="D231" i="32"/>
  <c r="D230" i="32"/>
  <c r="D229" i="32"/>
  <c r="D228" i="32"/>
  <c r="D227" i="32"/>
  <c r="D198" i="32" l="1"/>
  <c r="D197" i="32"/>
  <c r="D196" i="32"/>
  <c r="D195" i="32"/>
  <c r="D191" i="32"/>
  <c r="D190" i="32"/>
  <c r="D189" i="32"/>
  <c r="D188" i="32"/>
  <c r="D187" i="32"/>
  <c r="D186" i="32"/>
  <c r="D185" i="32"/>
  <c r="D184" i="32"/>
  <c r="D155" i="32"/>
  <c r="D154" i="32"/>
  <c r="D153" i="32"/>
  <c r="D152" i="32"/>
  <c r="D148" i="32"/>
  <c r="D147" i="32"/>
  <c r="D146" i="32"/>
  <c r="D145" i="32"/>
  <c r="D144" i="32"/>
  <c r="D143" i="32"/>
  <c r="D142" i="32"/>
  <c r="D141" i="32"/>
  <c r="D112" i="32"/>
  <c r="D111" i="32"/>
  <c r="D110" i="32"/>
  <c r="D109" i="32"/>
  <c r="D105" i="32"/>
  <c r="D104" i="32"/>
  <c r="D103" i="32"/>
  <c r="D102" i="32"/>
  <c r="D101" i="32"/>
  <c r="D100" i="32"/>
  <c r="D99" i="32"/>
  <c r="D98" i="32"/>
  <c r="D62" i="32"/>
  <c r="D61" i="32"/>
  <c r="D60" i="32"/>
  <c r="D59" i="32"/>
  <c r="D69" i="32"/>
  <c r="D68" i="32"/>
  <c r="D67" i="32"/>
  <c r="D66" i="32"/>
  <c r="D55" i="32" l="1"/>
  <c r="D56" i="32"/>
  <c r="D57" i="32"/>
  <c r="D58" i="32"/>
  <c r="AA8" i="2" l="1"/>
  <c r="AA7" i="2"/>
  <c r="Q8" i="2"/>
  <c r="Q7" i="2"/>
  <c r="G7" i="2"/>
  <c r="AA9" i="2"/>
  <c r="Q9" i="2"/>
  <c r="G9" i="2"/>
  <c r="AD4" i="2"/>
  <c r="T4" i="2"/>
  <c r="J4" i="2"/>
  <c r="X11" i="2"/>
  <c r="A2" i="53"/>
  <c r="I706" i="7"/>
  <c r="I705" i="7"/>
  <c r="I704" i="7"/>
  <c r="I703" i="7"/>
  <c r="I702" i="7"/>
  <c r="I701" i="7"/>
  <c r="I700" i="7"/>
  <c r="I699" i="7"/>
  <c r="I698" i="7"/>
  <c r="I715" i="7"/>
  <c r="I714" i="7"/>
  <c r="I713" i="7"/>
  <c r="I712" i="7"/>
  <c r="I711" i="7"/>
  <c r="I710" i="7"/>
  <c r="I709" i="7"/>
  <c r="I708" i="7"/>
  <c r="I707" i="7"/>
  <c r="D11" i="2" l="1"/>
  <c r="B2" i="53"/>
  <c r="G2" i="53"/>
  <c r="D2" i="53"/>
  <c r="C2" i="53"/>
  <c r="F2" i="53"/>
  <c r="J6" i="53"/>
  <c r="D512" i="32"/>
  <c r="D481" i="32"/>
  <c r="D450" i="32"/>
  <c r="D419" i="32"/>
  <c r="D388" i="32"/>
  <c r="D279" i="32"/>
  <c r="D236" i="32"/>
  <c r="D193" i="32"/>
  <c r="D150" i="32"/>
  <c r="D107" i="32"/>
  <c r="D64" i="32"/>
  <c r="E2" i="53" l="1"/>
  <c r="C7" i="29"/>
  <c r="W6" i="31"/>
  <c r="X6" i="31"/>
  <c r="Y6" i="31"/>
  <c r="Z6" i="31"/>
  <c r="AQ6" i="31" s="1"/>
  <c r="AA6" i="31"/>
  <c r="AC6" i="31"/>
  <c r="AD6" i="31"/>
  <c r="AE6" i="31"/>
  <c r="AF6" i="31"/>
  <c r="AH6" i="31"/>
  <c r="AI6" i="31"/>
  <c r="AJ6" i="31"/>
  <c r="AK6" i="31"/>
  <c r="AM6" i="31"/>
  <c r="AN6" i="31"/>
  <c r="AO6" i="31"/>
  <c r="AA37" i="31"/>
  <c r="Z37" i="31"/>
  <c r="AQ37" i="31" s="1"/>
  <c r="AK37" i="31"/>
  <c r="AF37" i="31"/>
  <c r="Y37" i="31"/>
  <c r="AO37" i="31"/>
  <c r="X37" i="31"/>
  <c r="AN37" i="31"/>
  <c r="W37" i="31"/>
  <c r="AM37" i="31"/>
  <c r="AJ37" i="31"/>
  <c r="AI37" i="31"/>
  <c r="AH37" i="31"/>
  <c r="AE37" i="31"/>
  <c r="AD37" i="31"/>
  <c r="AC37" i="31"/>
  <c r="N38" i="29"/>
  <c r="C38" i="29" s="1"/>
  <c r="N40" i="29"/>
  <c r="C40" i="29" s="1"/>
  <c r="W39" i="31"/>
  <c r="X39" i="31"/>
  <c r="Y39" i="31"/>
  <c r="Z39" i="31"/>
  <c r="AQ39" i="31" s="1"/>
  <c r="AA39" i="31"/>
  <c r="AC39" i="31"/>
  <c r="AD39" i="31"/>
  <c r="AE39" i="31"/>
  <c r="AF39" i="31"/>
  <c r="AH39" i="31"/>
  <c r="AI39" i="31"/>
  <c r="AJ39" i="31"/>
  <c r="AK39" i="31"/>
  <c r="AM39" i="31"/>
  <c r="AN39" i="31"/>
  <c r="AO39" i="31"/>
  <c r="G7" i="29" l="1"/>
  <c r="F7" i="29"/>
  <c r="H7" i="29"/>
  <c r="E7" i="29"/>
  <c r="D7" i="29"/>
  <c r="H38" i="29"/>
  <c r="G38" i="29"/>
  <c r="F38" i="29"/>
  <c r="E38" i="29"/>
  <c r="D38" i="29"/>
  <c r="H40" i="29"/>
  <c r="F40" i="29"/>
  <c r="G40" i="29"/>
  <c r="E40" i="29"/>
  <c r="D40" i="29"/>
  <c r="AC16" i="2" l="1"/>
  <c r="S16" i="2"/>
  <c r="I16" i="2"/>
  <c r="AJ4" i="2" l="1"/>
  <c r="AJ5" i="2" s="1"/>
  <c r="AJ6" i="2" s="1"/>
  <c r="D568" i="32" l="1"/>
  <c r="D567" i="32"/>
  <c r="D566" i="32"/>
  <c r="D565" i="32"/>
  <c r="D564" i="32"/>
  <c r="D563" i="32"/>
  <c r="D562" i="32"/>
  <c r="D561" i="32"/>
  <c r="D560" i="32"/>
  <c r="D559" i="32"/>
  <c r="D558" i="32"/>
  <c r="D557" i="32"/>
  <c r="D556" i="32"/>
  <c r="D555" i="32"/>
  <c r="D554" i="32"/>
  <c r="D553" i="32"/>
  <c r="D552" i="32"/>
  <c r="D551" i="32"/>
  <c r="D550" i="32"/>
  <c r="D549" i="32"/>
  <c r="D548" i="32"/>
  <c r="D547" i="32"/>
  <c r="D546" i="32"/>
  <c r="D545" i="32"/>
  <c r="D544" i="32"/>
  <c r="D543" i="32"/>
  <c r="D542" i="32"/>
  <c r="D541" i="32"/>
  <c r="D540" i="32"/>
  <c r="D539" i="32"/>
  <c r="D538" i="32"/>
  <c r="D537" i="32"/>
  <c r="D536" i="32"/>
  <c r="D535" i="32"/>
  <c r="D534" i="32"/>
  <c r="D533" i="32"/>
  <c r="D532" i="32"/>
  <c r="D531" i="32"/>
  <c r="D530" i="32"/>
  <c r="D529" i="32"/>
  <c r="D528" i="32"/>
  <c r="D527" i="32"/>
  <c r="D526" i="32"/>
  <c r="D525" i="32"/>
  <c r="D524" i="32"/>
  <c r="D523" i="32"/>
  <c r="D522" i="32"/>
  <c r="D521" i="32"/>
  <c r="D520" i="32"/>
  <c r="D519" i="32"/>
  <c r="D518" i="32"/>
  <c r="D517" i="32"/>
  <c r="D516" i="32"/>
  <c r="D515" i="32"/>
  <c r="D514" i="32"/>
  <c r="D513" i="32"/>
  <c r="D511" i="32"/>
  <c r="D510" i="32"/>
  <c r="D509" i="32"/>
  <c r="D508" i="32"/>
  <c r="D507" i="32"/>
  <c r="D506" i="32"/>
  <c r="D505" i="32"/>
  <c r="D504" i="32"/>
  <c r="D503" i="32"/>
  <c r="D502" i="32"/>
  <c r="D501" i="32"/>
  <c r="D500" i="32"/>
  <c r="D499" i="32"/>
  <c r="D498" i="32"/>
  <c r="D497" i="32"/>
  <c r="D496" i="32"/>
  <c r="D495" i="32"/>
  <c r="D494" i="32"/>
  <c r="D493" i="32"/>
  <c r="D492" i="32"/>
  <c r="D491" i="32"/>
  <c r="D490" i="32"/>
  <c r="D489" i="32"/>
  <c r="D488" i="32"/>
  <c r="D487" i="32"/>
  <c r="D486" i="32"/>
  <c r="D485" i="32"/>
  <c r="D484" i="32"/>
  <c r="D483" i="32"/>
  <c r="D482" i="32"/>
  <c r="D480" i="32"/>
  <c r="D479" i="32"/>
  <c r="D478" i="32"/>
  <c r="D477" i="32"/>
  <c r="D476" i="32"/>
  <c r="D475" i="32"/>
  <c r="D474" i="32"/>
  <c r="D473" i="32"/>
  <c r="D472" i="32"/>
  <c r="D471" i="32"/>
  <c r="D470" i="32"/>
  <c r="D469" i="32"/>
  <c r="D468" i="32"/>
  <c r="D467" i="32"/>
  <c r="D466" i="32"/>
  <c r="D465" i="32"/>
  <c r="D464" i="32"/>
  <c r="D463" i="32"/>
  <c r="D462" i="32"/>
  <c r="D461" i="32"/>
  <c r="D460" i="32"/>
  <c r="D459" i="32"/>
  <c r="D458" i="32"/>
  <c r="D457" i="32"/>
  <c r="D456" i="32"/>
  <c r="D455" i="32"/>
  <c r="D454" i="32"/>
  <c r="D453" i="32"/>
  <c r="D452" i="32"/>
  <c r="D451" i="32"/>
  <c r="D449" i="32"/>
  <c r="D448" i="32"/>
  <c r="D447" i="32"/>
  <c r="D446" i="32"/>
  <c r="D445" i="32"/>
  <c r="D444" i="32"/>
  <c r="D443" i="32"/>
  <c r="D442" i="32"/>
  <c r="D441" i="32"/>
  <c r="D440" i="32"/>
  <c r="D439" i="32"/>
  <c r="D438" i="32"/>
  <c r="D437" i="32"/>
  <c r="D436" i="32"/>
  <c r="D435" i="32"/>
  <c r="D434" i="32"/>
  <c r="D433" i="32"/>
  <c r="D432" i="32"/>
  <c r="D431" i="32"/>
  <c r="D430" i="32"/>
  <c r="D429" i="32"/>
  <c r="D428" i="32"/>
  <c r="D427" i="32"/>
  <c r="D426" i="32"/>
  <c r="D425" i="32"/>
  <c r="D424" i="32"/>
  <c r="D423" i="32"/>
  <c r="D422" i="32"/>
  <c r="D421" i="32"/>
  <c r="D420" i="32"/>
  <c r="D418" i="32"/>
  <c r="D417" i="32"/>
  <c r="D416" i="32"/>
  <c r="D415" i="32"/>
  <c r="D414" i="32"/>
  <c r="D413" i="32"/>
  <c r="D412" i="32"/>
  <c r="D411" i="32"/>
  <c r="D410" i="32"/>
  <c r="D409" i="32"/>
  <c r="D408" i="32"/>
  <c r="D407" i="32"/>
  <c r="D406" i="32"/>
  <c r="D405" i="32"/>
  <c r="D404" i="32"/>
  <c r="D403" i="32"/>
  <c r="D402" i="32"/>
  <c r="D401" i="32"/>
  <c r="D400" i="32"/>
  <c r="D399" i="32"/>
  <c r="D398" i="32"/>
  <c r="D397" i="32"/>
  <c r="D396" i="32"/>
  <c r="D395" i="32"/>
  <c r="D394" i="32"/>
  <c r="D393" i="32"/>
  <c r="D392" i="32"/>
  <c r="D391" i="32"/>
  <c r="D390" i="32"/>
  <c r="D389" i="32"/>
  <c r="D387" i="32"/>
  <c r="D386" i="32"/>
  <c r="D385" i="32"/>
  <c r="D384" i="32"/>
  <c r="D383" i="32"/>
  <c r="D382" i="32"/>
  <c r="D381" i="32"/>
  <c r="D380" i="32"/>
  <c r="D379" i="32"/>
  <c r="D378" i="32"/>
  <c r="D377" i="32"/>
  <c r="D376" i="32"/>
  <c r="D375" i="32"/>
  <c r="D374" i="32"/>
  <c r="D373" i="32"/>
  <c r="D372" i="32"/>
  <c r="D371" i="32"/>
  <c r="D370" i="32"/>
  <c r="D369" i="32"/>
  <c r="D368" i="32"/>
  <c r="D367" i="32"/>
  <c r="D366" i="32"/>
  <c r="D365" i="32"/>
  <c r="D364" i="32"/>
  <c r="D363" i="32"/>
  <c r="D362" i="32"/>
  <c r="D361" i="32"/>
  <c r="D360" i="32"/>
  <c r="D359" i="32"/>
  <c r="D358" i="32"/>
  <c r="D357" i="32"/>
  <c r="D356" i="32"/>
  <c r="D355" i="32"/>
  <c r="D354" i="32"/>
  <c r="D353" i="32"/>
  <c r="D352" i="32"/>
  <c r="D351" i="32"/>
  <c r="D350" i="32"/>
  <c r="D349" i="32"/>
  <c r="D348" i="32"/>
  <c r="D347" i="32"/>
  <c r="D346" i="32"/>
  <c r="D345" i="32"/>
  <c r="D344" i="32"/>
  <c r="D343" i="32"/>
  <c r="D342" i="32"/>
  <c r="D341" i="32"/>
  <c r="D340" i="32"/>
  <c r="D339" i="32"/>
  <c r="D338" i="32"/>
  <c r="D337" i="32"/>
  <c r="D336" i="32"/>
  <c r="D335" i="32"/>
  <c r="D334" i="32"/>
  <c r="D333" i="32"/>
  <c r="D332" i="32"/>
  <c r="D331" i="32"/>
  <c r="D330" i="32"/>
  <c r="D329" i="32"/>
  <c r="D328" i="32"/>
  <c r="D323" i="32"/>
  <c r="D322" i="32"/>
  <c r="D321" i="32"/>
  <c r="D312" i="32"/>
  <c r="D311" i="32"/>
  <c r="D310" i="32"/>
  <c r="D309" i="32"/>
  <c r="D308" i="32"/>
  <c r="D307" i="32"/>
  <c r="D306" i="32"/>
  <c r="D305" i="32"/>
  <c r="D304" i="32"/>
  <c r="D303" i="32"/>
  <c r="D302" i="32"/>
  <c r="D301" i="32"/>
  <c r="D300" i="32"/>
  <c r="D299" i="32"/>
  <c r="D298" i="32"/>
  <c r="D297" i="32"/>
  <c r="D296" i="32"/>
  <c r="D295" i="32"/>
  <c r="D294" i="32"/>
  <c r="D293" i="32"/>
  <c r="D292" i="32"/>
  <c r="D291" i="32"/>
  <c r="D290" i="32"/>
  <c r="D289" i="32"/>
  <c r="D288" i="32"/>
  <c r="D287" i="32"/>
  <c r="D286" i="32"/>
  <c r="D285" i="32"/>
  <c r="D280" i="32"/>
  <c r="D278" i="32"/>
  <c r="D269" i="32"/>
  <c r="D268" i="32"/>
  <c r="D267" i="32"/>
  <c r="D266" i="32"/>
  <c r="D265" i="32"/>
  <c r="D264" i="32"/>
  <c r="D263" i="32"/>
  <c r="D262" i="32"/>
  <c r="D261" i="32"/>
  <c r="D260" i="32"/>
  <c r="D259" i="32"/>
  <c r="D258" i="32"/>
  <c r="D257" i="32"/>
  <c r="D256" i="32"/>
  <c r="D255" i="32"/>
  <c r="D254" i="32"/>
  <c r="D253" i="32"/>
  <c r="D252" i="32"/>
  <c r="D251" i="32"/>
  <c r="D250" i="32"/>
  <c r="D249" i="32"/>
  <c r="D248" i="32"/>
  <c r="D247" i="32"/>
  <c r="D246" i="32"/>
  <c r="D245" i="32"/>
  <c r="D244" i="32"/>
  <c r="D243" i="32"/>
  <c r="D242" i="32"/>
  <c r="D237" i="32"/>
  <c r="D235" i="32"/>
  <c r="D226" i="32"/>
  <c r="D225" i="32"/>
  <c r="D224" i="32"/>
  <c r="D223" i="32"/>
  <c r="D222" i="32"/>
  <c r="D221" i="32"/>
  <c r="D220" i="32"/>
  <c r="D219" i="32"/>
  <c r="D218" i="32"/>
  <c r="D217" i="32"/>
  <c r="D216" i="32"/>
  <c r="D215" i="32"/>
  <c r="D214" i="32"/>
  <c r="D213" i="32"/>
  <c r="D212" i="32"/>
  <c r="D211" i="32"/>
  <c r="D210" i="32"/>
  <c r="D209" i="32"/>
  <c r="D208" i="32"/>
  <c r="D207" i="32"/>
  <c r="D206" i="32"/>
  <c r="D205" i="32"/>
  <c r="D204" i="32"/>
  <c r="D203" i="32"/>
  <c r="D202" i="32"/>
  <c r="D201" i="32"/>
  <c r="D200" i="32"/>
  <c r="D199" i="32"/>
  <c r="D194" i="32"/>
  <c r="D192" i="32"/>
  <c r="D183" i="32"/>
  <c r="D182" i="32"/>
  <c r="D181" i="32"/>
  <c r="D180" i="32"/>
  <c r="D179" i="32"/>
  <c r="D178" i="32"/>
  <c r="D177" i="32"/>
  <c r="D176" i="32"/>
  <c r="D175" i="32"/>
  <c r="D174" i="32"/>
  <c r="D173" i="32"/>
  <c r="D172" i="32"/>
  <c r="D171" i="32"/>
  <c r="D170" i="32"/>
  <c r="D169" i="32"/>
  <c r="D168" i="32"/>
  <c r="D167" i="32"/>
  <c r="D166" i="32"/>
  <c r="D165" i="32"/>
  <c r="D164" i="32"/>
  <c r="D163" i="32"/>
  <c r="D162" i="32"/>
  <c r="D161" i="32"/>
  <c r="D160" i="32"/>
  <c r="D159" i="32"/>
  <c r="D158" i="32"/>
  <c r="D157" i="32"/>
  <c r="D156" i="32"/>
  <c r="D151" i="32"/>
  <c r="D149" i="32"/>
  <c r="D140" i="32"/>
  <c r="D139" i="32"/>
  <c r="D138" i="32"/>
  <c r="D137" i="32"/>
  <c r="D136" i="32"/>
  <c r="D135" i="32"/>
  <c r="D134" i="32"/>
  <c r="D133" i="32"/>
  <c r="D132" i="32"/>
  <c r="D131" i="32"/>
  <c r="D130" i="32"/>
  <c r="D129" i="32"/>
  <c r="D128" i="32"/>
  <c r="D127" i="32"/>
  <c r="D126" i="32"/>
  <c r="D125" i="32"/>
  <c r="D124" i="32"/>
  <c r="D123" i="32"/>
  <c r="D122" i="32"/>
  <c r="D121" i="32"/>
  <c r="D120" i="32"/>
  <c r="D119" i="32"/>
  <c r="D118" i="32"/>
  <c r="D117" i="32"/>
  <c r="D116" i="32"/>
  <c r="D115" i="32"/>
  <c r="D114" i="32"/>
  <c r="D113" i="32"/>
  <c r="D108" i="32"/>
  <c r="D106" i="32"/>
  <c r="D97" i="32"/>
  <c r="D96" i="32"/>
  <c r="D95" i="32"/>
  <c r="D94" i="32"/>
  <c r="D93" i="32"/>
  <c r="D92" i="32"/>
  <c r="D91" i="32"/>
  <c r="D90" i="32"/>
  <c r="D89" i="32"/>
  <c r="D88" i="32"/>
  <c r="D87" i="32"/>
  <c r="D86" i="32"/>
  <c r="D85" i="32"/>
  <c r="D84" i="32"/>
  <c r="D83" i="32"/>
  <c r="D82" i="32"/>
  <c r="D81" i="32"/>
  <c r="D80" i="32"/>
  <c r="D79" i="32"/>
  <c r="D78" i="32"/>
  <c r="D77" i="32"/>
  <c r="D76" i="32"/>
  <c r="D75" i="32"/>
  <c r="D74" i="32"/>
  <c r="D73" i="32"/>
  <c r="D72" i="32"/>
  <c r="D71" i="32"/>
  <c r="D70" i="32"/>
  <c r="D65" i="32"/>
  <c r="D63" i="32"/>
  <c r="D54" i="32"/>
  <c r="D53" i="32"/>
  <c r="D52" i="32"/>
  <c r="D51" i="32"/>
  <c r="N27" i="29" l="1"/>
  <c r="C27" i="29" s="1"/>
  <c r="W26" i="31"/>
  <c r="X26" i="31"/>
  <c r="Y26" i="31"/>
  <c r="Z26" i="31"/>
  <c r="AQ26" i="31" s="1"/>
  <c r="AA26" i="31"/>
  <c r="AC26" i="31"/>
  <c r="AD26" i="31"/>
  <c r="AE26" i="31"/>
  <c r="AF26" i="31"/>
  <c r="AH26" i="31"/>
  <c r="AI26" i="31"/>
  <c r="AJ26" i="31"/>
  <c r="AK26" i="31"/>
  <c r="AM26" i="31"/>
  <c r="AN26" i="31"/>
  <c r="AO26" i="31"/>
  <c r="H27" i="29" l="1"/>
  <c r="G27" i="29"/>
  <c r="F27" i="29"/>
  <c r="E27" i="29"/>
  <c r="D27" i="29"/>
  <c r="X83" i="31" l="1"/>
  <c r="Y83" i="31"/>
  <c r="Z83" i="31"/>
  <c r="AA83" i="31"/>
  <c r="W83" i="31"/>
  <c r="X69" i="31"/>
  <c r="Y69" i="31"/>
  <c r="Z69" i="31"/>
  <c r="AA69" i="31"/>
  <c r="X70" i="31"/>
  <c r="Y70" i="31"/>
  <c r="Z70" i="31"/>
  <c r="AA70" i="31"/>
  <c r="X71" i="31"/>
  <c r="Y71" i="31"/>
  <c r="Z71" i="31"/>
  <c r="AA71" i="31"/>
  <c r="X72" i="31"/>
  <c r="Y72" i="31"/>
  <c r="Z72" i="31"/>
  <c r="AA72" i="31"/>
  <c r="X73" i="31"/>
  <c r="Y73" i="31"/>
  <c r="Z73" i="31"/>
  <c r="AA73" i="31"/>
  <c r="X74" i="31"/>
  <c r="Y74" i="31"/>
  <c r="Z74" i="31"/>
  <c r="AA74" i="31"/>
  <c r="X75" i="31"/>
  <c r="Y75" i="31"/>
  <c r="Z75" i="31"/>
  <c r="AA75" i="31"/>
  <c r="X76" i="31"/>
  <c r="Y76" i="31"/>
  <c r="Z76" i="31"/>
  <c r="AA76" i="31"/>
  <c r="X77" i="31"/>
  <c r="Y77" i="31"/>
  <c r="Z77" i="31"/>
  <c r="AA77" i="31"/>
  <c r="X78" i="31"/>
  <c r="Y78" i="31"/>
  <c r="Z78" i="31"/>
  <c r="AA78" i="31"/>
  <c r="X79" i="31"/>
  <c r="Y79" i="31"/>
  <c r="Z79" i="31"/>
  <c r="AA79" i="31"/>
  <c r="X80" i="31"/>
  <c r="Y80" i="31"/>
  <c r="Z80" i="31"/>
  <c r="AA80" i="31"/>
  <c r="X81" i="31"/>
  <c r="Y81" i="31"/>
  <c r="Z81" i="31"/>
  <c r="AA81" i="31"/>
  <c r="X82" i="31"/>
  <c r="Y82" i="31"/>
  <c r="Z82" i="31"/>
  <c r="AA82" i="31"/>
  <c r="W70" i="31"/>
  <c r="W71" i="31"/>
  <c r="W72" i="31"/>
  <c r="W73" i="31"/>
  <c r="W74" i="31"/>
  <c r="W75" i="31"/>
  <c r="W76" i="31"/>
  <c r="W77" i="31"/>
  <c r="W78" i="31"/>
  <c r="W79" i="31"/>
  <c r="W80" i="31"/>
  <c r="W81" i="31"/>
  <c r="W82" i="31"/>
  <c r="W69" i="31"/>
  <c r="X68" i="31"/>
  <c r="Y68" i="31"/>
  <c r="Z68" i="31"/>
  <c r="AA68" i="31"/>
  <c r="W68" i="31"/>
  <c r="W7" i="31" l="1"/>
  <c r="X7" i="31"/>
  <c r="Y7" i="31"/>
  <c r="Z7" i="31"/>
  <c r="AA7" i="31"/>
  <c r="W8" i="31"/>
  <c r="X8" i="31"/>
  <c r="Y8" i="31"/>
  <c r="Z8" i="31"/>
  <c r="AA8" i="31"/>
  <c r="W9" i="31"/>
  <c r="X9" i="31"/>
  <c r="Y9" i="31"/>
  <c r="Z9" i="31"/>
  <c r="AA9" i="31"/>
  <c r="W10" i="31"/>
  <c r="X10" i="31"/>
  <c r="Y10" i="31"/>
  <c r="Z10" i="31"/>
  <c r="AA10" i="31"/>
  <c r="W11" i="31"/>
  <c r="X11" i="31"/>
  <c r="Y11" i="31"/>
  <c r="Z11" i="31"/>
  <c r="AA11" i="31"/>
  <c r="W12" i="31"/>
  <c r="X12" i="31"/>
  <c r="Y12" i="31"/>
  <c r="Z12" i="31"/>
  <c r="AA12" i="31"/>
  <c r="W13" i="31"/>
  <c r="X13" i="31"/>
  <c r="Y13" i="31"/>
  <c r="Z13" i="31"/>
  <c r="AA13" i="31"/>
  <c r="W14" i="31"/>
  <c r="X14" i="31"/>
  <c r="Y14" i="31"/>
  <c r="Z14" i="31"/>
  <c r="AA14" i="31"/>
  <c r="W15" i="31"/>
  <c r="X15" i="31"/>
  <c r="Y15" i="31"/>
  <c r="Z15" i="31"/>
  <c r="AA15" i="31"/>
  <c r="W16" i="31"/>
  <c r="X16" i="31"/>
  <c r="Y16" i="31"/>
  <c r="Z16" i="31"/>
  <c r="AA16" i="31"/>
  <c r="W17" i="31"/>
  <c r="X17" i="31"/>
  <c r="Y17" i="31"/>
  <c r="Z17" i="31"/>
  <c r="AA17" i="31"/>
  <c r="W18" i="31"/>
  <c r="X18" i="31"/>
  <c r="Y18" i="31"/>
  <c r="Z18" i="31"/>
  <c r="AA18" i="31"/>
  <c r="W19" i="31"/>
  <c r="X19" i="31"/>
  <c r="Y19" i="31"/>
  <c r="Z19" i="31"/>
  <c r="AA19" i="31"/>
  <c r="W20" i="31"/>
  <c r="X20" i="31"/>
  <c r="Y20" i="31"/>
  <c r="Z20" i="31"/>
  <c r="AA20" i="31"/>
  <c r="W21" i="31"/>
  <c r="X21" i="31"/>
  <c r="Y21" i="31"/>
  <c r="Z21" i="31"/>
  <c r="AA21" i="31"/>
  <c r="W22" i="31"/>
  <c r="X22" i="31"/>
  <c r="Y22" i="31"/>
  <c r="Z22" i="31"/>
  <c r="AA22" i="31"/>
  <c r="W23" i="31"/>
  <c r="X23" i="31"/>
  <c r="Y23" i="31"/>
  <c r="Z23" i="31"/>
  <c r="AA23" i="31"/>
  <c r="W24" i="31"/>
  <c r="X24" i="31"/>
  <c r="Y24" i="31"/>
  <c r="Z24" i="31"/>
  <c r="AA24" i="31"/>
  <c r="W25" i="31"/>
  <c r="X25" i="31"/>
  <c r="Y25" i="31"/>
  <c r="Z25" i="31"/>
  <c r="AA25" i="31"/>
  <c r="W27" i="31"/>
  <c r="X27" i="31"/>
  <c r="Y27" i="31"/>
  <c r="Z27" i="31"/>
  <c r="AA27" i="31"/>
  <c r="W28" i="31"/>
  <c r="X28" i="31"/>
  <c r="Y28" i="31"/>
  <c r="Z28" i="31"/>
  <c r="AA28" i="31"/>
  <c r="W29" i="31"/>
  <c r="X29" i="31"/>
  <c r="Y29" i="31"/>
  <c r="Z29" i="31"/>
  <c r="AA29" i="31"/>
  <c r="W30" i="31"/>
  <c r="X30" i="31"/>
  <c r="Y30" i="31"/>
  <c r="Z30" i="31"/>
  <c r="AA30" i="31"/>
  <c r="W31" i="31"/>
  <c r="X31" i="31"/>
  <c r="Y31" i="31"/>
  <c r="Z31" i="31"/>
  <c r="AA31" i="31"/>
  <c r="W32" i="31"/>
  <c r="X32" i="31"/>
  <c r="Y32" i="31"/>
  <c r="Z32" i="31"/>
  <c r="AA32" i="31"/>
  <c r="W33" i="31"/>
  <c r="X33" i="31"/>
  <c r="Y33" i="31"/>
  <c r="Z33" i="31"/>
  <c r="AA33" i="31"/>
  <c r="W34" i="31"/>
  <c r="X34" i="31"/>
  <c r="Y34" i="31"/>
  <c r="Z34" i="31"/>
  <c r="AA34" i="31"/>
  <c r="W35" i="31"/>
  <c r="X35" i="31"/>
  <c r="Y35" i="31"/>
  <c r="Z35" i="31"/>
  <c r="AA35" i="31"/>
  <c r="W36" i="31"/>
  <c r="X36" i="31"/>
  <c r="Y36" i="31"/>
  <c r="Z36" i="31"/>
  <c r="AA36" i="31"/>
  <c r="W38" i="31"/>
  <c r="X38" i="31"/>
  <c r="Y38" i="31"/>
  <c r="Z38" i="31"/>
  <c r="AA38" i="31"/>
  <c r="W40" i="31"/>
  <c r="X40" i="31"/>
  <c r="Y40" i="31"/>
  <c r="Z40" i="31"/>
  <c r="AA40" i="31"/>
  <c r="W41" i="31"/>
  <c r="X41" i="31"/>
  <c r="Y41" i="31"/>
  <c r="Z41" i="31"/>
  <c r="AA41" i="31"/>
  <c r="W42" i="31"/>
  <c r="X42" i="31"/>
  <c r="Y42" i="31"/>
  <c r="Z42" i="31"/>
  <c r="AA42" i="31"/>
  <c r="W43" i="31"/>
  <c r="X43" i="31"/>
  <c r="Y43" i="31"/>
  <c r="Z43" i="31"/>
  <c r="AA43" i="31"/>
  <c r="W44" i="31"/>
  <c r="X44" i="31"/>
  <c r="Y44" i="31"/>
  <c r="Z44" i="31"/>
  <c r="AA44" i="31"/>
  <c r="W45" i="31"/>
  <c r="X45" i="31"/>
  <c r="Y45" i="31"/>
  <c r="Z45" i="31"/>
  <c r="AA45" i="31"/>
  <c r="W46" i="31"/>
  <c r="X46" i="31"/>
  <c r="Y46" i="31"/>
  <c r="Z46" i="31"/>
  <c r="AA46" i="31"/>
  <c r="W47" i="31"/>
  <c r="X47" i="31"/>
  <c r="Y47" i="31"/>
  <c r="Z47" i="31"/>
  <c r="AA47" i="31"/>
  <c r="W48" i="31"/>
  <c r="X48" i="31"/>
  <c r="Y48" i="31"/>
  <c r="Z48" i="31"/>
  <c r="AA48" i="31"/>
  <c r="W49" i="31"/>
  <c r="X49" i="31"/>
  <c r="Y49" i="31"/>
  <c r="Z49" i="31"/>
  <c r="AA49" i="31"/>
  <c r="W50" i="31"/>
  <c r="X50" i="31"/>
  <c r="Y50" i="31"/>
  <c r="Z50" i="31"/>
  <c r="AA50" i="31"/>
  <c r="W51" i="31"/>
  <c r="X51" i="31"/>
  <c r="Y51" i="31"/>
  <c r="Z51" i="31"/>
  <c r="AA51" i="31"/>
  <c r="W52" i="31"/>
  <c r="X52" i="31"/>
  <c r="Y52" i="31"/>
  <c r="Z52" i="31"/>
  <c r="AA52" i="31"/>
  <c r="W53" i="31"/>
  <c r="X53" i="31"/>
  <c r="Y53" i="31"/>
  <c r="Z53" i="31"/>
  <c r="AA53" i="31"/>
  <c r="W55" i="31"/>
  <c r="X55" i="31"/>
  <c r="Y55" i="31"/>
  <c r="Z55" i="31"/>
  <c r="AA55" i="31"/>
  <c r="W56" i="31"/>
  <c r="X56" i="31"/>
  <c r="Y56" i="31"/>
  <c r="Z56" i="31"/>
  <c r="AA56" i="31"/>
  <c r="W57" i="31"/>
  <c r="X57" i="31"/>
  <c r="Y57" i="31"/>
  <c r="Z57" i="31"/>
  <c r="AA57" i="31"/>
  <c r="W58" i="31"/>
  <c r="X58" i="31"/>
  <c r="Y58" i="31"/>
  <c r="Z58" i="31"/>
  <c r="AA58" i="31"/>
  <c r="W59" i="31"/>
  <c r="X59" i="31"/>
  <c r="Y59" i="31"/>
  <c r="Z59" i="31"/>
  <c r="AA59" i="31"/>
  <c r="W60" i="31"/>
  <c r="X60" i="31"/>
  <c r="Y60" i="31"/>
  <c r="Z60" i="31"/>
  <c r="AA60" i="31"/>
  <c r="W61" i="31"/>
  <c r="X61" i="31"/>
  <c r="Y61" i="31"/>
  <c r="Z61" i="31"/>
  <c r="AA61" i="31"/>
  <c r="W62" i="31"/>
  <c r="X62" i="31"/>
  <c r="Y62" i="31"/>
  <c r="Z62" i="31"/>
  <c r="AA62" i="31"/>
  <c r="W63" i="31"/>
  <c r="X63" i="31"/>
  <c r="Y63" i="31"/>
  <c r="Z63" i="31"/>
  <c r="AA63" i="31"/>
  <c r="W64" i="31"/>
  <c r="X64" i="31"/>
  <c r="Y64" i="31"/>
  <c r="Z64" i="31"/>
  <c r="AA64" i="31"/>
  <c r="W65" i="31"/>
  <c r="X65" i="31"/>
  <c r="Y65" i="31"/>
  <c r="Z65" i="31"/>
  <c r="AA65" i="31"/>
  <c r="W66" i="31"/>
  <c r="X66" i="31"/>
  <c r="Y66" i="31"/>
  <c r="Z66" i="31"/>
  <c r="AA66" i="31"/>
  <c r="W67" i="31"/>
  <c r="X67" i="31"/>
  <c r="Y67" i="31"/>
  <c r="Z67" i="31"/>
  <c r="AA67" i="31"/>
  <c r="X4" i="31"/>
  <c r="Y4" i="31"/>
  <c r="AA4" i="31"/>
  <c r="W4" i="31"/>
  <c r="AM18" i="31" l="1"/>
  <c r="AN18" i="31"/>
  <c r="AO18" i="31"/>
  <c r="AM19" i="31"/>
  <c r="AN19" i="31"/>
  <c r="AO19" i="31"/>
  <c r="AM20" i="31"/>
  <c r="AN20" i="31"/>
  <c r="AO20" i="31"/>
  <c r="AH18" i="31"/>
  <c r="AI18" i="31"/>
  <c r="AJ18" i="31"/>
  <c r="AK18" i="31"/>
  <c r="AH19" i="31"/>
  <c r="AI19" i="31"/>
  <c r="AJ19" i="31"/>
  <c r="AK19" i="31"/>
  <c r="AH20" i="31"/>
  <c r="AI20" i="31"/>
  <c r="AJ20" i="31"/>
  <c r="AK20" i="31"/>
  <c r="AC18" i="31"/>
  <c r="AD18" i="31"/>
  <c r="AE18" i="31"/>
  <c r="AF18" i="31"/>
  <c r="AC19" i="31"/>
  <c r="AD19" i="31"/>
  <c r="AE19" i="31"/>
  <c r="AF19" i="31"/>
  <c r="AC20" i="31"/>
  <c r="AD20" i="31"/>
  <c r="AE20" i="31"/>
  <c r="AF20" i="31"/>
  <c r="AQ19" i="31" l="1"/>
  <c r="AQ18" i="31"/>
  <c r="N20" i="29"/>
  <c r="C20" i="29" s="1"/>
  <c r="N19" i="29"/>
  <c r="C19" i="29" s="1"/>
  <c r="H20" i="29" l="1"/>
  <c r="G20" i="29"/>
  <c r="E20" i="29"/>
  <c r="F20" i="29"/>
  <c r="D20" i="29"/>
  <c r="H19" i="29"/>
  <c r="F19" i="29"/>
  <c r="E19" i="29"/>
  <c r="G19" i="29"/>
  <c r="D19" i="29"/>
  <c r="H3" i="54"/>
  <c r="I3" i="54"/>
  <c r="J3" i="54"/>
  <c r="H5" i="54"/>
  <c r="I5" i="54"/>
  <c r="J5" i="54"/>
  <c r="H6" i="54"/>
  <c r="I6" i="54"/>
  <c r="J6" i="54"/>
  <c r="H7" i="54"/>
  <c r="I7" i="54"/>
  <c r="J7" i="54"/>
  <c r="J2" i="54"/>
  <c r="I2" i="54"/>
  <c r="H2" i="54"/>
  <c r="G3" i="54"/>
  <c r="G5" i="54"/>
  <c r="G7" i="54"/>
  <c r="G2" i="54"/>
  <c r="I221" i="7" l="1"/>
  <c r="I220" i="7"/>
  <c r="I219" i="7"/>
  <c r="I218" i="7"/>
  <c r="I217" i="7"/>
  <c r="I216" i="7"/>
  <c r="I215" i="7"/>
  <c r="I214" i="7"/>
  <c r="I213" i="7"/>
  <c r="I212" i="7"/>
  <c r="I211" i="7"/>
  <c r="I210" i="7"/>
  <c r="I209" i="7"/>
  <c r="I208" i="7"/>
  <c r="I207" i="7"/>
  <c r="I206" i="7"/>
  <c r="I205" i="7"/>
  <c r="I204" i="7"/>
  <c r="I203" i="7"/>
  <c r="I202" i="7"/>
  <c r="I201" i="7"/>
  <c r="I200" i="7"/>
  <c r="I199" i="7"/>
  <c r="I198" i="7"/>
  <c r="I197" i="7"/>
  <c r="I196" i="7"/>
  <c r="I195" i="7"/>
  <c r="I194" i="7"/>
  <c r="I193" i="7"/>
  <c r="I192" i="7"/>
  <c r="I191" i="7"/>
  <c r="I190" i="7"/>
  <c r="I189" i="7"/>
  <c r="I188" i="7"/>
  <c r="I187" i="7"/>
  <c r="I186" i="7"/>
  <c r="I185" i="7"/>
  <c r="I184" i="7"/>
  <c r="I183" i="7"/>
  <c r="I182" i="7"/>
  <c r="I181" i="7"/>
  <c r="I180" i="7"/>
  <c r="I179" i="7"/>
  <c r="I178" i="7"/>
  <c r="I177" i="7"/>
  <c r="I176" i="7"/>
  <c r="I175" i="7"/>
  <c r="I174" i="7"/>
  <c r="I173" i="7"/>
  <c r="I172" i="7"/>
  <c r="I171" i="7"/>
  <c r="I170" i="7"/>
  <c r="I169" i="7"/>
  <c r="I168" i="7"/>
  <c r="I167" i="7"/>
  <c r="I166" i="7"/>
  <c r="I165" i="7"/>
  <c r="I164" i="7"/>
  <c r="I163" i="7"/>
  <c r="I162" i="7"/>
  <c r="I161" i="7"/>
  <c r="I160" i="7"/>
  <c r="I159" i="7"/>
  <c r="I158" i="7"/>
  <c r="I157" i="7"/>
  <c r="I156" i="7"/>
  <c r="I155" i="7"/>
  <c r="I154" i="7"/>
  <c r="I153" i="7"/>
  <c r="I152" i="7"/>
  <c r="I151" i="7"/>
  <c r="I150" i="7"/>
  <c r="I149" i="7"/>
  <c r="I148" i="7"/>
  <c r="I147" i="7"/>
  <c r="I146" i="7"/>
  <c r="I145" i="7"/>
  <c r="I144" i="7"/>
  <c r="I143" i="7"/>
  <c r="I142" i="7"/>
  <c r="I141" i="7"/>
  <c r="I140" i="7"/>
  <c r="I139" i="7"/>
  <c r="I138" i="7"/>
  <c r="I137" i="7"/>
  <c r="I136" i="7"/>
  <c r="I135" i="7"/>
  <c r="I134" i="7"/>
  <c r="I133" i="7"/>
  <c r="I132" i="7"/>
  <c r="I131" i="7"/>
  <c r="I130" i="7"/>
  <c r="I129" i="7"/>
  <c r="I128" i="7"/>
  <c r="I127" i="7"/>
  <c r="I126" i="7"/>
  <c r="I125" i="7"/>
  <c r="I124" i="7"/>
  <c r="I123" i="7"/>
  <c r="I122" i="7"/>
  <c r="I121" i="7"/>
  <c r="I120" i="7"/>
  <c r="I119" i="7"/>
  <c r="I118" i="7"/>
  <c r="I117" i="7"/>
  <c r="I116" i="7"/>
  <c r="I115" i="7"/>
  <c r="I114" i="7"/>
  <c r="I113" i="7"/>
  <c r="I112" i="7"/>
  <c r="N50" i="29" l="1"/>
  <c r="C50" i="29" s="1"/>
  <c r="H50" i="29" l="1"/>
  <c r="G50" i="29"/>
  <c r="F50" i="29"/>
  <c r="E50" i="29"/>
  <c r="D50" i="29"/>
  <c r="N35" i="29" l="1"/>
  <c r="N34" i="29"/>
  <c r="N36" i="29"/>
  <c r="N37" i="29"/>
  <c r="N39" i="29"/>
  <c r="N41" i="29"/>
  <c r="N42" i="29"/>
  <c r="N43" i="29"/>
  <c r="N44" i="29"/>
  <c r="N45" i="29"/>
  <c r="N46" i="29"/>
  <c r="N47" i="29"/>
  <c r="N48" i="29"/>
  <c r="N49" i="29"/>
  <c r="N51" i="29"/>
  <c r="N52" i="29"/>
  <c r="N53" i="29"/>
  <c r="N54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33" i="29"/>
  <c r="AQ49" i="31"/>
  <c r="AO49" i="31"/>
  <c r="AN49" i="31"/>
  <c r="AM49" i="31"/>
  <c r="AK49" i="31"/>
  <c r="AJ49" i="31"/>
  <c r="AI49" i="31"/>
  <c r="AH49" i="31"/>
  <c r="AF49" i="31"/>
  <c r="AE49" i="31"/>
  <c r="AD49" i="31"/>
  <c r="AC49" i="31"/>
  <c r="AN1" i="31" l="1"/>
  <c r="AO1" i="31"/>
  <c r="AI1" i="31"/>
  <c r="AJ1" i="31"/>
  <c r="AK1" i="31"/>
  <c r="AH1" i="31"/>
  <c r="AD1" i="31"/>
  <c r="AE1" i="31"/>
  <c r="AF1" i="31"/>
  <c r="AC1" i="31"/>
  <c r="W1" i="31"/>
  <c r="AM7" i="31"/>
  <c r="AN7" i="31"/>
  <c r="AO7" i="31"/>
  <c r="AQ7" i="31"/>
  <c r="AM8" i="31"/>
  <c r="AN8" i="31"/>
  <c r="AO8" i="31"/>
  <c r="AQ8" i="31"/>
  <c r="AM9" i="31"/>
  <c r="AN9" i="31"/>
  <c r="AO9" i="31"/>
  <c r="AQ9" i="31"/>
  <c r="AM10" i="31"/>
  <c r="AN10" i="31"/>
  <c r="AO10" i="31"/>
  <c r="AQ10" i="31"/>
  <c r="AM11" i="31"/>
  <c r="AN11" i="31"/>
  <c r="AO11" i="31"/>
  <c r="AQ11" i="31"/>
  <c r="AM12" i="31"/>
  <c r="AN12" i="31"/>
  <c r="AO12" i="31"/>
  <c r="AQ12" i="31"/>
  <c r="AM13" i="31"/>
  <c r="AN13" i="31"/>
  <c r="AO13" i="31"/>
  <c r="AQ13" i="31"/>
  <c r="AM14" i="31"/>
  <c r="AN14" i="31"/>
  <c r="AO14" i="31"/>
  <c r="AQ14" i="31"/>
  <c r="AM15" i="31"/>
  <c r="AN15" i="31"/>
  <c r="AO15" i="31"/>
  <c r="AQ15" i="31"/>
  <c r="AM16" i="31"/>
  <c r="AN16" i="31"/>
  <c r="AO16" i="31"/>
  <c r="AQ16" i="31"/>
  <c r="AM17" i="31"/>
  <c r="AN17" i="31"/>
  <c r="AO17" i="31"/>
  <c r="AQ17" i="31"/>
  <c r="AQ20" i="31"/>
  <c r="AM21" i="31"/>
  <c r="AN21" i="31"/>
  <c r="AO21" i="31"/>
  <c r="AQ21" i="31"/>
  <c r="AM22" i="31"/>
  <c r="AN22" i="31"/>
  <c r="AO22" i="31"/>
  <c r="AQ22" i="31"/>
  <c r="AM23" i="31"/>
  <c r="AN23" i="31"/>
  <c r="AO23" i="31"/>
  <c r="AQ23" i="31"/>
  <c r="AM24" i="31"/>
  <c r="AN24" i="31"/>
  <c r="AO24" i="31"/>
  <c r="AQ24" i="31"/>
  <c r="AM25" i="31"/>
  <c r="AN25" i="31"/>
  <c r="AO25" i="31"/>
  <c r="AQ25" i="31"/>
  <c r="AM27" i="31"/>
  <c r="AN27" i="31"/>
  <c r="AO27" i="31"/>
  <c r="AQ27" i="31"/>
  <c r="AM28" i="31"/>
  <c r="AN28" i="31"/>
  <c r="AO28" i="31"/>
  <c r="AQ28" i="31"/>
  <c r="AM29" i="31"/>
  <c r="AN29" i="31"/>
  <c r="AO29" i="31"/>
  <c r="AQ29" i="31"/>
  <c r="AM30" i="31"/>
  <c r="AN30" i="31"/>
  <c r="AO30" i="31"/>
  <c r="AQ30" i="31"/>
  <c r="AM31" i="31"/>
  <c r="AN31" i="31"/>
  <c r="AO31" i="31"/>
  <c r="AQ31" i="31"/>
  <c r="AM32" i="31"/>
  <c r="AN32" i="31"/>
  <c r="AO32" i="31"/>
  <c r="AQ32" i="31"/>
  <c r="AM33" i="31"/>
  <c r="AN33" i="31"/>
  <c r="AO33" i="31"/>
  <c r="AQ33" i="31"/>
  <c r="AM34" i="31"/>
  <c r="AN34" i="31"/>
  <c r="AO34" i="31"/>
  <c r="AQ34" i="31"/>
  <c r="AM35" i="31"/>
  <c r="AN35" i="31"/>
  <c r="AO35" i="31"/>
  <c r="AQ35" i="31"/>
  <c r="AM36" i="31"/>
  <c r="AN36" i="31"/>
  <c r="AO36" i="31"/>
  <c r="AQ36" i="31"/>
  <c r="AM38" i="31"/>
  <c r="AN38" i="31"/>
  <c r="AO38" i="31"/>
  <c r="AQ38" i="31"/>
  <c r="AM40" i="31"/>
  <c r="AN40" i="31"/>
  <c r="AO40" i="31"/>
  <c r="AQ40" i="31"/>
  <c r="AM41" i="31"/>
  <c r="AN41" i="31"/>
  <c r="AO41" i="31"/>
  <c r="AQ41" i="31"/>
  <c r="AM42" i="31"/>
  <c r="AN42" i="31"/>
  <c r="AO42" i="31"/>
  <c r="AQ42" i="31"/>
  <c r="AM43" i="31"/>
  <c r="AN43" i="31"/>
  <c r="AO43" i="31"/>
  <c r="AQ43" i="31"/>
  <c r="AM44" i="31"/>
  <c r="AN44" i="31"/>
  <c r="AO44" i="31"/>
  <c r="AQ44" i="31"/>
  <c r="AM45" i="31"/>
  <c r="AN45" i="31"/>
  <c r="AO45" i="31"/>
  <c r="AQ45" i="31"/>
  <c r="AM46" i="31"/>
  <c r="AN46" i="31"/>
  <c r="AO46" i="31"/>
  <c r="AQ46" i="31"/>
  <c r="AM47" i="31"/>
  <c r="AN47" i="31"/>
  <c r="AO47" i="31"/>
  <c r="AQ47" i="31"/>
  <c r="AM48" i="31"/>
  <c r="AN48" i="31"/>
  <c r="AO48" i="31"/>
  <c r="AQ48" i="31"/>
  <c r="AM50" i="31"/>
  <c r="AN50" i="31"/>
  <c r="AO50" i="31"/>
  <c r="AQ50" i="31"/>
  <c r="AM51" i="31"/>
  <c r="AN51" i="31"/>
  <c r="AO51" i="31"/>
  <c r="AQ51" i="31"/>
  <c r="AM52" i="31"/>
  <c r="AN52" i="31"/>
  <c r="AO52" i="31"/>
  <c r="AQ52" i="31"/>
  <c r="AM53" i="31"/>
  <c r="AN53" i="31"/>
  <c r="AO53" i="31"/>
  <c r="AQ53" i="31"/>
  <c r="AM55" i="31"/>
  <c r="AN55" i="31"/>
  <c r="AO55" i="31"/>
  <c r="AQ55" i="31"/>
  <c r="AM56" i="31"/>
  <c r="AN56" i="31"/>
  <c r="AO56" i="31"/>
  <c r="AQ56" i="31"/>
  <c r="AM57" i="31"/>
  <c r="AN57" i="31"/>
  <c r="AO57" i="31"/>
  <c r="AQ57" i="31"/>
  <c r="AM58" i="31"/>
  <c r="AN58" i="31"/>
  <c r="AO58" i="31"/>
  <c r="AQ58" i="31"/>
  <c r="AM59" i="31"/>
  <c r="AN59" i="31"/>
  <c r="AO59" i="31"/>
  <c r="AQ59" i="31"/>
  <c r="AM60" i="31"/>
  <c r="AN60" i="31"/>
  <c r="AO60" i="31"/>
  <c r="AQ60" i="31"/>
  <c r="AM61" i="31"/>
  <c r="AN61" i="31"/>
  <c r="AO61" i="31"/>
  <c r="AQ61" i="31"/>
  <c r="AM62" i="31"/>
  <c r="AN62" i="31"/>
  <c r="AO62" i="31"/>
  <c r="AQ62" i="31"/>
  <c r="AM63" i="31"/>
  <c r="AN63" i="31"/>
  <c r="AO63" i="31"/>
  <c r="AQ63" i="31"/>
  <c r="AM64" i="31"/>
  <c r="AN64" i="31"/>
  <c r="AO64" i="31"/>
  <c r="AQ64" i="31"/>
  <c r="AM65" i="31"/>
  <c r="AN65" i="31"/>
  <c r="AO65" i="31"/>
  <c r="AQ65" i="31"/>
  <c r="AM66" i="31"/>
  <c r="AN66" i="31"/>
  <c r="AO66" i="31"/>
  <c r="AQ66" i="31"/>
  <c r="AM67" i="31"/>
  <c r="AN67" i="31"/>
  <c r="AO67" i="31"/>
  <c r="AQ67" i="31"/>
  <c r="AM68" i="31"/>
  <c r="AN68" i="31"/>
  <c r="AO68" i="31"/>
  <c r="AQ68" i="31"/>
  <c r="AM70" i="31"/>
  <c r="AN70" i="31"/>
  <c r="AO70" i="31"/>
  <c r="AQ70" i="31"/>
  <c r="AM71" i="31"/>
  <c r="AN71" i="31"/>
  <c r="AO71" i="31"/>
  <c r="AQ71" i="31"/>
  <c r="AM72" i="31"/>
  <c r="AN72" i="31"/>
  <c r="AO72" i="31"/>
  <c r="AQ72" i="31"/>
  <c r="AM73" i="31"/>
  <c r="AN73" i="31"/>
  <c r="AO73" i="31"/>
  <c r="AQ73" i="31"/>
  <c r="AM74" i="31"/>
  <c r="AN74" i="31"/>
  <c r="AO74" i="31"/>
  <c r="AQ74" i="31"/>
  <c r="AM75" i="31"/>
  <c r="AN75" i="31"/>
  <c r="AO75" i="31"/>
  <c r="AQ75" i="31"/>
  <c r="AM76" i="31"/>
  <c r="AN76" i="31"/>
  <c r="AO76" i="31"/>
  <c r="AQ76" i="31"/>
  <c r="AM77" i="31"/>
  <c r="AN77" i="31"/>
  <c r="AO77" i="31"/>
  <c r="AQ77" i="31"/>
  <c r="AM78" i="31"/>
  <c r="AN78" i="31"/>
  <c r="AO78" i="31"/>
  <c r="AQ78" i="31"/>
  <c r="AM79" i="31"/>
  <c r="AN79" i="31"/>
  <c r="AO79" i="31"/>
  <c r="AQ79" i="31"/>
  <c r="AM80" i="31"/>
  <c r="AN80" i="31"/>
  <c r="AO80" i="31"/>
  <c r="AQ80" i="31"/>
  <c r="AM81" i="31"/>
  <c r="AN81" i="31"/>
  <c r="AO81" i="31"/>
  <c r="AQ81" i="31"/>
  <c r="AM82" i="31"/>
  <c r="AN82" i="31"/>
  <c r="AO82" i="31"/>
  <c r="AQ82" i="31"/>
  <c r="AM83" i="31"/>
  <c r="AN83" i="31"/>
  <c r="AO83" i="31"/>
  <c r="AQ83" i="31"/>
  <c r="AQ4" i="31"/>
  <c r="AO4" i="31"/>
  <c r="AN4" i="31"/>
  <c r="AM4" i="31"/>
  <c r="AH7" i="31"/>
  <c r="AI7" i="31"/>
  <c r="AJ7" i="31"/>
  <c r="AK7" i="31"/>
  <c r="AH8" i="31"/>
  <c r="AI8" i="31"/>
  <c r="AJ8" i="31"/>
  <c r="AK8" i="31"/>
  <c r="AH9" i="31"/>
  <c r="AI9" i="31"/>
  <c r="AJ9" i="31"/>
  <c r="AK9" i="31"/>
  <c r="AH10" i="31"/>
  <c r="AI10" i="31"/>
  <c r="AJ10" i="31"/>
  <c r="AK10" i="31"/>
  <c r="AH11" i="31"/>
  <c r="AI11" i="31"/>
  <c r="AJ11" i="31"/>
  <c r="AK11" i="31"/>
  <c r="AH12" i="31"/>
  <c r="AI12" i="31"/>
  <c r="AJ12" i="31"/>
  <c r="AK12" i="31"/>
  <c r="AH13" i="31"/>
  <c r="AI13" i="31"/>
  <c r="AJ13" i="31"/>
  <c r="AK13" i="31"/>
  <c r="AH14" i="31"/>
  <c r="AI14" i="31"/>
  <c r="AJ14" i="31"/>
  <c r="AK14" i="31"/>
  <c r="AH15" i="31"/>
  <c r="AI15" i="31"/>
  <c r="AJ15" i="31"/>
  <c r="AK15" i="31"/>
  <c r="AH16" i="31"/>
  <c r="AI16" i="31"/>
  <c r="AJ16" i="31"/>
  <c r="AK16" i="31"/>
  <c r="AH17" i="31"/>
  <c r="AI17" i="31"/>
  <c r="AJ17" i="31"/>
  <c r="AK17" i="31"/>
  <c r="AH21" i="31"/>
  <c r="AI21" i="31"/>
  <c r="AJ21" i="31"/>
  <c r="AK21" i="31"/>
  <c r="AH22" i="31"/>
  <c r="AI22" i="31"/>
  <c r="AJ22" i="31"/>
  <c r="AK22" i="31"/>
  <c r="AH23" i="31"/>
  <c r="AI23" i="31"/>
  <c r="AJ23" i="31"/>
  <c r="AK23" i="31"/>
  <c r="AH24" i="31"/>
  <c r="AI24" i="31"/>
  <c r="AJ24" i="31"/>
  <c r="AK24" i="31"/>
  <c r="AH25" i="31"/>
  <c r="AI25" i="31"/>
  <c r="AJ25" i="31"/>
  <c r="AK25" i="31"/>
  <c r="AH27" i="31"/>
  <c r="AI27" i="31"/>
  <c r="AJ27" i="31"/>
  <c r="AK27" i="31"/>
  <c r="AH28" i="31"/>
  <c r="AI28" i="31"/>
  <c r="AJ28" i="31"/>
  <c r="AK28" i="31"/>
  <c r="AH29" i="31"/>
  <c r="AI29" i="31"/>
  <c r="AJ29" i="31"/>
  <c r="AK29" i="31"/>
  <c r="AH30" i="31"/>
  <c r="AI30" i="31"/>
  <c r="AJ30" i="31"/>
  <c r="AK30" i="31"/>
  <c r="AH31" i="31"/>
  <c r="AI31" i="31"/>
  <c r="AJ31" i="31"/>
  <c r="AK31" i="31"/>
  <c r="AH32" i="31"/>
  <c r="AI32" i="31"/>
  <c r="AJ32" i="31"/>
  <c r="AK32" i="31"/>
  <c r="AH33" i="31"/>
  <c r="AI33" i="31"/>
  <c r="AJ33" i="31"/>
  <c r="AK33" i="31"/>
  <c r="AH34" i="31"/>
  <c r="AI34" i="31"/>
  <c r="AJ34" i="31"/>
  <c r="AK34" i="31"/>
  <c r="AH35" i="31"/>
  <c r="AI35" i="31"/>
  <c r="AJ35" i="31"/>
  <c r="AK35" i="31"/>
  <c r="AH36" i="31"/>
  <c r="AI36" i="31"/>
  <c r="AJ36" i="31"/>
  <c r="AK36" i="31"/>
  <c r="AH38" i="31"/>
  <c r="AI38" i="31"/>
  <c r="AJ38" i="31"/>
  <c r="AK38" i="31"/>
  <c r="AH40" i="31"/>
  <c r="AI40" i="31"/>
  <c r="AJ40" i="31"/>
  <c r="AK40" i="31"/>
  <c r="AH41" i="31"/>
  <c r="AI41" i="31"/>
  <c r="AJ41" i="31"/>
  <c r="AK41" i="31"/>
  <c r="AH42" i="31"/>
  <c r="AI42" i="31"/>
  <c r="AJ42" i="31"/>
  <c r="AK42" i="31"/>
  <c r="AH43" i="31"/>
  <c r="AI43" i="31"/>
  <c r="AJ43" i="31"/>
  <c r="AK43" i="31"/>
  <c r="AH44" i="31"/>
  <c r="AI44" i="31"/>
  <c r="AJ44" i="31"/>
  <c r="AK44" i="31"/>
  <c r="AH45" i="31"/>
  <c r="AI45" i="31"/>
  <c r="AJ45" i="31"/>
  <c r="AK45" i="31"/>
  <c r="AH46" i="31"/>
  <c r="AI46" i="31"/>
  <c r="AJ46" i="31"/>
  <c r="AK46" i="31"/>
  <c r="AH47" i="31"/>
  <c r="AI47" i="31"/>
  <c r="AJ47" i="31"/>
  <c r="AK47" i="31"/>
  <c r="AH48" i="31"/>
  <c r="AI48" i="31"/>
  <c r="AJ48" i="31"/>
  <c r="AK48" i="31"/>
  <c r="AH50" i="31"/>
  <c r="AI50" i="31"/>
  <c r="AJ50" i="31"/>
  <c r="AK50" i="31"/>
  <c r="AH51" i="31"/>
  <c r="AI51" i="31"/>
  <c r="AJ51" i="31"/>
  <c r="AK51" i="31"/>
  <c r="AH52" i="31"/>
  <c r="AI52" i="31"/>
  <c r="AJ52" i="31"/>
  <c r="AK52" i="31"/>
  <c r="AH53" i="31"/>
  <c r="AI53" i="31"/>
  <c r="AJ53" i="31"/>
  <c r="AK53" i="31"/>
  <c r="AH55" i="31"/>
  <c r="AI55" i="31"/>
  <c r="AJ55" i="31"/>
  <c r="AK55" i="31"/>
  <c r="AH56" i="31"/>
  <c r="AI56" i="31"/>
  <c r="AJ56" i="31"/>
  <c r="AK56" i="31"/>
  <c r="AH57" i="31"/>
  <c r="AI57" i="31"/>
  <c r="AJ57" i="31"/>
  <c r="AK57" i="31"/>
  <c r="AH58" i="31"/>
  <c r="AI58" i="31"/>
  <c r="AJ58" i="31"/>
  <c r="AK58" i="31"/>
  <c r="AH59" i="31"/>
  <c r="AI59" i="31"/>
  <c r="AJ59" i="31"/>
  <c r="AK59" i="31"/>
  <c r="AH60" i="31"/>
  <c r="AI60" i="31"/>
  <c r="AJ60" i="31"/>
  <c r="AK60" i="31"/>
  <c r="AH61" i="31"/>
  <c r="AI61" i="31"/>
  <c r="AJ61" i="31"/>
  <c r="AK61" i="31"/>
  <c r="AH62" i="31"/>
  <c r="AI62" i="31"/>
  <c r="AJ62" i="31"/>
  <c r="AK62" i="31"/>
  <c r="AH63" i="31"/>
  <c r="AI63" i="31"/>
  <c r="AJ63" i="31"/>
  <c r="AK63" i="31"/>
  <c r="AH64" i="31"/>
  <c r="AI64" i="31"/>
  <c r="AJ64" i="31"/>
  <c r="AK64" i="31"/>
  <c r="AH65" i="31"/>
  <c r="AI65" i="31"/>
  <c r="AJ65" i="31"/>
  <c r="AK65" i="31"/>
  <c r="AH66" i="31"/>
  <c r="AI66" i="31"/>
  <c r="AJ66" i="31"/>
  <c r="AK66" i="31"/>
  <c r="AH67" i="31"/>
  <c r="AI67" i="31"/>
  <c r="AJ67" i="31"/>
  <c r="AK67" i="31"/>
  <c r="AH68" i="31"/>
  <c r="AI68" i="31"/>
  <c r="AJ68" i="31"/>
  <c r="AK68" i="31"/>
  <c r="AH70" i="31"/>
  <c r="AI70" i="31"/>
  <c r="AJ70" i="31"/>
  <c r="AK70" i="31"/>
  <c r="AH71" i="31"/>
  <c r="AI71" i="31"/>
  <c r="AJ71" i="31"/>
  <c r="AK71" i="31"/>
  <c r="AH72" i="31"/>
  <c r="AI72" i="31"/>
  <c r="AJ72" i="31"/>
  <c r="AK72" i="31"/>
  <c r="AH73" i="31"/>
  <c r="AI73" i="31"/>
  <c r="AJ73" i="31"/>
  <c r="AK73" i="31"/>
  <c r="AH74" i="31"/>
  <c r="AI74" i="31"/>
  <c r="AJ74" i="31"/>
  <c r="AK74" i="31"/>
  <c r="AH75" i="31"/>
  <c r="AI75" i="31"/>
  <c r="AJ75" i="31"/>
  <c r="AK75" i="31"/>
  <c r="AH76" i="31"/>
  <c r="AI76" i="31"/>
  <c r="AJ76" i="31"/>
  <c r="AK76" i="31"/>
  <c r="AH77" i="31"/>
  <c r="AI77" i="31"/>
  <c r="AJ77" i="31"/>
  <c r="AK77" i="31"/>
  <c r="AH78" i="31"/>
  <c r="AI78" i="31"/>
  <c r="AJ78" i="31"/>
  <c r="AK78" i="31"/>
  <c r="AH79" i="31"/>
  <c r="AI79" i="31"/>
  <c r="AJ79" i="31"/>
  <c r="AK79" i="31"/>
  <c r="AH80" i="31"/>
  <c r="AI80" i="31"/>
  <c r="AJ80" i="31"/>
  <c r="AK80" i="31"/>
  <c r="AH81" i="31"/>
  <c r="AI81" i="31"/>
  <c r="AJ81" i="31"/>
  <c r="AK81" i="31"/>
  <c r="AH82" i="31"/>
  <c r="AI82" i="31"/>
  <c r="AJ82" i="31"/>
  <c r="AK82" i="31"/>
  <c r="AH83" i="31"/>
  <c r="AI83" i="31"/>
  <c r="AJ83" i="31"/>
  <c r="AK83" i="31"/>
  <c r="AI4" i="31"/>
  <c r="AJ4" i="31"/>
  <c r="AK4" i="31"/>
  <c r="AH4" i="31"/>
  <c r="AC7" i="31"/>
  <c r="AD7" i="31"/>
  <c r="AE7" i="31"/>
  <c r="AF7" i="31"/>
  <c r="AC8" i="31"/>
  <c r="AD8" i="31"/>
  <c r="AE8" i="31"/>
  <c r="AF8" i="31"/>
  <c r="AC9" i="31"/>
  <c r="AD9" i="31"/>
  <c r="AE9" i="31"/>
  <c r="AF9" i="31"/>
  <c r="AC10" i="31"/>
  <c r="AD10" i="31"/>
  <c r="AE10" i="31"/>
  <c r="AF10" i="31"/>
  <c r="AC11" i="31"/>
  <c r="AD11" i="31"/>
  <c r="AE11" i="31"/>
  <c r="AF11" i="31"/>
  <c r="AC12" i="31"/>
  <c r="AD12" i="31"/>
  <c r="AE12" i="31"/>
  <c r="AF12" i="31"/>
  <c r="AC13" i="31"/>
  <c r="AD13" i="31"/>
  <c r="AE13" i="31"/>
  <c r="AF13" i="31"/>
  <c r="AC14" i="31"/>
  <c r="AD14" i="31"/>
  <c r="AE14" i="31"/>
  <c r="AF14" i="31"/>
  <c r="AC15" i="31"/>
  <c r="AD15" i="31"/>
  <c r="AE15" i="31"/>
  <c r="AF15" i="31"/>
  <c r="AC16" i="31"/>
  <c r="AD16" i="31"/>
  <c r="AE16" i="31"/>
  <c r="AF16" i="31"/>
  <c r="AC17" i="31"/>
  <c r="AD17" i="31"/>
  <c r="AE17" i="31"/>
  <c r="AF17" i="31"/>
  <c r="AC21" i="31"/>
  <c r="AD21" i="31"/>
  <c r="AE21" i="31"/>
  <c r="AF21" i="31"/>
  <c r="AC22" i="31"/>
  <c r="AD22" i="31"/>
  <c r="AE22" i="31"/>
  <c r="AF22" i="31"/>
  <c r="AC23" i="31"/>
  <c r="AD23" i="31"/>
  <c r="AE23" i="31"/>
  <c r="AF23" i="31"/>
  <c r="AC24" i="31"/>
  <c r="AD24" i="31"/>
  <c r="AE24" i="31"/>
  <c r="AF24" i="31"/>
  <c r="AC25" i="31"/>
  <c r="AD25" i="31"/>
  <c r="AE25" i="31"/>
  <c r="AF25" i="31"/>
  <c r="AC27" i="31"/>
  <c r="AD27" i="31"/>
  <c r="AE27" i="31"/>
  <c r="AF27" i="31"/>
  <c r="AC28" i="31"/>
  <c r="AD28" i="31"/>
  <c r="AE28" i="31"/>
  <c r="AF28" i="31"/>
  <c r="AC29" i="31"/>
  <c r="AD29" i="31"/>
  <c r="AE29" i="31"/>
  <c r="AF29" i="31"/>
  <c r="AC30" i="31"/>
  <c r="AD30" i="31"/>
  <c r="AE30" i="31"/>
  <c r="AF30" i="31"/>
  <c r="AC31" i="31"/>
  <c r="AD31" i="31"/>
  <c r="AE31" i="31"/>
  <c r="AF31" i="31"/>
  <c r="AC32" i="31"/>
  <c r="AD32" i="31"/>
  <c r="AE32" i="31"/>
  <c r="AF32" i="31"/>
  <c r="AC33" i="31"/>
  <c r="AD33" i="31"/>
  <c r="AE33" i="31"/>
  <c r="AF33" i="31"/>
  <c r="AC34" i="31"/>
  <c r="AD34" i="31"/>
  <c r="AE34" i="31"/>
  <c r="AF34" i="31"/>
  <c r="AC35" i="31"/>
  <c r="AD35" i="31"/>
  <c r="AE35" i="31"/>
  <c r="AF35" i="31"/>
  <c r="AC36" i="31"/>
  <c r="AD36" i="31"/>
  <c r="AE36" i="31"/>
  <c r="AF36" i="31"/>
  <c r="AC38" i="31"/>
  <c r="AD38" i="31"/>
  <c r="AE38" i="31"/>
  <c r="AF38" i="31"/>
  <c r="AC40" i="31"/>
  <c r="AD40" i="31"/>
  <c r="AE40" i="31"/>
  <c r="AF40" i="31"/>
  <c r="AC41" i="31"/>
  <c r="AD41" i="31"/>
  <c r="AE41" i="31"/>
  <c r="AF41" i="31"/>
  <c r="AC42" i="31"/>
  <c r="AD42" i="31"/>
  <c r="AE42" i="31"/>
  <c r="AF42" i="31"/>
  <c r="AC43" i="31"/>
  <c r="AD43" i="31"/>
  <c r="AE43" i="31"/>
  <c r="AF43" i="31"/>
  <c r="AC44" i="31"/>
  <c r="AD44" i="31"/>
  <c r="AE44" i="31"/>
  <c r="AF44" i="31"/>
  <c r="AC45" i="31"/>
  <c r="AD45" i="31"/>
  <c r="AE45" i="31"/>
  <c r="AF45" i="31"/>
  <c r="AC46" i="31"/>
  <c r="AD46" i="31"/>
  <c r="AE46" i="31"/>
  <c r="AF46" i="31"/>
  <c r="AC47" i="31"/>
  <c r="AD47" i="31"/>
  <c r="AE47" i="31"/>
  <c r="AF47" i="31"/>
  <c r="AC48" i="31"/>
  <c r="AD48" i="31"/>
  <c r="AE48" i="31"/>
  <c r="AF48" i="31"/>
  <c r="AC50" i="31"/>
  <c r="AD50" i="31"/>
  <c r="AE50" i="31"/>
  <c r="AF50" i="31"/>
  <c r="AC51" i="31"/>
  <c r="AD51" i="31"/>
  <c r="AE51" i="31"/>
  <c r="AF51" i="31"/>
  <c r="AC52" i="31"/>
  <c r="AD52" i="31"/>
  <c r="AE52" i="31"/>
  <c r="AF52" i="31"/>
  <c r="AC53" i="31"/>
  <c r="AD53" i="31"/>
  <c r="AE53" i="31"/>
  <c r="AF53" i="31"/>
  <c r="AC55" i="31"/>
  <c r="AD55" i="31"/>
  <c r="AE55" i="31"/>
  <c r="AF55" i="31"/>
  <c r="AC56" i="31"/>
  <c r="AD56" i="31"/>
  <c r="AE56" i="31"/>
  <c r="AF56" i="31"/>
  <c r="AC57" i="31"/>
  <c r="AD57" i="31"/>
  <c r="AE57" i="31"/>
  <c r="AF57" i="31"/>
  <c r="AC58" i="31"/>
  <c r="AD58" i="31"/>
  <c r="AE58" i="31"/>
  <c r="AF58" i="31"/>
  <c r="AC59" i="31"/>
  <c r="AD59" i="31"/>
  <c r="AE59" i="31"/>
  <c r="AF59" i="31"/>
  <c r="AC60" i="31"/>
  <c r="AD60" i="31"/>
  <c r="AE60" i="31"/>
  <c r="AF60" i="31"/>
  <c r="AC61" i="31"/>
  <c r="AD61" i="31"/>
  <c r="AE61" i="31"/>
  <c r="AF61" i="31"/>
  <c r="AC62" i="31"/>
  <c r="AD62" i="31"/>
  <c r="AE62" i="31"/>
  <c r="AF62" i="31"/>
  <c r="AC63" i="31"/>
  <c r="AD63" i="31"/>
  <c r="AE63" i="31"/>
  <c r="AF63" i="31"/>
  <c r="AC64" i="31"/>
  <c r="AD64" i="31"/>
  <c r="AE64" i="31"/>
  <c r="AF64" i="31"/>
  <c r="AC65" i="31"/>
  <c r="AD65" i="31"/>
  <c r="AE65" i="31"/>
  <c r="AF65" i="31"/>
  <c r="AC66" i="31"/>
  <c r="AD66" i="31"/>
  <c r="AE66" i="31"/>
  <c r="AF66" i="31"/>
  <c r="AC67" i="31"/>
  <c r="AD67" i="31"/>
  <c r="AE67" i="31"/>
  <c r="AF67" i="31"/>
  <c r="AC68" i="31"/>
  <c r="AD68" i="31"/>
  <c r="AE68" i="31"/>
  <c r="AF68" i="31"/>
  <c r="AC70" i="31"/>
  <c r="AD70" i="31"/>
  <c r="AE70" i="31"/>
  <c r="AF70" i="31"/>
  <c r="AC71" i="31"/>
  <c r="AD71" i="31"/>
  <c r="AE71" i="31"/>
  <c r="AF71" i="31"/>
  <c r="AC72" i="31"/>
  <c r="AD72" i="31"/>
  <c r="AE72" i="31"/>
  <c r="AF72" i="31"/>
  <c r="AC73" i="31"/>
  <c r="AD73" i="31"/>
  <c r="AE73" i="31"/>
  <c r="AF73" i="31"/>
  <c r="AC74" i="31"/>
  <c r="AD74" i="31"/>
  <c r="AE74" i="31"/>
  <c r="AF74" i="31"/>
  <c r="AC75" i="31"/>
  <c r="AD75" i="31"/>
  <c r="AE75" i="31"/>
  <c r="AF75" i="31"/>
  <c r="AC76" i="31"/>
  <c r="AD76" i="31"/>
  <c r="AE76" i="31"/>
  <c r="AF76" i="31"/>
  <c r="AC77" i="31"/>
  <c r="AD77" i="31"/>
  <c r="AE77" i="31"/>
  <c r="AF77" i="31"/>
  <c r="AC78" i="31"/>
  <c r="AD78" i="31"/>
  <c r="AE78" i="31"/>
  <c r="AF78" i="31"/>
  <c r="AC79" i="31"/>
  <c r="AD79" i="31"/>
  <c r="AE79" i="31"/>
  <c r="AF79" i="31"/>
  <c r="AC80" i="31"/>
  <c r="AD80" i="31"/>
  <c r="AE80" i="31"/>
  <c r="AF80" i="31"/>
  <c r="AC81" i="31"/>
  <c r="AD81" i="31"/>
  <c r="AE81" i="31"/>
  <c r="AF81" i="31"/>
  <c r="AC82" i="31"/>
  <c r="AD82" i="31"/>
  <c r="AE82" i="31"/>
  <c r="AF82" i="31"/>
  <c r="AC83" i="31"/>
  <c r="AD83" i="31"/>
  <c r="AE83" i="31"/>
  <c r="AF83" i="31"/>
  <c r="AF4" i="31"/>
  <c r="AE4" i="31"/>
  <c r="AD4" i="31"/>
  <c r="E1" i="31"/>
  <c r="N84" i="29" l="1"/>
  <c r="N70" i="29" l="1"/>
  <c r="C70" i="29" s="1"/>
  <c r="N71" i="29"/>
  <c r="N30" i="29"/>
  <c r="C84" i="29" l="1"/>
  <c r="E84" i="29" l="1"/>
  <c r="D84" i="29"/>
  <c r="D70" i="29"/>
  <c r="E70" i="29"/>
  <c r="C71" i="29"/>
  <c r="E71" i="29"/>
  <c r="D71" i="29"/>
  <c r="H84" i="29" l="1"/>
  <c r="G84" i="29"/>
  <c r="F84" i="29"/>
  <c r="G70" i="29"/>
  <c r="H70" i="29"/>
  <c r="F70" i="29"/>
  <c r="H71" i="29"/>
  <c r="F71" i="29"/>
  <c r="G71" i="29"/>
  <c r="I513" i="7"/>
  <c r="I512" i="7"/>
  <c r="I514" i="7"/>
  <c r="I515" i="7"/>
  <c r="I506" i="7"/>
  <c r="I507" i="7"/>
  <c r="I508" i="7"/>
  <c r="I509" i="7"/>
  <c r="I510" i="7"/>
  <c r="I496" i="7"/>
  <c r="I497" i="7"/>
  <c r="I498" i="7"/>
  <c r="I499" i="7"/>
  <c r="I500" i="7"/>
  <c r="I489" i="7"/>
  <c r="I490" i="7"/>
  <c r="I697" i="7"/>
  <c r="I696" i="7"/>
  <c r="I695" i="7"/>
  <c r="I694" i="7"/>
  <c r="I693" i="7"/>
  <c r="I692" i="7"/>
  <c r="I691" i="7"/>
  <c r="I690" i="7"/>
  <c r="I689" i="7"/>
  <c r="I688" i="7"/>
  <c r="I687" i="7"/>
  <c r="I686" i="7"/>
  <c r="I685" i="7"/>
  <c r="I684" i="7"/>
  <c r="I683" i="7"/>
  <c r="I682" i="7"/>
  <c r="I681" i="7"/>
  <c r="I680" i="7"/>
  <c r="I679" i="7"/>
  <c r="I678" i="7"/>
  <c r="I677" i="7"/>
  <c r="I676" i="7"/>
  <c r="I675" i="7"/>
  <c r="I674" i="7"/>
  <c r="I673" i="7"/>
  <c r="I672" i="7"/>
  <c r="I671" i="7"/>
  <c r="I670" i="7"/>
  <c r="I669" i="7"/>
  <c r="I668" i="7"/>
  <c r="I667" i="7"/>
  <c r="I666" i="7"/>
  <c r="I665" i="7"/>
  <c r="I664" i="7"/>
  <c r="I663" i="7"/>
  <c r="I662" i="7"/>
  <c r="I661" i="7"/>
  <c r="I660" i="7"/>
  <c r="I659" i="7"/>
  <c r="I658" i="7"/>
  <c r="I657" i="7"/>
  <c r="I656" i="7"/>
  <c r="I655" i="7"/>
  <c r="I654" i="7"/>
  <c r="I653" i="7"/>
  <c r="I652" i="7"/>
  <c r="I651" i="7"/>
  <c r="I650" i="7"/>
  <c r="I649" i="7"/>
  <c r="I648" i="7"/>
  <c r="I647" i="7"/>
  <c r="I646" i="7"/>
  <c r="I645" i="7"/>
  <c r="I644" i="7"/>
  <c r="I643" i="7"/>
  <c r="I642" i="7"/>
  <c r="I641" i="7"/>
  <c r="I640" i="7"/>
  <c r="I639" i="7"/>
  <c r="I638" i="7"/>
  <c r="I637" i="7"/>
  <c r="I636" i="7"/>
  <c r="I635" i="7"/>
  <c r="I634" i="7"/>
  <c r="I633" i="7"/>
  <c r="I632" i="7"/>
  <c r="I631" i="7"/>
  <c r="I630" i="7"/>
  <c r="I629" i="7"/>
  <c r="I628" i="7"/>
  <c r="I627" i="7"/>
  <c r="I626" i="7"/>
  <c r="I625" i="7"/>
  <c r="I624" i="7"/>
  <c r="I623" i="7"/>
  <c r="I622" i="7"/>
  <c r="I621" i="7"/>
  <c r="I620" i="7"/>
  <c r="I619" i="7"/>
  <c r="I618" i="7"/>
  <c r="I617" i="7"/>
  <c r="I616" i="7"/>
  <c r="I615" i="7"/>
  <c r="I614" i="7"/>
  <c r="I613" i="7"/>
  <c r="I612" i="7"/>
  <c r="I611" i="7"/>
  <c r="I610" i="7"/>
  <c r="I609" i="7"/>
  <c r="I608" i="7"/>
  <c r="I607" i="7"/>
  <c r="I606" i="7"/>
  <c r="I605" i="7"/>
  <c r="I604" i="7"/>
  <c r="I603" i="7"/>
  <c r="I602" i="7"/>
  <c r="I601" i="7"/>
  <c r="I600" i="7"/>
  <c r="I599" i="7"/>
  <c r="I598" i="7"/>
  <c r="I597" i="7"/>
  <c r="I596" i="7"/>
  <c r="I595" i="7"/>
  <c r="I594" i="7"/>
  <c r="I593" i="7"/>
  <c r="I592" i="7"/>
  <c r="I591" i="7"/>
  <c r="I590" i="7"/>
  <c r="I589" i="7"/>
  <c r="I588" i="7"/>
  <c r="I5" i="7" l="1"/>
  <c r="I34" i="7"/>
  <c r="I35" i="7"/>
  <c r="I36" i="7"/>
  <c r="I37" i="7"/>
  <c r="I38" i="7"/>
  <c r="I29" i="7"/>
  <c r="I30" i="7"/>
  <c r="I31" i="7"/>
  <c r="I32" i="7"/>
  <c r="I33" i="7"/>
  <c r="I19" i="7"/>
  <c r="I20" i="7"/>
  <c r="I21" i="7"/>
  <c r="I22" i="7"/>
  <c r="I23" i="7"/>
  <c r="I12" i="7"/>
  <c r="I13" i="7"/>
  <c r="E29" i="32" l="1"/>
  <c r="G29" i="32" s="1"/>
  <c r="EM2" i="53" l="1"/>
  <c r="EL2" i="53"/>
  <c r="I587" i="7"/>
  <c r="I576" i="7"/>
  <c r="I3" i="7" l="1"/>
  <c r="I4" i="7"/>
  <c r="I6" i="7"/>
  <c r="I7" i="7"/>
  <c r="I8" i="7"/>
  <c r="I9" i="7"/>
  <c r="I10" i="7"/>
  <c r="I11" i="7"/>
  <c r="I14" i="7"/>
  <c r="I15" i="7"/>
  <c r="I16" i="7"/>
  <c r="I17" i="7"/>
  <c r="I18" i="7"/>
  <c r="I24" i="7"/>
  <c r="I25" i="7"/>
  <c r="I26" i="7"/>
  <c r="I27" i="7"/>
  <c r="I2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478" i="7"/>
  <c r="I479" i="7"/>
  <c r="I480" i="7"/>
  <c r="I481" i="7"/>
  <c r="I482" i="7"/>
  <c r="I483" i="7"/>
  <c r="I484" i="7"/>
  <c r="I485" i="7"/>
  <c r="I486" i="7"/>
  <c r="I487" i="7"/>
  <c r="I488" i="7"/>
  <c r="I491" i="7"/>
  <c r="I492" i="7"/>
  <c r="I493" i="7"/>
  <c r="I494" i="7"/>
  <c r="I495" i="7"/>
  <c r="I501" i="7"/>
  <c r="I502" i="7"/>
  <c r="I503" i="7"/>
  <c r="I504" i="7"/>
  <c r="I505" i="7"/>
  <c r="I511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7" i="7"/>
  <c r="I578" i="7"/>
  <c r="I579" i="7"/>
  <c r="I580" i="7"/>
  <c r="I581" i="7"/>
  <c r="I582" i="7"/>
  <c r="I583" i="7"/>
  <c r="I584" i="7"/>
  <c r="I585" i="7"/>
  <c r="I586" i="7"/>
  <c r="I2" i="7"/>
  <c r="I7" i="2" l="1"/>
  <c r="H56" i="29" l="1"/>
  <c r="G56" i="29"/>
  <c r="F56" i="29"/>
  <c r="H42" i="29"/>
  <c r="H57" i="29"/>
  <c r="F57" i="29"/>
  <c r="G57" i="29"/>
  <c r="F42" i="29"/>
  <c r="G42" i="29"/>
  <c r="N31" i="29" l="1"/>
  <c r="N72" i="29"/>
  <c r="N73" i="29"/>
  <c r="N74" i="29"/>
  <c r="N75" i="29"/>
  <c r="N76" i="29"/>
  <c r="N77" i="29"/>
  <c r="N78" i="29"/>
  <c r="N79" i="29"/>
  <c r="N80" i="29"/>
  <c r="N81" i="29"/>
  <c r="N82" i="29"/>
  <c r="N83" i="29"/>
  <c r="N8" i="29"/>
  <c r="N9" i="29"/>
  <c r="N10" i="29"/>
  <c r="N11" i="29"/>
  <c r="N12" i="29"/>
  <c r="N13" i="29"/>
  <c r="N14" i="29"/>
  <c r="N15" i="29"/>
  <c r="N16" i="29"/>
  <c r="N17" i="29"/>
  <c r="N18" i="29"/>
  <c r="N21" i="29"/>
  <c r="C21" i="29" s="1"/>
  <c r="N22" i="29"/>
  <c r="N23" i="29"/>
  <c r="N24" i="29"/>
  <c r="N25" i="29"/>
  <c r="N26" i="29"/>
  <c r="N28" i="29"/>
  <c r="N29" i="29"/>
  <c r="N32" i="29"/>
  <c r="C32" i="29" s="1"/>
  <c r="N5" i="29"/>
  <c r="C5" i="29" s="1"/>
  <c r="E56" i="29" l="1"/>
  <c r="D56" i="29"/>
  <c r="C56" i="29"/>
  <c r="C57" i="29"/>
  <c r="D42" i="29"/>
  <c r="C42" i="29"/>
  <c r="E57" i="29"/>
  <c r="E42" i="29"/>
  <c r="D57" i="29"/>
  <c r="F79" i="29"/>
  <c r="G79" i="29"/>
  <c r="H79" i="29"/>
  <c r="H5" i="29"/>
  <c r="F5" i="29"/>
  <c r="G5" i="29"/>
  <c r="G63" i="29"/>
  <c r="H63" i="29"/>
  <c r="F63" i="29"/>
  <c r="G52" i="29"/>
  <c r="H52" i="29"/>
  <c r="F52" i="29"/>
  <c r="G44" i="29"/>
  <c r="H44" i="29"/>
  <c r="F44" i="29"/>
  <c r="G33" i="29"/>
  <c r="H33" i="29"/>
  <c r="F33" i="29"/>
  <c r="G23" i="29"/>
  <c r="H23" i="29"/>
  <c r="F23" i="29"/>
  <c r="G15" i="29"/>
  <c r="H15" i="29"/>
  <c r="F15" i="29"/>
  <c r="G8" i="29"/>
  <c r="H8" i="29"/>
  <c r="F8" i="29"/>
  <c r="F78" i="29"/>
  <c r="G78" i="29"/>
  <c r="H78" i="29"/>
  <c r="H31" i="29"/>
  <c r="F31" i="29"/>
  <c r="G31" i="29"/>
  <c r="F64" i="29"/>
  <c r="G64" i="29"/>
  <c r="H64" i="29"/>
  <c r="F16" i="29"/>
  <c r="G16" i="29"/>
  <c r="H16" i="29"/>
  <c r="G62" i="29"/>
  <c r="H62" i="29"/>
  <c r="F62" i="29"/>
  <c r="G51" i="29"/>
  <c r="H51" i="29"/>
  <c r="F51" i="29"/>
  <c r="G43" i="29"/>
  <c r="H43" i="29"/>
  <c r="F43" i="29"/>
  <c r="G32" i="29"/>
  <c r="H32" i="29"/>
  <c r="F32" i="29"/>
  <c r="G14" i="29"/>
  <c r="H14" i="29"/>
  <c r="F14" i="29"/>
  <c r="F77" i="29"/>
  <c r="G77" i="29"/>
  <c r="H77" i="29"/>
  <c r="F34" i="29"/>
  <c r="G34" i="29"/>
  <c r="H34" i="29"/>
  <c r="G61" i="29"/>
  <c r="H61" i="29"/>
  <c r="F61" i="29"/>
  <c r="G41" i="29"/>
  <c r="H41" i="29"/>
  <c r="F41" i="29"/>
  <c r="G30" i="29"/>
  <c r="H30" i="29"/>
  <c r="F30" i="29"/>
  <c r="G13" i="29"/>
  <c r="H13" i="29"/>
  <c r="F13" i="29"/>
  <c r="F76" i="29"/>
  <c r="G76" i="29"/>
  <c r="H76" i="29"/>
  <c r="F65" i="29"/>
  <c r="G65" i="29"/>
  <c r="H65" i="29"/>
  <c r="H49" i="29"/>
  <c r="F49" i="29"/>
  <c r="G49" i="29"/>
  <c r="H39" i="29"/>
  <c r="F39" i="29"/>
  <c r="G39" i="29"/>
  <c r="H29" i="29"/>
  <c r="F29" i="29"/>
  <c r="G29" i="29"/>
  <c r="H22" i="29"/>
  <c r="F22" i="29"/>
  <c r="G22" i="29"/>
  <c r="H12" i="29"/>
  <c r="F12" i="29"/>
  <c r="G12" i="29"/>
  <c r="F83" i="29"/>
  <c r="G83" i="29"/>
  <c r="H83" i="29"/>
  <c r="F75" i="29"/>
  <c r="G75" i="29"/>
  <c r="H75" i="29"/>
  <c r="F45" i="29"/>
  <c r="G45" i="29"/>
  <c r="H45" i="29"/>
  <c r="H60" i="29"/>
  <c r="F60" i="29"/>
  <c r="G60" i="29"/>
  <c r="H67" i="29"/>
  <c r="F67" i="29"/>
  <c r="G67" i="29"/>
  <c r="F59" i="29"/>
  <c r="H59" i="29"/>
  <c r="G59" i="29"/>
  <c r="H48" i="29"/>
  <c r="F48" i="29"/>
  <c r="G48" i="29"/>
  <c r="H37" i="29"/>
  <c r="F37" i="29"/>
  <c r="G37" i="29"/>
  <c r="H28" i="29"/>
  <c r="F28" i="29"/>
  <c r="G28" i="29"/>
  <c r="H21" i="29"/>
  <c r="F21" i="29"/>
  <c r="G21" i="29"/>
  <c r="H11" i="29"/>
  <c r="F11" i="29"/>
  <c r="G11" i="29"/>
  <c r="F82" i="29"/>
  <c r="G82" i="29"/>
  <c r="H82" i="29"/>
  <c r="F74" i="29"/>
  <c r="G74" i="29"/>
  <c r="H74" i="29"/>
  <c r="F53" i="29"/>
  <c r="G53" i="29"/>
  <c r="H53" i="29"/>
  <c r="F24" i="29"/>
  <c r="G24" i="29"/>
  <c r="H24" i="29"/>
  <c r="F9" i="29"/>
  <c r="G9" i="29"/>
  <c r="H9" i="29"/>
  <c r="H68" i="29"/>
  <c r="G68" i="29"/>
  <c r="F68" i="29"/>
  <c r="H66" i="29"/>
  <c r="F66" i="29"/>
  <c r="G66" i="29"/>
  <c r="H58" i="29"/>
  <c r="F58" i="29"/>
  <c r="G58" i="29"/>
  <c r="H47" i="29"/>
  <c r="F47" i="29"/>
  <c r="G47" i="29"/>
  <c r="H36" i="29"/>
  <c r="F36" i="29"/>
  <c r="G36" i="29"/>
  <c r="H26" i="29"/>
  <c r="F26" i="29"/>
  <c r="G26" i="29"/>
  <c r="H18" i="29"/>
  <c r="F18" i="29"/>
  <c r="G18" i="29"/>
  <c r="H10" i="29"/>
  <c r="F10" i="29"/>
  <c r="G10" i="29"/>
  <c r="G81" i="29"/>
  <c r="H81" i="29"/>
  <c r="F81" i="29"/>
  <c r="G73" i="29"/>
  <c r="H73" i="29"/>
  <c r="F73" i="29"/>
  <c r="F54" i="29"/>
  <c r="G54" i="29"/>
  <c r="H54" i="29"/>
  <c r="F46" i="29"/>
  <c r="G46" i="29"/>
  <c r="H46" i="29"/>
  <c r="F35" i="29"/>
  <c r="G35" i="29"/>
  <c r="H35" i="29"/>
  <c r="F25" i="29"/>
  <c r="G25" i="29"/>
  <c r="H25" i="29"/>
  <c r="F17" i="29"/>
  <c r="G17" i="29"/>
  <c r="H17" i="29"/>
  <c r="H80" i="29"/>
  <c r="F80" i="29"/>
  <c r="G80" i="29"/>
  <c r="H72" i="29"/>
  <c r="F72" i="29"/>
  <c r="G72" i="29"/>
  <c r="E76" i="29"/>
  <c r="E12" i="29"/>
  <c r="E22" i="29"/>
  <c r="E29" i="29"/>
  <c r="E39" i="29"/>
  <c r="E49" i="29"/>
  <c r="E60" i="29"/>
  <c r="E68" i="29"/>
  <c r="D72" i="29"/>
  <c r="D80" i="29"/>
  <c r="D9" i="29"/>
  <c r="D16" i="29"/>
  <c r="D24" i="29"/>
  <c r="D34" i="29"/>
  <c r="D45" i="29"/>
  <c r="D53" i="29"/>
  <c r="D64" i="29"/>
  <c r="C81" i="29"/>
  <c r="C73" i="29"/>
  <c r="C12" i="29"/>
  <c r="C22" i="29"/>
  <c r="C29" i="29"/>
  <c r="C39" i="29"/>
  <c r="C49" i="29"/>
  <c r="C60" i="29"/>
  <c r="C68" i="29"/>
  <c r="E13" i="29"/>
  <c r="E30" i="29"/>
  <c r="E41" i="29"/>
  <c r="E61" i="29"/>
  <c r="D73" i="29"/>
  <c r="D81" i="29"/>
  <c r="D17" i="29"/>
  <c r="D25" i="29"/>
  <c r="D35" i="29"/>
  <c r="D54" i="29"/>
  <c r="D65" i="29"/>
  <c r="C13" i="29"/>
  <c r="C30" i="29"/>
  <c r="C61" i="29"/>
  <c r="E77" i="29"/>
  <c r="E78" i="29"/>
  <c r="E14" i="29"/>
  <c r="E32" i="29"/>
  <c r="E43" i="29"/>
  <c r="E51" i="29"/>
  <c r="E62" i="29"/>
  <c r="D74" i="29"/>
  <c r="D82" i="29"/>
  <c r="D10" i="29"/>
  <c r="D18" i="29"/>
  <c r="D26" i="29"/>
  <c r="D36" i="29"/>
  <c r="D47" i="29"/>
  <c r="D66" i="29"/>
  <c r="D31" i="29"/>
  <c r="C62" i="29"/>
  <c r="E79" i="29"/>
  <c r="E8" i="29"/>
  <c r="E15" i="29"/>
  <c r="E23" i="29"/>
  <c r="E33" i="29"/>
  <c r="E44" i="29"/>
  <c r="E52" i="29"/>
  <c r="E63" i="29"/>
  <c r="D75" i="29"/>
  <c r="D83" i="29"/>
  <c r="D11" i="29"/>
  <c r="D21" i="29"/>
  <c r="D28" i="29"/>
  <c r="D37" i="29"/>
  <c r="D48" i="29"/>
  <c r="D59" i="29"/>
  <c r="D67" i="29"/>
  <c r="D5" i="29"/>
  <c r="C78" i="29"/>
  <c r="C8" i="29"/>
  <c r="C15" i="29"/>
  <c r="C23" i="29"/>
  <c r="C33" i="29"/>
  <c r="C44" i="29"/>
  <c r="C52" i="29"/>
  <c r="C63" i="29"/>
  <c r="C76" i="29"/>
  <c r="C17" i="29"/>
  <c r="C46" i="29"/>
  <c r="C65" i="29"/>
  <c r="E10" i="29"/>
  <c r="D78" i="29"/>
  <c r="D43" i="29"/>
  <c r="D62" i="29"/>
  <c r="C75" i="29"/>
  <c r="C18" i="29"/>
  <c r="C58" i="29"/>
  <c r="C31" i="29"/>
  <c r="C11" i="29"/>
  <c r="C67" i="29"/>
  <c r="C72" i="29"/>
  <c r="C79" i="29"/>
  <c r="E72" i="29"/>
  <c r="E80" i="29"/>
  <c r="E9" i="29"/>
  <c r="E16" i="29"/>
  <c r="E24" i="29"/>
  <c r="E34" i="29"/>
  <c r="E45" i="29"/>
  <c r="E53" i="29"/>
  <c r="E64" i="29"/>
  <c r="D76" i="29"/>
  <c r="D12" i="29"/>
  <c r="D22" i="29"/>
  <c r="D29" i="29"/>
  <c r="D39" i="29"/>
  <c r="D49" i="29"/>
  <c r="D60" i="29"/>
  <c r="D68" i="29"/>
  <c r="C77" i="29"/>
  <c r="C9" i="29"/>
  <c r="C16" i="29"/>
  <c r="C24" i="29"/>
  <c r="C34" i="29"/>
  <c r="C45" i="29"/>
  <c r="C53" i="29"/>
  <c r="C64" i="29"/>
  <c r="D30" i="29"/>
  <c r="C25" i="29"/>
  <c r="C54" i="29"/>
  <c r="E18" i="29"/>
  <c r="D14" i="29"/>
  <c r="D51" i="29"/>
  <c r="C10" i="29"/>
  <c r="C47" i="29"/>
  <c r="C48" i="29"/>
  <c r="C43" i="29"/>
  <c r="E73" i="29"/>
  <c r="E81" i="29"/>
  <c r="E17" i="29"/>
  <c r="E25" i="29"/>
  <c r="E35" i="29"/>
  <c r="E46" i="29"/>
  <c r="E54" i="29"/>
  <c r="E65" i="29"/>
  <c r="D77" i="29"/>
  <c r="D13" i="29"/>
  <c r="D41" i="29"/>
  <c r="D61" i="29"/>
  <c r="C35" i="29"/>
  <c r="E82" i="29"/>
  <c r="C36" i="29"/>
  <c r="C74" i="29"/>
  <c r="C59" i="29"/>
  <c r="C80" i="29"/>
  <c r="C14" i="29"/>
  <c r="E74" i="29"/>
  <c r="E26" i="29"/>
  <c r="E36" i="29"/>
  <c r="E47" i="29"/>
  <c r="E58" i="29"/>
  <c r="E66" i="29"/>
  <c r="E31" i="29"/>
  <c r="D32" i="29"/>
  <c r="C83" i="29"/>
  <c r="C26" i="29"/>
  <c r="C66" i="29"/>
  <c r="D58" i="29"/>
  <c r="C51" i="29"/>
  <c r="E75" i="29"/>
  <c r="E83" i="29"/>
  <c r="E11" i="29"/>
  <c r="E21" i="29"/>
  <c r="E28" i="29"/>
  <c r="E37" i="29"/>
  <c r="E48" i="29"/>
  <c r="E59" i="29"/>
  <c r="E67" i="29"/>
  <c r="E5" i="29"/>
  <c r="D79" i="29"/>
  <c r="D8" i="29"/>
  <c r="D15" i="29"/>
  <c r="D23" i="29"/>
  <c r="D33" i="29"/>
  <c r="D44" i="29"/>
  <c r="D52" i="29"/>
  <c r="D63" i="29"/>
  <c r="C82" i="29"/>
  <c r="C28" i="29"/>
  <c r="C37" i="29"/>
  <c r="D46" i="29"/>
  <c r="C41" i="29"/>
  <c r="AC8" i="2" l="1"/>
  <c r="AC7" i="2"/>
  <c r="I8" i="2"/>
  <c r="S8" i="2"/>
  <c r="S7" i="2"/>
  <c r="X1" i="31" l="1"/>
  <c r="Y1" i="31"/>
  <c r="Z1" i="31"/>
  <c r="AA1" i="31"/>
  <c r="R1" i="31"/>
  <c r="S1" i="31"/>
  <c r="T1" i="31"/>
  <c r="U1" i="31"/>
  <c r="L1" i="31"/>
  <c r="M1" i="31"/>
  <c r="N1" i="31"/>
  <c r="O1" i="31"/>
  <c r="F1" i="31"/>
  <c r="G1" i="31"/>
  <c r="H1" i="31"/>
  <c r="I1" i="31"/>
  <c r="BJ2" i="53"/>
  <c r="EK2" i="53" l="1"/>
  <c r="EJ2" i="53"/>
  <c r="EI2" i="53"/>
  <c r="EH2" i="53"/>
  <c r="EG2" i="53"/>
  <c r="EF2" i="53"/>
  <c r="BT2" i="53"/>
  <c r="Q1" i="31" l="1"/>
  <c r="CO2" i="53" l="1"/>
  <c r="DJ2" i="53"/>
  <c r="EE2" i="53" l="1"/>
  <c r="DM2" i="53"/>
  <c r="DL2" i="53" s="1"/>
  <c r="CR2" i="53"/>
  <c r="CQ2" i="53" s="1"/>
  <c r="BW2" i="53" l="1"/>
  <c r="BV2" i="53" s="1"/>
  <c r="N11" i="2" l="1"/>
  <c r="I9" i="2"/>
  <c r="E15" i="2" s="1"/>
  <c r="E17" i="2" s="1"/>
  <c r="F16" i="2" s="1"/>
  <c r="K7" i="2"/>
  <c r="AE7" i="2"/>
  <c r="K8" i="2"/>
  <c r="AE8" i="2"/>
  <c r="U7" i="2"/>
  <c r="U8" i="2"/>
  <c r="S9" i="2" l="1"/>
  <c r="O15" i="2" s="1"/>
  <c r="AC9" i="2"/>
  <c r="BN2" i="53"/>
  <c r="BO2" i="53" s="1"/>
  <c r="BK2" i="53"/>
  <c r="BL2" i="53" s="1"/>
  <c r="BQ2" i="53"/>
  <c r="BR2" i="53" s="1"/>
  <c r="T7" i="2"/>
  <c r="J8" i="2"/>
  <c r="T8" i="2"/>
  <c r="AD8" i="2"/>
  <c r="J7" i="2"/>
  <c r="J23" i="2"/>
  <c r="AD7" i="2"/>
  <c r="J24" i="2"/>
  <c r="F17" i="2" l="1"/>
  <c r="Y15" i="2"/>
  <c r="BY2" i="53"/>
  <c r="CE2" i="53"/>
  <c r="DV2" i="53"/>
  <c r="DU2" i="53"/>
  <c r="CT2" i="53"/>
  <c r="CZ2" i="53"/>
  <c r="DO2" i="53"/>
  <c r="Z17" i="2" l="1"/>
  <c r="P17" i="2"/>
  <c r="BU2" i="53"/>
  <c r="CF2" i="53"/>
  <c r="BZ2" i="53"/>
  <c r="BM2" i="53"/>
  <c r="BS2" i="53"/>
  <c r="DW2" i="53" s="1"/>
  <c r="DZ2" i="53" s="1"/>
  <c r="DP2" i="53"/>
  <c r="CU2" i="53"/>
  <c r="DA2" i="53"/>
  <c r="BP2" i="53"/>
  <c r="DK2" i="53" l="1"/>
  <c r="CP2" i="53"/>
  <c r="I5" i="53"/>
  <c r="J5" i="53"/>
  <c r="CG2" i="53"/>
  <c r="CJ2" i="53" s="1"/>
  <c r="DQ2" i="53"/>
  <c r="DT2" i="53" s="1"/>
  <c r="CV2" i="53"/>
  <c r="CX2" i="53" s="1"/>
  <c r="DB2" i="53"/>
  <c r="DE2" i="53" s="1"/>
  <c r="CA2" i="53"/>
  <c r="CH2" i="53" s="1"/>
  <c r="CI2" i="53" l="1"/>
  <c r="DX2" i="53"/>
  <c r="DR2" i="53"/>
  <c r="DY2" i="53"/>
  <c r="DS2" i="53"/>
  <c r="DC2" i="53"/>
  <c r="DD2" i="53"/>
  <c r="CY2" i="53"/>
  <c r="CW2" i="53"/>
  <c r="CB2" i="53"/>
  <c r="CC2" i="53"/>
  <c r="CD2" i="53"/>
  <c r="AD24" i="2"/>
  <c r="AD23" i="2"/>
  <c r="DF2" i="53" l="1"/>
  <c r="DN2" i="53"/>
  <c r="CS2" i="53"/>
  <c r="BX2" i="53"/>
  <c r="CK2" i="53"/>
  <c r="EA2" i="53" l="1"/>
  <c r="T23" i="2"/>
  <c r="U9" i="2"/>
  <c r="T24" i="2"/>
  <c r="AE9" i="2"/>
  <c r="K9" i="2"/>
  <c r="V12" i="2" l="1"/>
  <c r="J25" i="2"/>
  <c r="T9" i="2"/>
  <c r="T25" i="2"/>
  <c r="AD25" i="2"/>
  <c r="J9" i="2"/>
  <c r="AD9" i="2"/>
  <c r="J35" i="2" l="1"/>
  <c r="AD35" i="2"/>
  <c r="T35" i="2"/>
  <c r="F23" i="2"/>
  <c r="CL2" i="53" s="1"/>
  <c r="J38" i="2"/>
  <c r="J40" i="2"/>
  <c r="X28" i="2"/>
  <c r="X29" i="2" s="1"/>
  <c r="Y25" i="2" s="1"/>
  <c r="Z25" i="2" s="1"/>
  <c r="N28" i="2"/>
  <c r="N29" i="2" s="1"/>
  <c r="O25" i="2" s="1"/>
  <c r="P25" i="2" s="1"/>
  <c r="D28" i="2"/>
  <c r="Z23" i="2"/>
  <c r="T41" i="2"/>
  <c r="AD40" i="2"/>
  <c r="T40" i="2"/>
  <c r="J41" i="2"/>
  <c r="AD38" i="2"/>
  <c r="T38" i="2"/>
  <c r="AD41" i="2"/>
  <c r="J26" i="2"/>
  <c r="AD26" i="2"/>
  <c r="T26" i="2"/>
  <c r="P23" i="2"/>
  <c r="Y23" i="2" l="1"/>
  <c r="EB2" i="53"/>
  <c r="O23" i="2"/>
  <c r="DG2" i="53"/>
  <c r="AD31" i="2"/>
  <c r="T31" i="2"/>
  <c r="O24" i="2" s="1"/>
  <c r="J31" i="2"/>
  <c r="E24" i="2" s="1"/>
  <c r="D29" i="2"/>
  <c r="E25" i="2" s="1"/>
  <c r="F25" i="2" s="1"/>
  <c r="Y24" i="2" l="1"/>
  <c r="ED2" i="53" s="1"/>
  <c r="P24" i="2"/>
  <c r="DH2" i="53" s="1"/>
  <c r="DI2" i="53"/>
  <c r="F24" i="2"/>
  <c r="CM2" i="53" s="1"/>
  <c r="CN2" i="53"/>
  <c r="E23" i="2"/>
  <c r="Z24" i="2" l="1"/>
  <c r="EC2" i="53" s="1"/>
  <c r="H5" i="53"/>
  <c r="H2" i="53" s="1"/>
  <c r="N2" i="53" s="1"/>
  <c r="AB2" i="53" l="1"/>
  <c r="S2" i="53"/>
  <c r="AA2" i="53"/>
  <c r="R2" i="53"/>
  <c r="Y2" i="53"/>
  <c r="P2" i="53"/>
  <c r="X2" i="53"/>
  <c r="T2" i="53"/>
  <c r="V2" i="53"/>
  <c r="Z2" i="53"/>
  <c r="AC2" i="53"/>
  <c r="O2" i="53"/>
  <c r="Q2" i="53"/>
  <c r="U2" i="53"/>
  <c r="W2" i="53"/>
  <c r="I2" i="53"/>
  <c r="K2" i="53"/>
  <c r="AO2" i="53" l="1"/>
  <c r="AD2" i="53"/>
  <c r="AI2" i="53"/>
  <c r="AG2" i="53"/>
  <c r="AR2" i="53"/>
  <c r="AN2" i="53"/>
  <c r="AL2" i="53"/>
  <c r="AF2" i="53"/>
  <c r="AQ2" i="53"/>
  <c r="AK2" i="53"/>
  <c r="AP2" i="53"/>
  <c r="AS2" i="53"/>
  <c r="AH2" i="53"/>
  <c r="AE2" i="53"/>
  <c r="AJ2" i="53"/>
  <c r="AM2" i="53"/>
  <c r="J2" i="53"/>
  <c r="AT2" i="53" s="1"/>
  <c r="BD2" i="53" l="1"/>
  <c r="AX2" i="53"/>
  <c r="BI2" i="53"/>
  <c r="BC2" i="53"/>
  <c r="AZ2" i="53"/>
  <c r="BF2" i="53"/>
  <c r="AW2" i="53"/>
  <c r="BB2" i="53"/>
  <c r="BG2" i="53"/>
  <c r="BE2" i="53"/>
  <c r="BH2" i="53"/>
  <c r="AV2" i="53"/>
  <c r="BA2" i="53"/>
  <c r="AY2" i="53"/>
  <c r="AU2" i="53"/>
  <c r="M2" i="53"/>
  <c r="L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Овчинникова Ольга Викентьевна</author>
    <author>User</author>
    <author>Булаш Надежда Казимировна</author>
  </authors>
  <commentList>
    <comment ref="D8" authorId="0" shapeId="0" xr:uid="{CF79DD93-1D80-4DD7-B7F5-C82576A521F5}">
      <text>
        <r>
          <rPr>
            <sz val="9"/>
            <color indexed="81"/>
            <rFont val="Tahoma"/>
            <family val="2"/>
            <charset val="204"/>
          </rPr>
          <t xml:space="preserve">Изменяемое значение, можно выбарть вариант Оптимальный Плюс
</t>
        </r>
      </text>
    </comment>
    <comment ref="N8" authorId="0" shapeId="0" xr:uid="{70CABF52-5A66-453A-98EE-E4F465593A8F}">
      <text>
        <r>
          <rPr>
            <sz val="9"/>
            <color indexed="81"/>
            <rFont val="Tahoma"/>
            <family val="2"/>
            <charset val="204"/>
          </rPr>
          <t xml:space="preserve">Изменяемое значение, можно выбарть вариант Оптимальный Плюс
</t>
        </r>
      </text>
    </comment>
    <comment ref="X8" authorId="0" shapeId="0" xr:uid="{0F1FB9C5-4679-494C-8C3D-13957B2BA232}">
      <text>
        <r>
          <rPr>
            <sz val="9"/>
            <color indexed="81"/>
            <rFont val="Tahoma"/>
            <family val="2"/>
            <charset val="204"/>
          </rPr>
          <t xml:space="preserve">Изменяемое значение, можно выбарть вариант Оптимальный Плюс
</t>
        </r>
      </text>
    </comment>
    <comment ref="A9" authorId="0" shapeId="0" xr:uid="{91F37167-3C16-4C55-852A-332523FB9E2F}">
      <text>
        <r>
          <rPr>
            <sz val="9"/>
            <color indexed="81"/>
            <rFont val="Tahoma"/>
            <family val="2"/>
            <charset val="204"/>
          </rPr>
          <t>Дату можно менять!</t>
        </r>
      </text>
    </comment>
    <comment ref="E17" authorId="0" shapeId="0" xr:uid="{C2598FC1-44C3-4C80-89D7-8D133511D688}">
      <text>
        <r>
          <rPr>
            <sz val="9"/>
            <color indexed="81"/>
            <rFont val="Tahoma"/>
            <family val="2"/>
            <charset val="204"/>
          </rPr>
          <t xml:space="preserve">Проставляется автоматически
</t>
        </r>
      </text>
    </comment>
    <comment ref="O17" authorId="0" shapeId="0" xr:uid="{4D1DD0BB-6980-4A4F-8413-F5490AE3202E}">
      <text>
        <r>
          <rPr>
            <sz val="9"/>
            <color indexed="81"/>
            <rFont val="Tahoma"/>
            <family val="2"/>
            <charset val="204"/>
          </rPr>
          <t xml:space="preserve">Проставляется автоматически
</t>
        </r>
      </text>
    </comment>
    <comment ref="Y17" authorId="0" shapeId="0" xr:uid="{ADD2634D-0064-446D-9B3D-D7E13B85F5AB}">
      <text>
        <r>
          <rPr>
            <sz val="9"/>
            <color indexed="81"/>
            <rFont val="Tahoma"/>
            <family val="2"/>
            <charset val="204"/>
          </rPr>
          <t xml:space="preserve">Проставляется автоматически
</t>
        </r>
      </text>
    </comment>
    <comment ref="E19" authorId="0" shapeId="0" xr:uid="{D279894B-784C-4F0E-A80A-BF3D71EAD4AD}">
      <text>
        <r>
          <rPr>
            <sz val="9"/>
            <color indexed="81"/>
            <rFont val="Tahoma"/>
            <family val="2"/>
            <charset val="204"/>
          </rPr>
          <t>Если выбрана Акция, то в расчете стоимости применяется только акционная скидка</t>
        </r>
      </text>
    </comment>
    <comment ref="O19" authorId="0" shapeId="0" xr:uid="{FFBC161D-D491-415B-9482-9400D4F2C301}">
      <text>
        <r>
          <rPr>
            <sz val="9"/>
            <color indexed="81"/>
            <rFont val="Tahoma"/>
            <family val="2"/>
            <charset val="204"/>
          </rPr>
          <t>Если выбрана Акция, то в расчете стоимости применяется только акционная скидка</t>
        </r>
      </text>
    </comment>
    <comment ref="Y19" authorId="0" shapeId="0" xr:uid="{1A22A91A-A963-45A1-B1DB-AFBF357DA8F3}">
      <text>
        <r>
          <rPr>
            <sz val="9"/>
            <color indexed="81"/>
            <rFont val="Tahoma"/>
            <family val="2"/>
            <charset val="204"/>
          </rPr>
          <t>Если выбрана Акция, то в расчете стоимости применяется только акционная скидка</t>
        </r>
      </text>
    </comment>
    <comment ref="E20" authorId="1" shapeId="0" xr:uid="{58C4B07F-B35F-4290-9E16-77BDC7E2259F}">
      <text>
        <r>
          <rPr>
            <sz val="9"/>
            <color indexed="81"/>
            <rFont val="Tahoma"/>
            <family val="2"/>
            <charset val="204"/>
          </rPr>
          <t>После заполнения кол-ва месяцев фиксации, коэффициент фиксации появится автоматически</t>
        </r>
      </text>
    </comment>
    <comment ref="O20" authorId="1" shapeId="0" xr:uid="{D34AA57E-ABC0-4FF1-AC62-C001D6399BF0}">
      <text>
        <r>
          <rPr>
            <sz val="9"/>
            <color indexed="81"/>
            <rFont val="Tahoma"/>
            <family val="2"/>
            <charset val="204"/>
          </rPr>
          <t>После заполнения кол-ва месяцев фиксации, коэффициент фиксации появится автоматически</t>
        </r>
      </text>
    </comment>
    <comment ref="Y20" authorId="1" shapeId="0" xr:uid="{34623E52-DB51-4DBC-A6B1-5643E9388D52}">
      <text>
        <r>
          <rPr>
            <sz val="9"/>
            <color indexed="81"/>
            <rFont val="Tahoma"/>
            <family val="2"/>
            <charset val="204"/>
          </rPr>
          <t>После заполнения кол-ва месяцев фиксации, коэффициент фиксации появится автоматически</t>
        </r>
      </text>
    </comment>
    <comment ref="F22" authorId="1" shapeId="0" xr:uid="{F2515583-1F85-4745-9ABF-EBBB29BEC2EE}">
      <text>
        <r>
          <rPr>
            <sz val="9"/>
            <color indexed="81"/>
            <rFont val="Tahoma"/>
            <family val="2"/>
            <charset val="204"/>
          </rPr>
          <t>В прейскуранте цена указывается для 1 пользователя. Расчет суммы с НДС на двух и более пользователей осуществляется по алгоритму:
стоимость без НДС * количество пользователей * 1,2; результат округлить до двух знаков после запятой.</t>
        </r>
      </text>
    </comment>
    <comment ref="P22" authorId="1" shapeId="0" xr:uid="{FE45723B-92C4-40A4-B0A6-AFA5D13C8DEC}">
      <text>
        <r>
          <rPr>
            <sz val="9"/>
            <color indexed="81"/>
            <rFont val="Tahoma"/>
            <family val="2"/>
            <charset val="204"/>
          </rPr>
          <t>В прейскуранте цена указывается для 1 пользователя. Расчет суммы с НДС на двух и более пользователей осуществляется по алгоритму:
стоимость без НДС * количество пользователей * 1,2; результат округлить до двух знаков после запятой.</t>
        </r>
      </text>
    </comment>
    <comment ref="Z22" authorId="1" shapeId="0" xr:uid="{C93D2D31-6F54-418F-A9D7-DFA67C31E635}">
      <text>
        <r>
          <rPr>
            <sz val="9"/>
            <color indexed="81"/>
            <rFont val="Tahoma"/>
            <family val="2"/>
            <charset val="204"/>
          </rPr>
          <t>В прейскуранте цена указывается для 1 пользователя. Расчет суммы с НДС на двух и более пользователей осуществляется по алгоритму:
стоимость без НДС * количество пользователей * 1,2; результат округлить до двух знаков после запятой.</t>
        </r>
      </text>
    </comment>
    <comment ref="J31" authorId="2" shapeId="0" xr:uid="{BB97543A-87C9-4865-A934-D52A97F26094}">
      <text>
        <r>
          <rPr>
            <b/>
            <sz val="9"/>
            <color indexed="81"/>
            <rFont val="Tahoma"/>
            <family val="2"/>
            <charset val="204"/>
          </rPr>
          <t>Булаш Надежда Казимировна:</t>
        </r>
        <r>
          <rPr>
            <sz val="9"/>
            <color indexed="81"/>
            <rFont val="Tahoma"/>
            <family val="2"/>
            <charset val="204"/>
          </rPr>
          <t xml:space="preserve">
формула для расчета Итого со скидкой (ячейка Е24)</t>
        </r>
      </text>
    </comment>
    <comment ref="T31" authorId="2" shapeId="0" xr:uid="{ED482322-789C-42AF-9B80-4D28CBB24123}">
      <text>
        <r>
          <rPr>
            <b/>
            <sz val="9"/>
            <color indexed="81"/>
            <rFont val="Tahoma"/>
            <family val="2"/>
            <charset val="204"/>
          </rPr>
          <t>Булаш Надежда Казимировна:</t>
        </r>
        <r>
          <rPr>
            <sz val="9"/>
            <color indexed="81"/>
            <rFont val="Tahoma"/>
            <family val="2"/>
            <charset val="204"/>
          </rPr>
          <t xml:space="preserve">
формула для расчета Итого со скидкой (ячейка Е24)</t>
        </r>
      </text>
    </comment>
    <comment ref="AD31" authorId="2" shapeId="0" xr:uid="{CAABB709-6A42-45DF-B433-76B2BA898BAF}">
      <text>
        <r>
          <rPr>
            <b/>
            <sz val="9"/>
            <color indexed="81"/>
            <rFont val="Tahoma"/>
            <family val="2"/>
            <charset val="204"/>
          </rPr>
          <t>Булаш Надежда Казимировна:</t>
        </r>
        <r>
          <rPr>
            <sz val="9"/>
            <color indexed="81"/>
            <rFont val="Tahoma"/>
            <family val="2"/>
            <charset val="204"/>
          </rPr>
          <t xml:space="preserve">
формула для расчета Итого со скидкой (ячейка Е24)</t>
        </r>
      </text>
    </comment>
    <comment ref="J33" authorId="2" shapeId="0" xr:uid="{32CBD6B9-02E3-4B8D-BB90-DA2BD3939E4A}">
      <text>
        <r>
          <rPr>
            <b/>
            <sz val="9"/>
            <color indexed="81"/>
            <rFont val="Tahoma"/>
            <family val="2"/>
            <charset val="204"/>
          </rPr>
          <t>Булаш Надежда Казимировна:</t>
        </r>
        <r>
          <rPr>
            <sz val="9"/>
            <color indexed="81"/>
            <rFont val="Tahoma"/>
            <family val="2"/>
            <charset val="204"/>
          </rPr>
          <t xml:space="preserve">
В ячейках, выделенных серым цветом, промежуточные расчеты к ячейке J31</t>
        </r>
      </text>
    </comment>
    <comment ref="T33" authorId="2" shapeId="0" xr:uid="{3E1512E0-CA52-43D9-8989-5B84228AD684}">
      <text>
        <r>
          <rPr>
            <b/>
            <sz val="9"/>
            <color indexed="81"/>
            <rFont val="Tahoma"/>
            <family val="2"/>
            <charset val="204"/>
          </rPr>
          <t>Булаш Надежда Казимировна:</t>
        </r>
        <r>
          <rPr>
            <sz val="9"/>
            <color indexed="81"/>
            <rFont val="Tahoma"/>
            <family val="2"/>
            <charset val="204"/>
          </rPr>
          <t xml:space="preserve">
В ячейках, выделенных серым цветом, промежуточные расчеты к ячейке Т31</t>
        </r>
      </text>
    </comment>
    <comment ref="AD33" authorId="2" shapeId="0" xr:uid="{CB54774E-1DB5-4556-ADDD-AB77A7709B0C}">
      <text>
        <r>
          <rPr>
            <b/>
            <sz val="9"/>
            <color indexed="81"/>
            <rFont val="Tahoma"/>
            <family val="2"/>
            <charset val="204"/>
          </rPr>
          <t>Булаш Надежда Казимировна:</t>
        </r>
        <r>
          <rPr>
            <sz val="9"/>
            <color indexed="81"/>
            <rFont val="Tahoma"/>
            <family val="2"/>
            <charset val="204"/>
          </rPr>
          <t xml:space="preserve">
В ячейках, выделенных серым цветом, промежуточные расчеты к ячейке AD31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Овчинникова Ольга Викентьевна</author>
    <author>User</author>
  </authors>
  <commentList>
    <comment ref="D7" authorId="0" shapeId="0" xr:uid="{BE747FE9-3C41-4F59-AF77-4EAF6F5AE3B5}">
      <text>
        <r>
          <rPr>
            <sz val="9"/>
            <color indexed="81"/>
            <rFont val="Tahoma"/>
            <family val="2"/>
            <charset val="204"/>
          </rPr>
          <t xml:space="preserve">Изменяемое значение, можно выбарть вариант Оптимальный Плюс
</t>
        </r>
      </text>
    </comment>
    <comment ref="M7" authorId="0" shapeId="0" xr:uid="{8841755F-1FCC-4061-B855-7371C97E2DE7}">
      <text>
        <r>
          <rPr>
            <sz val="9"/>
            <color indexed="81"/>
            <rFont val="Tahoma"/>
            <family val="2"/>
            <charset val="204"/>
          </rPr>
          <t xml:space="preserve">Изменяемое значение, можно выбарть вариант Оптимальный Плюс
</t>
        </r>
      </text>
    </comment>
    <comment ref="D8" authorId="1" shapeId="0" xr:uid="{904ED794-2AD3-4B89-B7C9-C153708A62CA}">
      <text>
        <r>
          <rPr>
            <sz val="9"/>
            <color indexed="81"/>
            <rFont val="Tahoma"/>
            <family val="2"/>
            <charset val="204"/>
          </rPr>
          <t>В зависимости от выбранного ТП автоматически отобразится уровень минимальный или базовый</t>
        </r>
      </text>
    </comment>
    <comment ref="M8" authorId="1" shapeId="0" xr:uid="{089F336E-F6EE-4AAA-B4FB-EC59E569D038}">
      <text>
        <r>
          <rPr>
            <sz val="9"/>
            <color indexed="81"/>
            <rFont val="Tahoma"/>
            <family val="2"/>
            <charset val="204"/>
          </rPr>
          <t>В зависимости от выбранного ТП автоматически отобразится уровень минимальный или базовый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2" authorId="0" shapeId="0" xr:uid="{11B13822-237F-4C01-8F8F-1858412E92FB}">
      <text>
        <r>
          <rPr>
            <sz val="9"/>
            <color indexed="81"/>
            <rFont val="Tahoma"/>
            <family val="2"/>
            <charset val="204"/>
          </rPr>
          <t xml:space="preserve">
Акция_Пр.40 (апрель 25)
Пример названия акции.
В скобках - месяц действия акции</t>
        </r>
      </text>
    </comment>
    <comment ref="E50" authorId="0" shapeId="0" xr:uid="{35A8B83B-DF93-4C8A-9B98-68B4914C4DA3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скидка на ЛД
либо скидка на последующие месяцы</t>
        </r>
      </text>
    </comment>
    <comment ref="G50" authorId="0" shapeId="0" xr:uid="{A3C52031-8C8B-4DFB-8F1E-9A7120B28232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Варианты заполнения:
Пусто
1 мес. со скидкой 99%
2 мес. со скидкой 99%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3" authorId="0" shapeId="0" xr:uid="{B8CDB9B7-5B51-4C59-AC87-D90F9DB95A7E}">
      <text>
        <r>
          <rPr>
            <sz val="11"/>
            <color indexed="81"/>
            <rFont val="Tahoma"/>
            <family val="2"/>
            <charset val="204"/>
          </rPr>
          <t>из листовок по каждому ТП, размещенных
https://wiki.ilex.by/pages/viewpage.action?pageId=407020780</t>
        </r>
      </text>
    </comment>
    <comment ref="A5" authorId="0" shapeId="0" xr:uid="{C74F1610-7C9D-4A2C-8208-FDF03319EB47}">
      <text>
        <r>
          <rPr>
            <sz val="11"/>
            <color indexed="81"/>
            <rFont val="Tahoma"/>
            <family val="2"/>
            <charset val="204"/>
          </rPr>
          <t>инфо из файла, размещенного
https://wiki.ilex.by/pages/viewpage.action?pageId=495995064</t>
        </r>
      </text>
    </comment>
    <comment ref="A6" authorId="0" shapeId="0" xr:uid="{5720F955-0C06-4E97-9EC8-253AA5EABFDA}">
      <text>
        <r>
          <rPr>
            <sz val="11"/>
            <color indexed="81"/>
            <rFont val="Tahoma"/>
            <family val="2"/>
            <charset val="204"/>
          </rPr>
          <t>инфо из файла, размещенного
https://wiki.ilex.by/pages/viewpage.action?pageId=495995064</t>
        </r>
      </text>
    </comment>
    <comment ref="A7" authorId="0" shapeId="0" xr:uid="{73FDC90A-710C-465B-B1EA-14E4A84E6403}">
      <text>
        <r>
          <rPr>
            <sz val="11"/>
            <color indexed="81"/>
            <rFont val="Tahoma"/>
            <family val="2"/>
            <charset val="204"/>
          </rPr>
          <t>из листовок по каждому ТП, размещенных
https://wiki.ilex.by/pages/viewpage.action?pageId=407020780</t>
        </r>
      </text>
    </comment>
  </commentList>
</comments>
</file>

<file path=xl/sharedStrings.xml><?xml version="1.0" encoding="utf-8"?>
<sst xmlns="http://schemas.openxmlformats.org/spreadsheetml/2006/main" count="8987" uniqueCount="397">
  <si>
    <t>Уровень</t>
  </si>
  <si>
    <t>Эксперт</t>
  </si>
  <si>
    <t>Оптимальный</t>
  </si>
  <si>
    <t>Базовый</t>
  </si>
  <si>
    <t>Предприятие</t>
  </si>
  <si>
    <t>Минут</t>
  </si>
  <si>
    <t>Пользователей</t>
  </si>
  <si>
    <t>Сервис</t>
  </si>
  <si>
    <t>Стоимость 1 аккаунта</t>
  </si>
  <si>
    <t>Предприятие ПРОФ</t>
  </si>
  <si>
    <t>Главный Бухгалтер ПРОФ</t>
  </si>
  <si>
    <t>VIP Предприятие</t>
  </si>
  <si>
    <t>Ежемесячно</t>
  </si>
  <si>
    <t>За период</t>
  </si>
  <si>
    <t>Всего:</t>
  </si>
  <si>
    <t>Уровни</t>
  </si>
  <si>
    <t>Минимальный</t>
  </si>
  <si>
    <t>Коэффициент фиксации</t>
  </si>
  <si>
    <t>Аккаунтов</t>
  </si>
  <si>
    <t>цена</t>
  </si>
  <si>
    <t>ЭКСПЕРТ</t>
  </si>
  <si>
    <t>ОПТИМАЛЬНЫЙ</t>
  </si>
  <si>
    <t>МИНИМАЛЬНЫЙ</t>
  </si>
  <si>
    <t>БАЗОВЫЙ</t>
  </si>
  <si>
    <t>Предприятие Проф</t>
  </si>
  <si>
    <t>Главный бухгалтер</t>
  </si>
  <si>
    <t>Главный бухгалтер ПРОФ</t>
  </si>
  <si>
    <t>ФУНКЦИОНАЛЬНОСТИ</t>
  </si>
  <si>
    <t>Скрыть/показать примечания</t>
  </si>
  <si>
    <t>Быстрый поиск</t>
  </si>
  <si>
    <t>Информеры</t>
  </si>
  <si>
    <t>Производственный календарь</t>
  </si>
  <si>
    <t>Поиск в оглавлении</t>
  </si>
  <si>
    <t>Рекомендации в документах</t>
  </si>
  <si>
    <t>Умные ссылки</t>
  </si>
  <si>
    <t>Сравнение редакций</t>
  </si>
  <si>
    <t>Умные блоки</t>
  </si>
  <si>
    <t>Навигационные подсказки</t>
  </si>
  <si>
    <t>Расширенный поиск</t>
  </si>
  <si>
    <t>Классификаторы</t>
  </si>
  <si>
    <t>Поиск в найденном</t>
  </si>
  <si>
    <t>Полноэкранный режим</t>
  </si>
  <si>
    <t>Закладки</t>
  </si>
  <si>
    <t>Примечания на правой панели</t>
  </si>
  <si>
    <t>Выделение текста цветом (маркировка)</t>
  </si>
  <si>
    <t>УСЛУГИ</t>
  </si>
  <si>
    <t>Сообщество ilex</t>
  </si>
  <si>
    <t>Заказ подборок документов</t>
  </si>
  <si>
    <t>Круглые столы</t>
  </si>
  <si>
    <t>Главный Бухгалтер ПРОФ (1 пользователь)</t>
  </si>
  <si>
    <t>Предприятие (1 пользователь)</t>
  </si>
  <si>
    <t>Предприятие ПРОФ (1 пользователь)</t>
  </si>
  <si>
    <t>Обращение в службу поддержки</t>
  </si>
  <si>
    <t>Заказ документов по зак-ву РФ</t>
  </si>
  <si>
    <t>+</t>
  </si>
  <si>
    <t>-</t>
  </si>
  <si>
    <t>КАЛЬКУЛЯТОР</t>
  </si>
  <si>
    <t>Месяц прейскуранта</t>
  </si>
  <si>
    <t>Период</t>
  </si>
  <si>
    <t>Примечание</t>
  </si>
  <si>
    <t>Период фиксации, мес</t>
  </si>
  <si>
    <t>Период предоплаты, мес</t>
  </si>
  <si>
    <t xml:space="preserve"> месяца</t>
  </si>
  <si>
    <t xml:space="preserve"> месяцев</t>
  </si>
  <si>
    <t>Напоминание о статотчетности</t>
  </si>
  <si>
    <t>По прейскуранту</t>
  </si>
  <si>
    <t>П2</t>
  </si>
  <si>
    <t>П3</t>
  </si>
  <si>
    <t>П1</t>
  </si>
  <si>
    <t>Итого со скидкой</t>
  </si>
  <si>
    <t>Стоимость без НДС</t>
  </si>
  <si>
    <t>цена1</t>
  </si>
  <si>
    <t>Формула для ФЦ:</t>
  </si>
  <si>
    <t>VIP Предприятие (1 пользователь)</t>
  </si>
  <si>
    <t>Оптимальный Плюс</t>
  </si>
  <si>
    <t>Задать Вопрос Эксперту</t>
  </si>
  <si>
    <t>Месяцев</t>
  </si>
  <si>
    <t>Период действия предложения</t>
  </si>
  <si>
    <t>300/600</t>
  </si>
  <si>
    <t>400/800</t>
  </si>
  <si>
    <t>Скидка</t>
  </si>
  <si>
    <t>Кому</t>
  </si>
  <si>
    <t>Законодательство</t>
  </si>
  <si>
    <t>Формы</t>
  </si>
  <si>
    <t>Нюансы</t>
  </si>
  <si>
    <t>У1</t>
  </si>
  <si>
    <t>У2</t>
  </si>
  <si>
    <t>У3</t>
  </si>
  <si>
    <t>О1</t>
  </si>
  <si>
    <t>О2</t>
  </si>
  <si>
    <t>О3</t>
  </si>
  <si>
    <t>Ценовое</t>
  </si>
  <si>
    <t>К1</t>
  </si>
  <si>
    <t>К2</t>
  </si>
  <si>
    <t>К3</t>
  </si>
  <si>
    <t>М1</t>
  </si>
  <si>
    <t>М2</t>
  </si>
  <si>
    <t>М3</t>
  </si>
  <si>
    <t>Изменяемые разделы:</t>
  </si>
  <si>
    <t>БУХГАЛТЕРУ</t>
  </si>
  <si>
    <t>БУХГАЛТЕРУ, РУКОВОДИТЕЛЮ</t>
  </si>
  <si>
    <t>РУКОВОДИТЕЛЮ, БУХГАЛТЕРУ, ЮРИСТУ, ЭКОНОМИСТУ, 
СПЕЦИАЛИСТУ ПО КАДРАМ И ОХРАНЕ ТРУДА, ДЕЛОПРОИЗВОДИТЕЛЮ, ЭКОЛОГУ</t>
  </si>
  <si>
    <t xml:space="preserve">Наполнение </t>
  </si>
  <si>
    <t>Законодательная база</t>
  </si>
  <si>
    <t>Полная законодательная база</t>
  </si>
  <si>
    <t>Нюансы по видам деятельности</t>
  </si>
  <si>
    <t>У1-1</t>
  </si>
  <si>
    <t>У2-1</t>
  </si>
  <si>
    <t>У3-1</t>
  </si>
  <si>
    <t>У1-2</t>
  </si>
  <si>
    <t>У2-2</t>
  </si>
  <si>
    <t>У3-2</t>
  </si>
  <si>
    <t>Ст_1м</t>
  </si>
  <si>
    <t>Польз_всего</t>
  </si>
  <si>
    <t>без НДС</t>
  </si>
  <si>
    <t>период действия предложения</t>
  </si>
  <si>
    <t>КМ1</t>
  </si>
  <si>
    <t>КМ2</t>
  </si>
  <si>
    <t>КМ3</t>
  </si>
  <si>
    <t>Минуты_всего</t>
  </si>
  <si>
    <t>Скидка, %</t>
  </si>
  <si>
    <t>П2 (2 разных уровня)</t>
  </si>
  <si>
    <t>П3 (3 разных уровня)</t>
  </si>
  <si>
    <t>Период ФЦ</t>
  </si>
  <si>
    <t>ПериодПредложения</t>
  </si>
  <si>
    <t>Предоплата</t>
  </si>
  <si>
    <t>СтФ_период</t>
  </si>
  <si>
    <t>Ст_1м(скидка)</t>
  </si>
  <si>
    <t>Ст_период(скидка)</t>
  </si>
  <si>
    <t>Скидка2</t>
  </si>
  <si>
    <t>Предоплата2</t>
  </si>
  <si>
    <t>Период ФЦ2</t>
  </si>
  <si>
    <t>Польз_всего2</t>
  </si>
  <si>
    <t>К12</t>
  </si>
  <si>
    <t>К22</t>
  </si>
  <si>
    <t>К32</t>
  </si>
  <si>
    <t>П12</t>
  </si>
  <si>
    <t>П22</t>
  </si>
  <si>
    <t>П32</t>
  </si>
  <si>
    <t>КМ12</t>
  </si>
  <si>
    <t>КМ22</t>
  </si>
  <si>
    <t>КМ32</t>
  </si>
  <si>
    <t>М12</t>
  </si>
  <si>
    <t>М22</t>
  </si>
  <si>
    <t>М32</t>
  </si>
  <si>
    <t>Минуты_всего2</t>
  </si>
  <si>
    <t>Ст_1м2</t>
  </si>
  <si>
    <t>Ст_1м(скидка)2</t>
  </si>
  <si>
    <t>Ст_период(скидка)2</t>
  </si>
  <si>
    <t>СтФ_период2</t>
  </si>
  <si>
    <t>Контент</t>
  </si>
  <si>
    <t>У1_Об</t>
  </si>
  <si>
    <t>У3_Об</t>
  </si>
  <si>
    <t>У2_Об</t>
  </si>
  <si>
    <t>Ваш персональный менеджер</t>
  </si>
  <si>
    <t>тел.: +375 (33) 350 28 28</t>
  </si>
  <si>
    <t>www.ilex.by</t>
  </si>
  <si>
    <t>ФИО</t>
  </si>
  <si>
    <t>Менеджер</t>
  </si>
  <si>
    <t>Гор</t>
  </si>
  <si>
    <t>Мрб</t>
  </si>
  <si>
    <t>Адрес</t>
  </si>
  <si>
    <t>Сайт</t>
  </si>
  <si>
    <t>Данные для шаблона</t>
  </si>
  <si>
    <t>ЭКСПОРТ</t>
  </si>
  <si>
    <r>
      <t xml:space="preserve">СОКРАНИТЬ КАК   </t>
    </r>
    <r>
      <rPr>
        <i/>
        <sz val="10"/>
        <color theme="1"/>
        <rFont val="Arial"/>
        <family val="2"/>
        <charset val="204"/>
      </rPr>
      <t>или</t>
    </r>
  </si>
  <si>
    <t>КП из Word в PDF</t>
  </si>
  <si>
    <t>1) откройте нужный шаблон;</t>
  </si>
  <si>
    <t>2) при появлении окна нажмите "да";</t>
  </si>
  <si>
    <t>4) скорректируйте структуру КП;</t>
  </si>
  <si>
    <t>3) включите "разрешить редактирвание";</t>
  </si>
  <si>
    <t xml:space="preserve">5) сохраните КП в pdf: </t>
  </si>
  <si>
    <t>Итого с фиксацией</t>
  </si>
  <si>
    <t>Акция</t>
  </si>
  <si>
    <t>Тултипы к ссылкам в документе</t>
  </si>
  <si>
    <t>Проверка ссылок</t>
  </si>
  <si>
    <t>Поиск документов в Избранном</t>
  </si>
  <si>
    <t>Онлайн-обучение работе с ilex</t>
  </si>
  <si>
    <t>Оффлайн-обучение работе с ilex для клиентов г. Минска</t>
  </si>
  <si>
    <t>Заказ документов по зак-ву РБ</t>
  </si>
  <si>
    <t>Заказ документов по зак-ву РБ (запрос в ОГВ)</t>
  </si>
  <si>
    <t>Информирование о новостях зак-ва и новинках ilex (рассылка на эл. адрес и/или Viber/Telegram)</t>
  </si>
  <si>
    <t>Аудиториумы ilex</t>
  </si>
  <si>
    <t>Profzakupki.by: онлайн-помощник для специалистов по закупке</t>
  </si>
  <si>
    <t>по запросу</t>
  </si>
  <si>
    <t>Скидка по акции, %</t>
  </si>
  <si>
    <t>НМВ</t>
  </si>
  <si>
    <t>НОВ</t>
  </si>
  <si>
    <t>ОПТИМАЛЬНЫЙ ПЛЮС</t>
  </si>
  <si>
    <t>ЭКСПЕРТОПТИМАЛЬНЫЙ</t>
  </si>
  <si>
    <t>ЭКСПЕРТМИНИМАЛЬНЫЙ</t>
  </si>
  <si>
    <t>ОПТИМАЛЬНЫЙМИНИМАЛЬНЫЙ</t>
  </si>
  <si>
    <t>ЭКСПЕРТБАЗОВЫЙ</t>
  </si>
  <si>
    <t>ТП</t>
  </si>
  <si>
    <t>ЭКСПЕРТОПТИМАЛЬНЫЙМИНИМАЛЬНЫЙ</t>
  </si>
  <si>
    <t>ЭКСПЕРТОПТИМАЛЬНЫЙБАЗОВЫЙ</t>
  </si>
  <si>
    <t>Информирование</t>
  </si>
  <si>
    <t>Круглые_столы</t>
  </si>
  <si>
    <t>ЗВЭ</t>
  </si>
  <si>
    <t>Подборки</t>
  </si>
  <si>
    <t>ЭДО</t>
  </si>
  <si>
    <t>Закупки</t>
  </si>
  <si>
    <t>Аудиториумы</t>
  </si>
  <si>
    <t>Сообщество</t>
  </si>
  <si>
    <t>Обращения</t>
  </si>
  <si>
    <t>Консультации</t>
  </si>
  <si>
    <t>Обучение_онлайн</t>
  </si>
  <si>
    <t>Заказ_РБ</t>
  </si>
  <si>
    <t>Заказ_РФ</t>
  </si>
  <si>
    <t>Заказ_ОГВ</t>
  </si>
  <si>
    <t>300 / 600</t>
  </si>
  <si>
    <t>400 / 800</t>
  </si>
  <si>
    <t>Аналитика</t>
  </si>
  <si>
    <t>ОПТИМАЛЬНЫЙ*</t>
  </si>
  <si>
    <t>Минимальный / Базовый</t>
  </si>
  <si>
    <t>Выбор сервиса -&gt;</t>
  </si>
  <si>
    <t>Условия сопровождения / дополнительные услуги</t>
  </si>
  <si>
    <t>Коэффициенты фиксации</t>
  </si>
  <si>
    <t>месяцев</t>
  </si>
  <si>
    <r>
      <rPr>
        <sz val="11"/>
        <rFont val="Arial"/>
        <family val="2"/>
        <charset val="204"/>
      </rPr>
      <t xml:space="preserve">моб.: </t>
    </r>
    <r>
      <rPr>
        <b/>
        <sz val="11"/>
        <rFont val="Arial"/>
        <family val="2"/>
        <charset val="204"/>
      </rPr>
      <t>+375 (00) 000 00 00</t>
    </r>
  </si>
  <si>
    <r>
      <rPr>
        <sz val="11"/>
        <rFont val="Arial"/>
        <family val="2"/>
        <charset val="204"/>
      </rPr>
      <t>e-mail:</t>
    </r>
    <r>
      <rPr>
        <b/>
        <sz val="11"/>
        <rFont val="Arial"/>
        <family val="2"/>
        <charset val="204"/>
      </rPr>
      <t xml:space="preserve"> ...@urspectr.info</t>
    </r>
  </si>
  <si>
    <t>Последние запросы в строке поиска</t>
  </si>
  <si>
    <t>Информационные полосы со статусом документа</t>
  </si>
  <si>
    <t>Перемещение блоков на главной странице</t>
  </si>
  <si>
    <t>Отображение периода действия редакции</t>
  </si>
  <si>
    <t>Уведомление о размещении текста НПА в сервисе</t>
  </si>
  <si>
    <t>Поиск в ilex из кастомного меню</t>
  </si>
  <si>
    <t>Столбец1</t>
  </si>
  <si>
    <t>Столбец2</t>
  </si>
  <si>
    <t>Условие1</t>
  </si>
  <si>
    <t>Условие2</t>
  </si>
  <si>
    <t>1 мес. со скидкой 99%</t>
  </si>
  <si>
    <t>2 мес. со скидкой 99%</t>
  </si>
  <si>
    <t>АКЦИИ</t>
  </si>
  <si>
    <t>ОПТИМАЛЬНЫЙБАЗОВЫЙ</t>
  </si>
  <si>
    <t>Переход к следующему документу из списка сразу из открытого документа</t>
  </si>
  <si>
    <t>Подсветка новых материалов в поисковой выдаче</t>
  </si>
  <si>
    <t>ЛД</t>
  </si>
  <si>
    <t>НМВ, НОВ</t>
  </si>
  <si>
    <t>не акция</t>
  </si>
  <si>
    <t>Нет</t>
  </si>
  <si>
    <t>Приказ</t>
  </si>
  <si>
    <t>акция</t>
  </si>
  <si>
    <t>Общий итог</t>
  </si>
  <si>
    <t>Итого стоимость с НДС с учетом количества аккаунтов</t>
  </si>
  <si>
    <t>Доппакет НМВ</t>
  </si>
  <si>
    <t>Доппакет НОВ</t>
  </si>
  <si>
    <t>ДП_дата</t>
  </si>
  <si>
    <t>ДП_тип</t>
  </si>
  <si>
    <t>ДП_сумма</t>
  </si>
  <si>
    <t>Доппакеты:</t>
  </si>
  <si>
    <t>(пусто)</t>
  </si>
  <si>
    <t>Доппакет МВ Комплекс</t>
  </si>
  <si>
    <t>Доппакет ОВ Комплекс</t>
  </si>
  <si>
    <t>Консультирование по формам Excel в ilex</t>
  </si>
  <si>
    <t>Электронный документооборот (ЭДО) с использованием сервиса podpis.by</t>
  </si>
  <si>
    <t>Блок "Важнейшие НПА"</t>
  </si>
  <si>
    <t>Комплекс коммерческий Главный Бухгалтер ПРОФ</t>
  </si>
  <si>
    <t>Комплекс коммерческий Предприятие</t>
  </si>
  <si>
    <t>Комплекс коммерческий Предприятие ПРОФ</t>
  </si>
  <si>
    <t>Комплекс коммерческий VIP Предприятие</t>
  </si>
  <si>
    <t>Комплекс коммерческий Главный Бухгалтер ПРОФ (1 пользователь)</t>
  </si>
  <si>
    <t>Комплекс коммерческий Предприятие (1 пользователь)</t>
  </si>
  <si>
    <t>Комплекс коммерческий Предприятие ПРОФ (1 пользователь)</t>
  </si>
  <si>
    <t>Комплекс коммерческий VIP Предприятие (1 пользователь)</t>
  </si>
  <si>
    <t>Услуга по обработке данных с помощью Сервиса "ilex.Накладные"</t>
  </si>
  <si>
    <t>Обучение_офлаайн</t>
  </si>
  <si>
    <t>Накладные</t>
  </si>
  <si>
    <t>Комплекс</t>
  </si>
  <si>
    <t>Формы и образцы документов</t>
  </si>
  <si>
    <t>Проверка контрагентов</t>
  </si>
  <si>
    <t>Личные комментарии</t>
  </si>
  <si>
    <t>https://wiki.ilex.by/pages/viewpage.action?pageId=495995064</t>
  </si>
  <si>
    <t>Обучающий раздел "Об ilex"</t>
  </si>
  <si>
    <t>Пользовательское меню</t>
  </si>
  <si>
    <t>Раздел "Профиль"</t>
  </si>
  <si>
    <t>Блок "Рекомендации"</t>
  </si>
  <si>
    <t>Блок "Мои избранные документы"</t>
  </si>
  <si>
    <t>Блок "Обсуждают в Сообществе ilex"</t>
  </si>
  <si>
    <t>Блок "Последние открытые документы"</t>
  </si>
  <si>
    <t>Раздел "Новости"</t>
  </si>
  <si>
    <t>Раздел "Новые документы в ilex"</t>
  </si>
  <si>
    <t>Поиск в нескольких сегментах (доработка поиска)</t>
  </si>
  <si>
    <t>Тематические подсказки</t>
  </si>
  <si>
    <t>Фильтрация результатов поиска</t>
  </si>
  <si>
    <t>Сортировка результатов поиска (по релевантности, по дате принятия, по дате изменения)</t>
  </si>
  <si>
    <t>Блок подсказок "Возможно, вы искали"</t>
  </si>
  <si>
    <t>Умные страницы</t>
  </si>
  <si>
    <t>Базовые функции при работе с документом: печать документа, фрагмента; копирование текста, ссылки на абзац; экспорт в Word, поиск по тексту, справка к документу, оглавление</t>
  </si>
  <si>
    <t>Экспорт в Word с названием документа</t>
  </si>
  <si>
    <t>Дополнительная информация (i)</t>
  </si>
  <si>
    <t>Документ на контроле</t>
  </si>
  <si>
    <t>Тултипы к названию документа</t>
  </si>
  <si>
    <t>Избранное</t>
  </si>
  <si>
    <t>Папки в Избранном</t>
  </si>
  <si>
    <t>Избранное: видеть, в какой папке документ</t>
  </si>
  <si>
    <t>Избранное. Скачать/загрузить файл</t>
  </si>
  <si>
    <t>Функциональные возможности</t>
  </si>
  <si>
    <t xml:space="preserve"> +</t>
  </si>
  <si>
    <t xml:space="preserve"> - </t>
  </si>
  <si>
    <t xml:space="preserve"> +
с фильтрами по профилю, тематике и "Показать самое важное"</t>
  </si>
  <si>
    <t xml:space="preserve"> + </t>
  </si>
  <si>
    <t xml:space="preserve"> +
Полнотекстовый поиск в оглавлении</t>
  </si>
  <si>
    <t xml:space="preserve"> +
Базовый поиск в оглавлении</t>
  </si>
  <si>
    <t xml:space="preserve"> +
с фильтрами по профилю и тематике</t>
  </si>
  <si>
    <t>Готовые ответы в выпадающем списке</t>
  </si>
  <si>
    <t>прейскурант с НДС</t>
  </si>
  <si>
    <t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</t>
  </si>
  <si>
    <t>Исправление опечаток при поиске в документе</t>
  </si>
  <si>
    <t>Переход в список редакций из результатов поиска</t>
  </si>
  <si>
    <t>Функционал "Входящие"</t>
  </si>
  <si>
    <t xml:space="preserve"> +
с фильтром "Показать самое важное"</t>
  </si>
  <si>
    <t>Пакет Программ Главный Бухгалтер, Podpis, ilex.Накладные (1 пользователь, ЛД)</t>
  </si>
  <si>
    <t>Пакет Программ Главный Бухгалтер ПРОФ, Podpis, ilex.Накладные (1 пользователь, ЛД)</t>
  </si>
  <si>
    <t>Пакет Программ Главный Бухгалтер, Podpis (1 пользователь, ЛД)</t>
  </si>
  <si>
    <t>Пакет Программ Главный Бухгалтер ПРОФ, Podpis (1 пользователь, ЛД)</t>
  </si>
  <si>
    <t>Доппакет ЛД Podpis</t>
  </si>
  <si>
    <t>Прейскурант 2025</t>
  </si>
  <si>
    <t>Доппакет ЛД Накладные</t>
  </si>
  <si>
    <t>Главный Бухгалтер (ИПС ilex, podpis.by)</t>
  </si>
  <si>
    <t>Главный Бухгалтер (ИПС ilex, podpis.by, ilex.Накладные)</t>
  </si>
  <si>
    <t>Главный Бухгалтер ПРОФ (ИПС ilex, podpis.by)</t>
  </si>
  <si>
    <t>Главный Бухгалтер ПРОФ (ИПС ilex, podpis.by, ilex.Накладные)</t>
  </si>
  <si>
    <t>Рейтинг сопровождения (РС)</t>
  </si>
  <si>
    <t>Применённый
прейскурант</t>
  </si>
  <si>
    <t>Разница РС</t>
  </si>
  <si>
    <r>
      <rPr>
        <b/>
        <i/>
        <sz val="10"/>
        <color theme="1"/>
        <rFont val="Arial"/>
        <family val="2"/>
        <charset val="204"/>
      </rPr>
      <t>РС</t>
    </r>
    <r>
      <rPr>
        <i/>
        <sz val="10"/>
        <color theme="1"/>
        <rFont val="Arial"/>
        <family val="2"/>
        <charset val="204"/>
      </rPr>
      <t>=Цена по прейскуранту/Базовая величина</t>
    </r>
  </si>
  <si>
    <t>Тарифный план</t>
  </si>
  <si>
    <r>
      <t xml:space="preserve">Рассчитывается на основании данных, внесённых в формы </t>
    </r>
    <r>
      <rPr>
        <b/>
        <sz val="10"/>
        <rFont val="Arial"/>
        <family val="2"/>
        <charset val="204"/>
      </rPr>
      <t>П1</t>
    </r>
    <r>
      <rPr>
        <sz val="10"/>
        <rFont val="Arial"/>
        <family val="2"/>
        <charset val="204"/>
      </rPr>
      <t xml:space="preserve"> и </t>
    </r>
    <r>
      <rPr>
        <b/>
        <sz val="10"/>
        <rFont val="Arial"/>
        <family val="2"/>
        <charset val="204"/>
      </rPr>
      <t>П2</t>
    </r>
  </si>
  <si>
    <t>Цена</t>
  </si>
  <si>
    <t>00.00.2025</t>
  </si>
  <si>
    <t>тарифный план</t>
  </si>
  <si>
    <t>кол-во пользователей по всем уровням</t>
  </si>
  <si>
    <t>Назначение листа:</t>
  </si>
  <si>
    <t>В таблице Рейтинг сопровождения (РС) отразятся значения РС продуктов с учетом примененных прейскурантов, а также разница РС.</t>
  </si>
  <si>
    <t>Заполнение калькулятора для расчета РС</t>
  </si>
  <si>
    <r>
      <t>У клиента в декабре 2024 на обслуживании</t>
    </r>
    <r>
      <rPr>
        <u/>
        <sz val="10"/>
        <color theme="1"/>
        <rFont val="Arial"/>
        <family val="2"/>
        <charset val="204"/>
      </rPr>
      <t xml:space="preserve"> были</t>
    </r>
    <r>
      <rPr>
        <sz val="10"/>
        <color theme="1"/>
        <rFont val="Arial"/>
        <family val="2"/>
        <charset val="204"/>
      </rPr>
      <t xml:space="preserve"> продукты:</t>
    </r>
  </si>
  <si>
    <t>Примеры_расчет РС'!A2</t>
  </si>
  <si>
    <r>
      <rPr>
        <b/>
        <sz val="10"/>
        <color theme="1"/>
        <rFont val="Arial"/>
        <family val="2"/>
        <charset val="204"/>
      </rPr>
      <t>Вывод</t>
    </r>
    <r>
      <rPr>
        <sz val="10"/>
        <color theme="1"/>
        <rFont val="Arial"/>
        <family val="2"/>
        <charset val="204"/>
      </rPr>
      <t>: изменения есть только по одному из двух продуктов: Предприятие ПРОФ оптимальный 8 пользователей.</t>
    </r>
  </si>
  <si>
    <t>Пример 1. Расчет изменения РС (раскрыть группировку)</t>
  </si>
  <si>
    <t>Пример 2. Изменение всех продуктов у клиента</t>
  </si>
  <si>
    <t>Пример 2. Изменение всех продуктов у клиента (см. ссылку ниже):</t>
  </si>
  <si>
    <t>Пример 3. Отказ клиента</t>
  </si>
  <si>
    <t xml:space="preserve"> </t>
  </si>
  <si>
    <t>В калькуляторе не рассчитывается РС бюджетных продуктов и ТП ЮристПроф.</t>
  </si>
  <si>
    <t>Пример 4. Расчет РС при изменении продукта из Сборника лицензионных вознаграждений за право использования ИПС ilex и Podpis на определенных условиях (НОВ) (см. ссылку ниже):</t>
  </si>
  <si>
    <t>Кнопка "Очистить" удаляет данные в полях:</t>
  </si>
  <si>
    <t>рассчитать изменение РС по коммерческим продуктам клиента в отчетных периодах.</t>
  </si>
  <si>
    <r>
      <rPr>
        <b/>
        <sz val="10"/>
        <color rgb="FFFF0000"/>
        <rFont val="Arial"/>
        <family val="2"/>
        <charset val="204"/>
      </rPr>
      <t>Важно!</t>
    </r>
    <r>
      <rPr>
        <sz val="10"/>
        <color rgb="FFFF0000"/>
        <rFont val="Arial"/>
        <family val="2"/>
        <charset val="204"/>
      </rPr>
      <t xml:space="preserve"> </t>
    </r>
    <r>
      <rPr>
        <sz val="10"/>
        <color theme="1"/>
        <rFont val="Arial"/>
        <family val="2"/>
        <charset val="204"/>
      </rPr>
      <t xml:space="preserve">Для получения изменения РС по клиенту нужно сравнивать </t>
    </r>
    <r>
      <rPr>
        <u/>
        <sz val="10"/>
        <color theme="1"/>
        <rFont val="Arial"/>
        <family val="2"/>
        <charset val="204"/>
      </rPr>
      <t xml:space="preserve">не все продукты у клиента в сравниваемых периодах, а только те, </t>
    </r>
    <r>
      <rPr>
        <b/>
        <u/>
        <sz val="10"/>
        <color theme="1"/>
        <rFont val="Arial"/>
        <family val="2"/>
        <charset val="204"/>
      </rPr>
      <t>по которым произошли изменения хотя бы по одному параметру: ТП, уровень, кол-во пользователей.</t>
    </r>
  </si>
  <si>
    <t>Предприятие ПРОФ эксперт 8 пользователей</t>
  </si>
  <si>
    <t>Предприятие ПРОФ оптимальный 8 пользователей</t>
  </si>
  <si>
    <t>Предприятие ПРОФ оптимальный 10 пользователей</t>
  </si>
  <si>
    <r>
      <t xml:space="preserve">В январе 2025 на обслуживании у клиента </t>
    </r>
    <r>
      <rPr>
        <u/>
        <sz val="10"/>
        <color theme="1"/>
        <rFont val="Arial"/>
        <family val="2"/>
        <charset val="204"/>
      </rPr>
      <t>стало</t>
    </r>
    <r>
      <rPr>
        <sz val="10"/>
        <color theme="1"/>
        <rFont val="Arial"/>
        <family val="2"/>
        <charset val="204"/>
      </rPr>
      <t>:</t>
    </r>
  </si>
  <si>
    <t>Для расчета изменения РС у клиента нужно ввести следующие данные:</t>
  </si>
  <si>
    <r>
      <rPr>
        <u/>
        <sz val="10"/>
        <color theme="1"/>
        <rFont val="Arial"/>
        <family val="2"/>
        <charset val="204"/>
      </rPr>
      <t>в таблице П1</t>
    </r>
    <r>
      <rPr>
        <sz val="10"/>
        <color theme="1"/>
        <rFont val="Arial"/>
        <family val="2"/>
        <charset val="204"/>
      </rPr>
      <t xml:space="preserve"> - выбрать прейскурант, относящийся к месяцу обслуживания продукта Предприятие ПРОФ оптимальный 8 пользователей, заполнить соответствующим образом поля Тарифный план, уровни и Пользователей</t>
    </r>
  </si>
  <si>
    <r>
      <rPr>
        <u/>
        <sz val="10"/>
        <color theme="1"/>
        <rFont val="Arial"/>
        <family val="2"/>
        <charset val="204"/>
      </rPr>
      <t>в таблице П2</t>
    </r>
    <r>
      <rPr>
        <sz val="10"/>
        <color theme="1"/>
        <rFont val="Arial"/>
        <family val="2"/>
        <charset val="204"/>
      </rPr>
      <t xml:space="preserve"> - по продукту Предприятие ПРОФ оптимальный 10 пользователей поля с учетом выбора прейскуранта месяца обслуживания</t>
    </r>
  </si>
  <si>
    <t>Пример 3. Расчет РС при полном отказе клиента (см. ссылку ниже):</t>
  </si>
  <si>
    <t>Все примеры заполнения таблиц П1, П2 см.лист "Примеры_расчет РС".</t>
  </si>
  <si>
    <t>Пользователи</t>
  </si>
  <si>
    <t>Минуты</t>
  </si>
  <si>
    <r>
      <rPr>
        <b/>
        <sz val="10"/>
        <color rgb="FFFF0000"/>
        <rFont val="Arial"/>
        <family val="2"/>
        <charset val="204"/>
      </rPr>
      <t>Внимание!</t>
    </r>
    <r>
      <rPr>
        <sz val="10"/>
        <color theme="1"/>
        <rFont val="Arial"/>
        <family val="2"/>
        <charset val="204"/>
      </rPr>
      <t xml:space="preserve"> В связи с отменой прейскуранта "Сборник лицензионных вознаграждений за право использования ИПС ilex и Podpis на определенных условиях (НОВ)" при переходе продуктов с </t>
    </r>
    <r>
      <rPr>
        <b/>
        <sz val="10"/>
        <color theme="1"/>
        <rFont val="Arial"/>
        <family val="2"/>
        <charset val="204"/>
      </rPr>
      <t>ТП Главный бухгалтер (1 пользователь, ЛД), Главный бухгалтер ПРОФ (1 пользователь, ЛД)</t>
    </r>
    <r>
      <rPr>
        <sz val="10"/>
        <color theme="1"/>
        <rFont val="Arial"/>
        <family val="2"/>
        <charset val="204"/>
      </rPr>
      <t xml:space="preserve"> на другой продукт, для расчета изменения</t>
    </r>
  </si>
  <si>
    <r>
      <t xml:space="preserve">РС нужно вместо названных ТП в таблице П1 указывать приравненные к ним продукты </t>
    </r>
    <r>
      <rPr>
        <b/>
        <sz val="10"/>
        <color theme="1"/>
        <rFont val="Arial"/>
        <family val="2"/>
        <charset val="204"/>
      </rPr>
      <t>Пакет Программ Главный Бухгалтер, Podpis (1 пользователь, ЛД),
Пакет Программ Главный Бухгалтер ПРОФ, Podpis (1 пользователь, ЛД)</t>
    </r>
    <r>
      <rPr>
        <sz val="10"/>
        <color theme="1"/>
        <rFont val="Arial"/>
        <family val="2"/>
        <charset val="204"/>
      </rPr>
      <t xml:space="preserve"> (см. пример 4).</t>
    </r>
  </si>
  <si>
    <t>См.пример заполнения по ссылке ниже:</t>
  </si>
  <si>
    <r>
      <rPr>
        <b/>
        <i/>
        <sz val="10"/>
        <color theme="1"/>
        <rFont val="Arial"/>
        <family val="2"/>
        <charset val="204"/>
      </rPr>
      <t>Базовая величина</t>
    </r>
    <r>
      <rPr>
        <i/>
        <sz val="10"/>
        <color theme="1"/>
        <rFont val="Arial"/>
        <family val="2"/>
        <charset val="204"/>
      </rPr>
      <t xml:space="preserve"> (Главный бухгалтер базовый 1 польз-ль)</t>
    </r>
  </si>
  <si>
    <t>Пример 1. Изменение одного продукта из нескольких у клиента</t>
  </si>
  <si>
    <t>Пример 4. Изменение продукта из прейскуранта Сборник лицензионных вознаграждений за право использования ИПС ilex и Podpis на определенных условиях (НОВ)</t>
  </si>
  <si>
    <t>Примеры_расчет РС'!A34</t>
  </si>
  <si>
    <t>Примеры_расчет РС'!A58</t>
  </si>
  <si>
    <t>Примеры_расчет РС'!A83</t>
  </si>
  <si>
    <t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
Дополнительно: акцизы, единый налог для с/х производителей, налог на доходы от осуществления лотерейной деятельности, налог на игорный бизнес, оффшорный сбор, отчисление части прибыли РУП, плата за использование радиочастотного спектра, отчисления в фонд универсального обслуживания (резерв универсального обслуживания), налог за добычу (изъятие) природных ресурсов, утилизационный сбор, гербовый сбор (вексель).</t>
  </si>
  <si>
    <t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
Дополнительно: акцизы, единый налог для с/х производителей, налог на доходы от осуществления лотерейной деятельности, налог на игорный бизнес, оффшорный сбор, отчисление части прибыли РУП, плата за использование радиочастотного спектра, отчисления в фонд универсального обслуживания (резерв универсального обслуживания), налог за добычу (изъятие) природных ресурсов, утилизационный сбор, гербовый сбор (вексель); ценные бумаги; юр. лица: предприятия дочерние, зависимые; представительства и филиалы (в том числе иностранные, обособленные подразделения); резиденты СЭЗ; АО; МСФО и НСФО; консолидированная отчетность; ФЭС (для финансовых и экономических служб): управленческий учет, бюджетирование, эк. анализ и управление хоз. деятельностью, эк. планирование, нормирование; страховые организации; общественные организации (политическая партия, профессиональный союз); финансируемые -собственником учреждения, благотворительные и иные фонды, ассоциации и союзы и т.п.</t>
  </si>
  <si>
    <t>Нюансы по видам деятельности: оптовой, розничной торговли, общепита, производства, строительства, различных услуг и др.</t>
  </si>
  <si>
    <t>Нюансы учета по видам деятельности: оптовой, розничной торговли, общепита, производства, строительства, различных услуг и др.</t>
  </si>
  <si>
    <t>Нюансы учета по видам деятельности (оптовой, розничной торговли, общепита, производства, строительства, различных услуг) и т.п.</t>
  </si>
  <si>
    <t>Более 5 200 форм и образцов  документов</t>
  </si>
  <si>
    <t>Более 9 200 форм и образцов документов</t>
  </si>
  <si>
    <t>Более 44 500 форм и образцов документов</t>
  </si>
  <si>
    <t>Словарь терминов, поиск по словарю терминов в кастомном меню</t>
  </si>
  <si>
    <t>Копирование/Печать нескольких фрагментов документа с названием документа 
(кнопка "Список добавленных фрагментов" на панели действий)</t>
  </si>
  <si>
    <t>Режим копирования нескольких фрагментов
(кнопка "Включить режим копирования" на панели действий)</t>
  </si>
  <si>
    <t xml:space="preserve"> +
включая кликабельность и настройку информеров</t>
  </si>
  <si>
    <t xml:space="preserve"> +
включая блок «Последние просмотренные контрагенты»</t>
  </si>
  <si>
    <t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t>
  </si>
  <si>
    <t xml:space="preserve"> +
включая фильтры:
Поиск по номеру в НРПА
Искать как словосочетание</t>
  </si>
  <si>
    <t>Фильтры: «Все», «Законодательство», «Аналитика», «Формы», «Судебная практика»</t>
  </si>
  <si>
    <t>Фильтры: «Все», «Законодательство», «Аналитика», «Формы»</t>
  </si>
  <si>
    <t xml:space="preserve"> + 
включая:
- Полноэкранный режим сравнения редакций; 
- Экспорт в Word сравнения редакций: экспорт только изменений и экспорт полного текста двух редакций с отображением изменений</t>
  </si>
  <si>
    <t xml:space="preserve"> + 
включая Полноэкранный режим сравнения редакций</t>
  </si>
  <si>
    <t xml:space="preserve"> +
включая Поиск в «Дополнительной информации»</t>
  </si>
  <si>
    <t xml:space="preserve"> +
без ограничений</t>
  </si>
  <si>
    <t xml:space="preserve"> +
 до 5 документов</t>
  </si>
  <si>
    <t>– включает базовый набор функций для поиска документов и работы с ними.</t>
  </si>
  <si>
    <t>– содержит расширенный набор функций для удобного поиска и работы с документами, быструю навигацию для проработки вопросов.</t>
  </si>
  <si>
    <t>– содержит полный набор функциональных возможностей сервиса. Позволяет глубоко анализировать документы, оставлять личные пометки и комментарии, быстро ориентироваться в массиве информации и получать дополнительные сведения для глубокого анализа документа.</t>
  </si>
  <si>
    <t>Акция_Пр.88 (15мая-31июля25)</t>
  </si>
  <si>
    <t>Ваши мероприятия во "Входящих"</t>
  </si>
  <si>
    <t>Обновлен 15.08.2025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</si>
</sst>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.00\ &quot;Br&quot;_-;\-* #,##0.00\ &quot;Br&quot;_-;_-* &quot;-&quot;??\ &quot;Br&quot;_-;_-@_-"/>
    <numFmt numFmtId="165" formatCode="[$-419]mmmm\ yyyy;@"/>
    <numFmt numFmtId="166" formatCode="\●\ @"/>
  </numFmts>
  <fonts count="62" x14ac:knownFonts="1"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color theme="1" tint="0.24994659260841701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1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sz val="14"/>
      <name val="Arial"/>
      <family val="2"/>
      <charset val="204"/>
    </font>
    <font>
      <b/>
      <sz val="9"/>
      <color rgb="FF000000"/>
      <name val="Arial"/>
      <family val="2"/>
      <charset val="204"/>
    </font>
    <font>
      <u/>
      <sz val="10"/>
      <color theme="10"/>
      <name val="Calibri"/>
      <family val="2"/>
      <charset val="204"/>
      <scheme val="minor"/>
    </font>
    <font>
      <u/>
      <sz val="9"/>
      <color theme="10"/>
      <name val="Arial"/>
      <family val="2"/>
      <charset val="204"/>
    </font>
    <font>
      <b/>
      <i/>
      <sz val="9"/>
      <color rgb="FFFF0000"/>
      <name val="Arial"/>
      <family val="2"/>
      <charset val="204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b/>
      <sz val="10"/>
      <color rgb="FF000000"/>
      <name val="Arial"/>
      <family val="2"/>
      <charset val="204"/>
    </font>
    <font>
      <b/>
      <i/>
      <sz val="8"/>
      <color rgb="FFFF0000"/>
      <name val="Arial"/>
      <family val="2"/>
      <charset val="204"/>
    </font>
    <font>
      <sz val="10"/>
      <color rgb="FF92D050"/>
      <name val="Arial"/>
      <family val="2"/>
      <charset val="204"/>
    </font>
    <font>
      <b/>
      <sz val="11"/>
      <name val="Arial"/>
      <family val="2"/>
      <charset val="204"/>
    </font>
    <font>
      <b/>
      <sz val="12"/>
      <color theme="1"/>
      <name val="Arial"/>
      <family val="2"/>
      <charset val="204"/>
    </font>
    <font>
      <b/>
      <sz val="12"/>
      <name val="Calibri"/>
      <family val="2"/>
      <charset val="204"/>
      <scheme val="minor"/>
    </font>
    <font>
      <b/>
      <sz val="11"/>
      <color theme="5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4"/>
      <color theme="4"/>
      <name val="Arial"/>
      <family val="2"/>
      <charset val="204"/>
    </font>
    <font>
      <sz val="11"/>
      <name val="Arial"/>
      <family val="2"/>
      <charset val="204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color theme="0" tint="-4.9989318521683403E-2"/>
      <name val="Arial"/>
      <family val="2"/>
      <charset val="204"/>
    </font>
    <font>
      <b/>
      <sz val="10"/>
      <color theme="4"/>
      <name val="Arial"/>
      <family val="2"/>
      <charset val="204"/>
    </font>
    <font>
      <b/>
      <sz val="10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0"/>
      <color rgb="FF00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color theme="0" tint="-0.34998626667073579"/>
      <name val="Calibri"/>
      <family val="2"/>
      <charset val="204"/>
      <scheme val="minor"/>
    </font>
    <font>
      <sz val="10"/>
      <color theme="0" tint="-0.34998626667073579"/>
      <name val="Arial"/>
      <family val="2"/>
      <charset val="204"/>
    </font>
    <font>
      <sz val="11"/>
      <color indexed="81"/>
      <name val="Tahoma"/>
      <family val="2"/>
      <charset val="204"/>
    </font>
    <font>
      <i/>
      <u/>
      <sz val="12"/>
      <color theme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b/>
      <i/>
      <sz val="10"/>
      <color theme="1"/>
      <name val="Arial"/>
      <family val="2"/>
      <charset val="204"/>
    </font>
    <font>
      <b/>
      <sz val="10.5"/>
      <color theme="0" tint="-0.499984740745262"/>
      <name val="Calibri"/>
      <family val="2"/>
      <charset val="204"/>
      <scheme val="minor"/>
    </font>
    <font>
      <sz val="10.5"/>
      <color theme="0" tint="-0.499984740745262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u/>
      <sz val="10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color theme="8" tint="-0.249977111117893"/>
      <name val="Arial"/>
      <family val="2"/>
      <charset val="204"/>
    </font>
    <font>
      <sz val="10"/>
      <color theme="9" tint="-0.249977111117893"/>
      <name val="Arial"/>
      <family val="2"/>
      <charset val="204"/>
    </font>
    <font>
      <b/>
      <sz val="10"/>
      <color theme="8" tint="-0.249977111117893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1499984740745262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0" tint="-0.1499984740745262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9847407452621"/>
      </left>
      <right/>
      <top/>
      <bottom style="medium">
        <color indexed="64"/>
      </bottom>
      <diagonal/>
    </border>
    <border>
      <left/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1499984740745262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ck">
        <color auto="1"/>
      </bottom>
      <diagonal/>
    </border>
    <border>
      <left/>
      <right/>
      <top style="thin">
        <color theme="4" tint="0.3999755851924192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0" fontId="10" fillId="0" borderId="0"/>
    <xf numFmtId="0" fontId="2" fillId="0" borderId="0"/>
    <xf numFmtId="0" fontId="10" fillId="0" borderId="0"/>
    <xf numFmtId="0" fontId="20" fillId="0" borderId="0" applyNumberFormat="0" applyFill="0" applyBorder="0" applyAlignment="0" applyProtection="0"/>
    <xf numFmtId="0" fontId="10" fillId="0" borderId="0"/>
    <xf numFmtId="0" fontId="1" fillId="0" borderId="0"/>
    <xf numFmtId="0" fontId="48" fillId="0" borderId="0" applyNumberFormat="0" applyFill="0" applyBorder="0" applyAlignment="0" applyProtection="0"/>
  </cellStyleXfs>
  <cellXfs count="369">
    <xf numFmtId="0" fontId="0" fillId="0" borderId="0" xfId="0"/>
    <xf numFmtId="0" fontId="0" fillId="0" borderId="0" xfId="0" pivotButton="1"/>
    <xf numFmtId="0" fontId="6" fillId="0" borderId="0" xfId="0" applyFont="1"/>
    <xf numFmtId="0" fontId="9" fillId="0" borderId="0" xfId="0" applyFont="1"/>
    <xf numFmtId="0" fontId="9" fillId="0" borderId="0" xfId="0" applyFont="1" applyAlignment="1">
      <alignment horizontal="right"/>
    </xf>
    <xf numFmtId="0" fontId="8" fillId="6" borderId="2" xfId="0" applyFont="1" applyFill="1" applyBorder="1" applyAlignment="1">
      <alignment horizontal="left" indent="2"/>
    </xf>
    <xf numFmtId="0" fontId="0" fillId="3" borderId="0" xfId="0" applyFill="1"/>
    <xf numFmtId="2" fontId="9" fillId="0" borderId="0" xfId="0" applyNumberFormat="1" applyFont="1"/>
    <xf numFmtId="17" fontId="0" fillId="0" borderId="0" xfId="0" applyNumberFormat="1"/>
    <xf numFmtId="2" fontId="0" fillId="0" borderId="0" xfId="0" applyNumberFormat="1"/>
    <xf numFmtId="0" fontId="0" fillId="0" borderId="0" xfId="0" applyAlignment="1">
      <alignment wrapText="1"/>
    </xf>
    <xf numFmtId="0" fontId="14" fillId="0" borderId="0" xfId="0" applyFont="1" applyAlignment="1">
      <alignment vertical="center"/>
    </xf>
    <xf numFmtId="0" fontId="4" fillId="6" borderId="0" xfId="0" applyFont="1" applyFill="1" applyAlignment="1">
      <alignment horizontal="left" indent="2"/>
    </xf>
    <xf numFmtId="164" fontId="19" fillId="4" borderId="1" xfId="0" applyNumberFormat="1" applyFont="1" applyFill="1" applyBorder="1" applyAlignment="1">
      <alignment horizontal="center"/>
    </xf>
    <xf numFmtId="0" fontId="6" fillId="2" borderId="0" xfId="0" applyFont="1" applyFill="1"/>
    <xf numFmtId="0" fontId="6" fillId="6" borderId="0" xfId="0" applyFont="1" applyFill="1" applyAlignment="1">
      <alignment horizontal="left" indent="2"/>
    </xf>
    <xf numFmtId="0" fontId="4" fillId="6" borderId="0" xfId="0" applyFont="1" applyFill="1" applyAlignment="1">
      <alignment horizontal="left" vertical="center" indent="2"/>
    </xf>
    <xf numFmtId="0" fontId="8" fillId="6" borderId="0" xfId="0" applyFont="1" applyFill="1" applyAlignment="1">
      <alignment horizontal="left" indent="2"/>
    </xf>
    <xf numFmtId="0" fontId="10" fillId="6" borderId="11" xfId="0" applyFont="1" applyFill="1" applyBorder="1"/>
    <xf numFmtId="0" fontId="10" fillId="6" borderId="0" xfId="0" applyFont="1" applyFill="1"/>
    <xf numFmtId="0" fontId="10" fillId="6" borderId="6" xfId="0" applyFont="1" applyFill="1" applyBorder="1"/>
    <xf numFmtId="0" fontId="7" fillId="9" borderId="9" xfId="0" applyFont="1" applyFill="1" applyBorder="1" applyAlignment="1">
      <alignment horizontal="center" wrapText="1"/>
    </xf>
    <xf numFmtId="0" fontId="7" fillId="9" borderId="23" xfId="0" applyFont="1" applyFill="1" applyBorder="1"/>
    <xf numFmtId="0" fontId="7" fillId="9" borderId="0" xfId="0" applyFont="1" applyFill="1" applyAlignment="1">
      <alignment horizontal="center" wrapText="1"/>
    </xf>
    <xf numFmtId="17" fontId="7" fillId="9" borderId="0" xfId="0" applyNumberFormat="1" applyFont="1" applyFill="1" applyAlignment="1">
      <alignment horizontal="center" wrapText="1"/>
    </xf>
    <xf numFmtId="3" fontId="11" fillId="6" borderId="0" xfId="0" applyNumberFormat="1" applyFont="1" applyFill="1" applyAlignment="1" applyProtection="1">
      <alignment horizontal="center"/>
      <protection hidden="1"/>
    </xf>
    <xf numFmtId="0" fontId="11" fillId="6" borderId="0" xfId="0" applyFont="1" applyFill="1" applyAlignment="1">
      <alignment horizontal="right" vertical="center"/>
    </xf>
    <xf numFmtId="164" fontId="19" fillId="0" borderId="1" xfId="0" applyNumberFormat="1" applyFont="1" applyBorder="1" applyAlignment="1">
      <alignment horizontal="center"/>
    </xf>
    <xf numFmtId="0" fontId="12" fillId="0" borderId="0" xfId="0" applyFont="1" applyAlignment="1">
      <alignment horizontal="left" vertical="top" indent="2"/>
    </xf>
    <xf numFmtId="0" fontId="21" fillId="0" borderId="0" xfId="5" applyFont="1" applyAlignment="1">
      <alignment horizontal="left" vertical="top" indent="2"/>
    </xf>
    <xf numFmtId="17" fontId="0" fillId="0" borderId="0" xfId="0" applyNumberFormat="1" applyAlignment="1">
      <alignment horizontal="left"/>
    </xf>
    <xf numFmtId="0" fontId="12" fillId="0" borderId="7" xfId="0" applyFont="1" applyBorder="1" applyAlignment="1">
      <alignment horizontal="center"/>
    </xf>
    <xf numFmtId="0" fontId="4" fillId="6" borderId="18" xfId="0" applyFont="1" applyFill="1" applyBorder="1" applyAlignment="1">
      <alignment horizontal="left" indent="2"/>
    </xf>
    <xf numFmtId="0" fontId="4" fillId="6" borderId="6" xfId="0" applyFont="1" applyFill="1" applyBorder="1" applyAlignment="1">
      <alignment horizontal="left" indent="2"/>
    </xf>
    <xf numFmtId="0" fontId="22" fillId="0" borderId="0" xfId="0" applyFont="1" applyAlignment="1" applyProtection="1">
      <alignment vertical="top" wrapText="1"/>
      <protection hidden="1"/>
    </xf>
    <xf numFmtId="0" fontId="26" fillId="0" borderId="0" xfId="0" applyFont="1" applyAlignment="1" applyProtection="1">
      <alignment horizontal="right" vertical="top"/>
      <protection hidden="1"/>
    </xf>
    <xf numFmtId="0" fontId="10" fillId="0" borderId="0" xfId="0" applyFont="1"/>
    <xf numFmtId="17" fontId="27" fillId="0" borderId="0" xfId="0" applyNumberFormat="1" applyFont="1"/>
    <xf numFmtId="0" fontId="28" fillId="6" borderId="11" xfId="0" applyFont="1" applyFill="1" applyBorder="1"/>
    <xf numFmtId="0" fontId="28" fillId="0" borderId="0" xfId="0" applyFont="1"/>
    <xf numFmtId="0" fontId="29" fillId="0" borderId="0" xfId="0" applyFont="1"/>
    <xf numFmtId="0" fontId="4" fillId="7" borderId="14" xfId="0" applyFont="1" applyFill="1" applyBorder="1" applyAlignment="1">
      <alignment horizontal="left" indent="2"/>
    </xf>
    <xf numFmtId="4" fontId="10" fillId="7" borderId="30" xfId="0" applyNumberFormat="1" applyFont="1" applyFill="1" applyBorder="1" applyAlignment="1" applyProtection="1">
      <alignment horizontal="right"/>
      <protection hidden="1"/>
    </xf>
    <xf numFmtId="0" fontId="6" fillId="0" borderId="16" xfId="0" applyFont="1" applyBorder="1"/>
    <xf numFmtId="0" fontId="24" fillId="0" borderId="0" xfId="0" applyFont="1" applyAlignment="1">
      <alignment horizontal="left"/>
    </xf>
    <xf numFmtId="0" fontId="0" fillId="0" borderId="0" xfId="0" applyAlignment="1">
      <alignment horizontal="left"/>
    </xf>
    <xf numFmtId="0" fontId="23" fillId="0" borderId="0" xfId="0" applyFont="1"/>
    <xf numFmtId="0" fontId="4" fillId="7" borderId="6" xfId="0" applyFont="1" applyFill="1" applyBorder="1" applyAlignment="1">
      <alignment horizontal="left" vertical="top" wrapText="1" indent="2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3" fillId="0" borderId="0" xfId="0" applyFont="1" applyAlignment="1">
      <alignment vertical="top" wrapText="1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" fontId="0" fillId="0" borderId="0" xfId="0" applyNumberFormat="1"/>
    <xf numFmtId="0" fontId="0" fillId="11" borderId="0" xfId="0" applyFill="1" applyAlignment="1">
      <alignment vertical="top"/>
    </xf>
    <xf numFmtId="0" fontId="0" fillId="12" borderId="0" xfId="0" applyFill="1" applyAlignment="1">
      <alignment vertical="top"/>
    </xf>
    <xf numFmtId="0" fontId="23" fillId="10" borderId="0" xfId="0" applyFont="1" applyFill="1" applyAlignment="1">
      <alignment vertical="top"/>
    </xf>
    <xf numFmtId="0" fontId="0" fillId="3" borderId="0" xfId="0" applyFill="1" applyAlignment="1">
      <alignment vertical="top" wrapText="1"/>
    </xf>
    <xf numFmtId="0" fontId="10" fillId="0" borderId="1" xfId="0" applyFont="1" applyBorder="1"/>
    <xf numFmtId="2" fontId="10" fillId="0" borderId="0" xfId="0" applyNumberFormat="1" applyFont="1"/>
    <xf numFmtId="1" fontId="10" fillId="0" borderId="0" xfId="0" applyNumberFormat="1" applyFont="1"/>
    <xf numFmtId="1" fontId="0" fillId="0" borderId="0" xfId="0" applyNumberFormat="1" applyAlignment="1">
      <alignment vertical="top" wrapText="1"/>
    </xf>
    <xf numFmtId="0" fontId="0" fillId="13" borderId="0" xfId="0" applyFill="1" applyAlignment="1">
      <alignment vertical="top"/>
    </xf>
    <xf numFmtId="0" fontId="0" fillId="5" borderId="0" xfId="0" applyFill="1" applyAlignment="1">
      <alignment vertical="top"/>
    </xf>
    <xf numFmtId="0" fontId="14" fillId="12" borderId="8" xfId="0" applyFont="1" applyFill="1" applyBorder="1" applyAlignment="1">
      <alignment vertical="top"/>
    </xf>
    <xf numFmtId="0" fontId="0" fillId="12" borderId="8" xfId="0" applyFill="1" applyBorder="1" applyAlignment="1">
      <alignment vertical="top"/>
    </xf>
    <xf numFmtId="0" fontId="0" fillId="12" borderId="13" xfId="0" applyFill="1" applyBorder="1" applyAlignment="1">
      <alignment vertical="top"/>
    </xf>
    <xf numFmtId="0" fontId="0" fillId="12" borderId="33" xfId="0" applyFill="1" applyBorder="1" applyAlignment="1">
      <alignment vertical="top"/>
    </xf>
    <xf numFmtId="0" fontId="0" fillId="12" borderId="34" xfId="0" applyFill="1" applyBorder="1" applyAlignment="1">
      <alignment vertical="top"/>
    </xf>
    <xf numFmtId="0" fontId="0" fillId="12" borderId="35" xfId="0" applyFill="1" applyBorder="1" applyAlignment="1">
      <alignment vertical="top"/>
    </xf>
    <xf numFmtId="0" fontId="0" fillId="12" borderId="36" xfId="0" applyFill="1" applyBorder="1" applyAlignment="1">
      <alignment vertical="top"/>
    </xf>
    <xf numFmtId="0" fontId="0" fillId="12" borderId="15" xfId="0" applyFill="1" applyBorder="1" applyAlignment="1">
      <alignment vertical="top"/>
    </xf>
    <xf numFmtId="0" fontId="3" fillId="12" borderId="19" xfId="0" applyFont="1" applyFill="1" applyBorder="1" applyAlignment="1">
      <alignment vertical="top"/>
    </xf>
    <xf numFmtId="0" fontId="14" fillId="13" borderId="8" xfId="0" applyFont="1" applyFill="1" applyBorder="1" applyAlignment="1">
      <alignment vertical="top"/>
    </xf>
    <xf numFmtId="0" fontId="0" fillId="13" borderId="8" xfId="0" applyFill="1" applyBorder="1" applyAlignment="1">
      <alignment vertical="top"/>
    </xf>
    <xf numFmtId="0" fontId="0" fillId="13" borderId="13" xfId="0" applyFill="1" applyBorder="1" applyAlignment="1">
      <alignment vertical="top"/>
    </xf>
    <xf numFmtId="0" fontId="3" fillId="13" borderId="19" xfId="0" applyFont="1" applyFill="1" applyBorder="1" applyAlignment="1">
      <alignment vertical="top"/>
    </xf>
    <xf numFmtId="0" fontId="0" fillId="13" borderId="33" xfId="0" applyFill="1" applyBorder="1" applyAlignment="1">
      <alignment vertical="top"/>
    </xf>
    <xf numFmtId="0" fontId="0" fillId="13" borderId="34" xfId="0" applyFill="1" applyBorder="1" applyAlignment="1">
      <alignment vertical="top"/>
    </xf>
    <xf numFmtId="0" fontId="0" fillId="13" borderId="35" xfId="0" applyFill="1" applyBorder="1" applyAlignment="1">
      <alignment vertical="top"/>
    </xf>
    <xf numFmtId="0" fontId="0" fillId="13" borderId="36" xfId="0" applyFill="1" applyBorder="1" applyAlignment="1">
      <alignment vertical="top"/>
    </xf>
    <xf numFmtId="0" fontId="0" fillId="13" borderId="15" xfId="0" applyFill="1" applyBorder="1" applyAlignment="1">
      <alignment vertical="top"/>
    </xf>
    <xf numFmtId="0" fontId="14" fillId="5" borderId="8" xfId="0" applyFont="1" applyFill="1" applyBorder="1" applyAlignment="1">
      <alignment vertical="top"/>
    </xf>
    <xf numFmtId="0" fontId="0" fillId="5" borderId="8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3" fillId="5" borderId="19" xfId="0" applyFont="1" applyFill="1" applyBorder="1" applyAlignment="1">
      <alignment vertical="top"/>
    </xf>
    <xf numFmtId="0" fontId="0" fillId="5" borderId="33" xfId="0" applyFill="1" applyBorder="1" applyAlignment="1">
      <alignment vertical="top"/>
    </xf>
    <xf numFmtId="0" fontId="0" fillId="5" borderId="34" xfId="0" applyFill="1" applyBorder="1" applyAlignment="1">
      <alignment vertical="top"/>
    </xf>
    <xf numFmtId="0" fontId="0" fillId="5" borderId="35" xfId="0" applyFill="1" applyBorder="1" applyAlignment="1">
      <alignment vertical="top"/>
    </xf>
    <xf numFmtId="0" fontId="0" fillId="5" borderId="36" xfId="0" applyFill="1" applyBorder="1" applyAlignment="1">
      <alignment vertical="top"/>
    </xf>
    <xf numFmtId="0" fontId="0" fillId="5" borderId="15" xfId="0" applyFill="1" applyBorder="1" applyAlignment="1">
      <alignment vertical="top"/>
    </xf>
    <xf numFmtId="0" fontId="0" fillId="14" borderId="31" xfId="0" applyFill="1" applyBorder="1" applyAlignment="1">
      <alignment vertical="top"/>
    </xf>
    <xf numFmtId="0" fontId="0" fillId="14" borderId="32" xfId="0" applyFill="1" applyBorder="1" applyAlignment="1">
      <alignment vertical="top"/>
    </xf>
    <xf numFmtId="0" fontId="0" fillId="14" borderId="27" xfId="0" applyFill="1" applyBorder="1" applyAlignment="1">
      <alignment vertical="top"/>
    </xf>
    <xf numFmtId="0" fontId="29" fillId="0" borderId="0" xfId="0" applyFont="1" applyAlignment="1">
      <alignment horizontal="center" vertical="top" wrapText="1"/>
    </xf>
    <xf numFmtId="0" fontId="32" fillId="0" borderId="0" xfId="0" applyFont="1"/>
    <xf numFmtId="0" fontId="33" fillId="0" borderId="0" xfId="0" applyFont="1"/>
    <xf numFmtId="0" fontId="34" fillId="0" borderId="0" xfId="0" applyFont="1"/>
    <xf numFmtId="0" fontId="6" fillId="0" borderId="0" xfId="0" applyFont="1" applyAlignment="1">
      <alignment horizontal="left" indent="1"/>
    </xf>
    <xf numFmtId="0" fontId="6" fillId="0" borderId="0" xfId="0" applyFont="1" applyAlignment="1">
      <alignment horizontal="left" indent="6"/>
    </xf>
    <xf numFmtId="0" fontId="35" fillId="0" borderId="0" xfId="0" applyFont="1" applyAlignment="1">
      <alignment vertical="top"/>
    </xf>
    <xf numFmtId="0" fontId="36" fillId="0" borderId="0" xfId="0" applyFont="1" applyAlignment="1">
      <alignment vertical="top"/>
    </xf>
    <xf numFmtId="0" fontId="6" fillId="0" borderId="0" xfId="0" applyFont="1" applyAlignment="1">
      <alignment horizontal="center"/>
    </xf>
    <xf numFmtId="0" fontId="0" fillId="15" borderId="0" xfId="0" applyFill="1" applyAlignment="1">
      <alignment vertical="top" wrapText="1"/>
    </xf>
    <xf numFmtId="49" fontId="28" fillId="0" borderId="0" xfId="0" applyNumberFormat="1" applyFont="1" applyAlignment="1">
      <alignment horizontal="left"/>
    </xf>
    <xf numFmtId="49" fontId="28" fillId="0" borderId="0" xfId="0" applyNumberFormat="1" applyFont="1"/>
    <xf numFmtId="49" fontId="34" fillId="0" borderId="0" xfId="0" applyNumberFormat="1" applyFont="1"/>
    <xf numFmtId="49" fontId="0" fillId="0" borderId="0" xfId="0" applyNumberFormat="1"/>
    <xf numFmtId="9" fontId="6" fillId="0" borderId="0" xfId="0" applyNumberFormat="1" applyFont="1"/>
    <xf numFmtId="0" fontId="4" fillId="6" borderId="18" xfId="0" applyFont="1" applyFill="1" applyBorder="1" applyAlignment="1">
      <alignment horizontal="right" indent="2"/>
    </xf>
    <xf numFmtId="0" fontId="4" fillId="6" borderId="0" xfId="0" applyFont="1" applyFill="1" applyAlignment="1">
      <alignment horizontal="right" indent="2"/>
    </xf>
    <xf numFmtId="0" fontId="3" fillId="0" borderId="0" xfId="0" applyFont="1" applyAlignment="1">
      <alignment vertical="center" textRotation="255"/>
    </xf>
    <xf numFmtId="0" fontId="3" fillId="0" borderId="0" xfId="0" applyFont="1"/>
    <xf numFmtId="4" fontId="25" fillId="0" borderId="20" xfId="1" applyNumberFormat="1" applyFont="1" applyFill="1" applyBorder="1" applyAlignment="1" applyProtection="1">
      <alignment horizontal="right"/>
      <protection hidden="1"/>
    </xf>
    <xf numFmtId="0" fontId="38" fillId="6" borderId="18" xfId="0" applyFont="1" applyFill="1" applyBorder="1" applyAlignment="1">
      <alignment horizontal="right" indent="2"/>
    </xf>
    <xf numFmtId="0" fontId="38" fillId="6" borderId="0" xfId="0" applyFont="1" applyFill="1" applyAlignment="1">
      <alignment horizontal="right" indent="2"/>
    </xf>
    <xf numFmtId="0" fontId="14" fillId="11" borderId="31" xfId="0" applyFont="1" applyFill="1" applyBorder="1" applyAlignment="1">
      <alignment vertical="top" wrapText="1"/>
    </xf>
    <xf numFmtId="0" fontId="14" fillId="11" borderId="32" xfId="0" applyFont="1" applyFill="1" applyBorder="1" applyAlignment="1">
      <alignment vertical="top" wrapText="1"/>
    </xf>
    <xf numFmtId="0" fontId="14" fillId="11" borderId="27" xfId="0" applyFont="1" applyFill="1" applyBorder="1" applyAlignment="1">
      <alignment vertical="top" wrapText="1"/>
    </xf>
    <xf numFmtId="0" fontId="16" fillId="0" borderId="12" xfId="0" applyFont="1" applyBorder="1" applyAlignment="1">
      <alignment horizontal="right" vertical="center" wrapText="1"/>
    </xf>
    <xf numFmtId="0" fontId="11" fillId="0" borderId="0" xfId="0" applyFont="1"/>
    <xf numFmtId="0" fontId="0" fillId="16" borderId="0" xfId="0" applyFill="1" applyAlignment="1">
      <alignment horizontal="left"/>
    </xf>
    <xf numFmtId="2" fontId="0" fillId="16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NumberFormat="1"/>
    <xf numFmtId="0" fontId="39" fillId="17" borderId="40" xfId="0" applyFont="1" applyFill="1" applyBorder="1"/>
    <xf numFmtId="0" fontId="40" fillId="17" borderId="41" xfId="0" applyFont="1" applyFill="1" applyBorder="1"/>
    <xf numFmtId="0" fontId="39" fillId="17" borderId="41" xfId="0" applyFont="1" applyFill="1" applyBorder="1"/>
    <xf numFmtId="0" fontId="0" fillId="0" borderId="40" xfId="0" applyFont="1" applyFill="1" applyBorder="1"/>
    <xf numFmtId="0" fontId="0" fillId="0" borderId="41" xfId="0" applyFont="1" applyFill="1" applyBorder="1"/>
    <xf numFmtId="2" fontId="0" fillId="0" borderId="41" xfId="0" applyNumberFormat="1" applyFont="1" applyFill="1" applyBorder="1"/>
    <xf numFmtId="0" fontId="0" fillId="0" borderId="39" xfId="0" applyFont="1" applyFill="1" applyBorder="1"/>
    <xf numFmtId="0" fontId="0" fillId="0" borderId="38" xfId="0" applyFont="1" applyFill="1" applyBorder="1"/>
    <xf numFmtId="0" fontId="19" fillId="4" borderId="1" xfId="0" applyNumberFormat="1" applyFont="1" applyFill="1" applyBorder="1" applyAlignment="1">
      <alignment horizontal="left"/>
    </xf>
    <xf numFmtId="164" fontId="19" fillId="0" borderId="20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4" fillId="0" borderId="0" xfId="0" applyFont="1" applyFill="1" applyBorder="1"/>
    <xf numFmtId="0" fontId="6" fillId="0" borderId="0" xfId="0" applyFont="1" applyFill="1"/>
    <xf numFmtId="2" fontId="6" fillId="3" borderId="0" xfId="0" applyNumberFormat="1" applyFont="1" applyFill="1"/>
    <xf numFmtId="0" fontId="6" fillId="18" borderId="0" xfId="0" applyFont="1" applyFill="1"/>
    <xf numFmtId="2" fontId="6" fillId="18" borderId="0" xfId="0" applyNumberFormat="1" applyFont="1" applyFill="1"/>
    <xf numFmtId="0" fontId="0" fillId="0" borderId="8" xfId="0" applyBorder="1"/>
    <xf numFmtId="0" fontId="3" fillId="0" borderId="8" xfId="0" applyFont="1" applyBorder="1"/>
    <xf numFmtId="0" fontId="0" fillId="19" borderId="41" xfId="0" applyFont="1" applyFill="1" applyBorder="1"/>
    <xf numFmtId="2" fontId="0" fillId="19" borderId="41" xfId="0" applyNumberFormat="1" applyFont="1" applyFill="1" applyBorder="1"/>
    <xf numFmtId="0" fontId="39" fillId="17" borderId="0" xfId="0" applyFont="1" applyFill="1" applyBorder="1"/>
    <xf numFmtId="0" fontId="0" fillId="0" borderId="0" xfId="0" applyFill="1"/>
    <xf numFmtId="0" fontId="0" fillId="0" borderId="0" xfId="0" applyFill="1" applyAlignment="1">
      <alignment horizontal="left"/>
    </xf>
    <xf numFmtId="2" fontId="0" fillId="0" borderId="0" xfId="0" applyNumberFormat="1" applyFill="1" applyAlignment="1">
      <alignment horizontal="left"/>
    </xf>
    <xf numFmtId="17" fontId="0" fillId="0" borderId="0" xfId="0" applyNumberFormat="1" applyFill="1" applyAlignment="1">
      <alignment horizontal="left"/>
    </xf>
    <xf numFmtId="2" fontId="0" fillId="3" borderId="41" xfId="0" applyNumberFormat="1" applyFont="1" applyFill="1" applyBorder="1"/>
    <xf numFmtId="0" fontId="0" fillId="3" borderId="41" xfId="0" applyFont="1" applyFill="1" applyBorder="1"/>
    <xf numFmtId="2" fontId="0" fillId="3" borderId="38" xfId="0" applyNumberFormat="1" applyFont="1" applyFill="1" applyBorder="1"/>
    <xf numFmtId="0" fontId="0" fillId="3" borderId="38" xfId="0" applyFont="1" applyFill="1" applyBorder="1"/>
    <xf numFmtId="0" fontId="0" fillId="0" borderId="0" xfId="0" applyFont="1" applyAlignment="1">
      <alignment horizontal="left"/>
    </xf>
    <xf numFmtId="17" fontId="0" fillId="0" borderId="0" xfId="0" applyNumberFormat="1" applyFont="1" applyAlignment="1">
      <alignment horizontal="left"/>
    </xf>
    <xf numFmtId="0" fontId="42" fillId="0" borderId="0" xfId="0" applyFont="1" applyFill="1" applyAlignment="1">
      <alignment horizontal="left"/>
    </xf>
    <xf numFmtId="0" fontId="3" fillId="0" borderId="0" xfId="0" applyFont="1" applyFill="1" applyAlignment="1">
      <alignment horizontal="left"/>
    </xf>
    <xf numFmtId="2" fontId="0" fillId="3" borderId="0" xfId="0" applyNumberFormat="1" applyFill="1" applyAlignment="1">
      <alignment horizontal="left"/>
    </xf>
    <xf numFmtId="0" fontId="0" fillId="20" borderId="8" xfId="0" applyFill="1" applyBorder="1" applyAlignment="1">
      <alignment vertical="top"/>
    </xf>
    <xf numFmtId="0" fontId="0" fillId="0" borderId="0" xfId="0" applyNumberFormat="1" applyAlignment="1">
      <alignment horizontal="left"/>
    </xf>
    <xf numFmtId="0" fontId="24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16" borderId="0" xfId="0" applyFont="1" applyFill="1" applyAlignment="1">
      <alignment horizontal="left"/>
    </xf>
    <xf numFmtId="2" fontId="0" fillId="16" borderId="0" xfId="0" applyNumberFormat="1" applyFont="1" applyFill="1" applyAlignment="1">
      <alignment horizontal="left"/>
    </xf>
    <xf numFmtId="0" fontId="3" fillId="21" borderId="0" xfId="0" applyFont="1" applyFill="1" applyAlignment="1">
      <alignment horizontal="left"/>
    </xf>
    <xf numFmtId="2" fontId="3" fillId="21" borderId="0" xfId="0" applyNumberFormat="1" applyFont="1" applyFill="1" applyAlignment="1">
      <alignment horizontal="left"/>
    </xf>
    <xf numFmtId="0" fontId="0" fillId="0" borderId="0" xfId="0" applyNumberFormat="1" applyAlignment="1">
      <alignment vertical="top"/>
    </xf>
    <xf numFmtId="0" fontId="0" fillId="0" borderId="0" xfId="0" applyFont="1" applyFill="1" applyBorder="1"/>
    <xf numFmtId="2" fontId="0" fillId="0" borderId="0" xfId="0" applyNumberFormat="1" applyFill="1"/>
    <xf numFmtId="2" fontId="0" fillId="0" borderId="0" xfId="0" applyNumberFormat="1" applyFont="1" applyFill="1" applyAlignment="1">
      <alignment horizontal="left"/>
    </xf>
    <xf numFmtId="17" fontId="0" fillId="0" borderId="0" xfId="0" applyNumberFormat="1" applyFont="1" applyFill="1" applyAlignment="1">
      <alignment horizontal="left"/>
    </xf>
    <xf numFmtId="3" fontId="0" fillId="6" borderId="2" xfId="0" applyNumberFormat="1" applyFont="1" applyFill="1" applyBorder="1" applyAlignment="1" applyProtection="1">
      <alignment horizontal="center"/>
      <protection hidden="1"/>
    </xf>
    <xf numFmtId="0" fontId="3" fillId="0" borderId="0" xfId="0" applyFont="1" applyFill="1"/>
    <xf numFmtId="17" fontId="0" fillId="0" borderId="0" xfId="0" applyNumberFormat="1" applyFill="1"/>
    <xf numFmtId="0" fontId="0" fillId="0" borderId="0" xfId="0" applyFill="1" applyAlignment="1">
      <alignment horizontal="center" textRotation="90"/>
    </xf>
    <xf numFmtId="0" fontId="0" fillId="0" borderId="6" xfId="0" applyFill="1" applyBorder="1" applyAlignment="1">
      <alignment horizontal="center" vertical="center"/>
    </xf>
    <xf numFmtId="0" fontId="17" fillId="0" borderId="0" xfId="0" applyFont="1" applyBorder="1"/>
    <xf numFmtId="0" fontId="0" fillId="0" borderId="0" xfId="0" applyFill="1" applyAlignment="1">
      <alignment wrapText="1"/>
    </xf>
    <xf numFmtId="0" fontId="14" fillId="0" borderId="0" xfId="0" applyFont="1" applyFill="1" applyAlignment="1">
      <alignment vertical="center"/>
    </xf>
    <xf numFmtId="0" fontId="0" fillId="0" borderId="0" xfId="0" applyFill="1" applyBorder="1"/>
    <xf numFmtId="0" fontId="0" fillId="0" borderId="6" xfId="0" applyFill="1" applyBorder="1"/>
    <xf numFmtId="0" fontId="10" fillId="0" borderId="0" xfId="0" applyFont="1" applyFill="1" applyAlignment="1">
      <alignment vertical="top" wrapText="1"/>
    </xf>
    <xf numFmtId="0" fontId="10" fillId="0" borderId="0" xfId="0" applyFont="1" applyFill="1" applyAlignment="1">
      <alignment horizontal="center" vertical="top" wrapText="1"/>
    </xf>
    <xf numFmtId="3" fontId="10" fillId="0" borderId="0" xfId="0" applyNumberFormat="1" applyFont="1" applyFill="1" applyAlignment="1">
      <alignment vertical="top" wrapText="1"/>
    </xf>
    <xf numFmtId="49" fontId="10" fillId="0" borderId="0" xfId="0" applyNumberFormat="1" applyFont="1" applyFill="1" applyAlignment="1">
      <alignment vertical="top" wrapText="1"/>
    </xf>
    <xf numFmtId="0" fontId="3" fillId="0" borderId="0" xfId="0" applyFont="1" applyFill="1" applyAlignment="1">
      <alignment horizontal="center"/>
    </xf>
    <xf numFmtId="0" fontId="0" fillId="0" borderId="0" xfId="0" applyFill="1" applyAlignment="1">
      <alignment vertical="top" wrapText="1"/>
    </xf>
    <xf numFmtId="0" fontId="0" fillId="22" borderId="0" xfId="0" applyFill="1"/>
    <xf numFmtId="0" fontId="3" fillId="22" borderId="0" xfId="0" applyFont="1" applyFill="1" applyAlignment="1">
      <alignment horizontal="center"/>
    </xf>
    <xf numFmtId="0" fontId="0" fillId="22" borderId="0" xfId="0" applyFill="1" applyAlignment="1">
      <alignment horizontal="center" textRotation="90"/>
    </xf>
    <xf numFmtId="0" fontId="0" fillId="22" borderId="0" xfId="0" applyFill="1" applyBorder="1" applyAlignment="1">
      <alignment horizontal="center" vertical="center"/>
    </xf>
    <xf numFmtId="0" fontId="14" fillId="22" borderId="0" xfId="0" applyFont="1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14" fillId="22" borderId="0" xfId="0" applyFont="1" applyFill="1" applyAlignment="1">
      <alignment horizontal="center" vertical="center"/>
    </xf>
    <xf numFmtId="0" fontId="44" fillId="0" borderId="0" xfId="0" applyFont="1" applyBorder="1" applyAlignment="1">
      <alignment horizontal="center" vertical="center"/>
    </xf>
    <xf numFmtId="0" fontId="0" fillId="0" borderId="0" xfId="0" applyFill="1" applyAlignment="1">
      <alignment horizontal="center" textRotation="90" wrapText="1"/>
    </xf>
    <xf numFmtId="0" fontId="44" fillId="0" borderId="6" xfId="0" applyFont="1" applyBorder="1" applyAlignment="1">
      <alignment horizontal="center" vertical="center"/>
    </xf>
    <xf numFmtId="0" fontId="0" fillId="0" borderId="0" xfId="0" applyFill="1" applyAlignment="1">
      <alignment vertical="top"/>
    </xf>
    <xf numFmtId="4" fontId="9" fillId="0" borderId="20" xfId="1" applyNumberFormat="1" applyFont="1" applyFill="1" applyBorder="1" applyAlignment="1" applyProtection="1">
      <alignment horizontal="left"/>
      <protection hidden="1"/>
    </xf>
    <xf numFmtId="0" fontId="0" fillId="3" borderId="0" xfId="0" applyFill="1" applyAlignment="1">
      <alignment vertical="top"/>
    </xf>
    <xf numFmtId="0" fontId="12" fillId="0" borderId="7" xfId="0" applyFont="1" applyBorder="1" applyAlignment="1">
      <alignment horizontal="center"/>
    </xf>
    <xf numFmtId="0" fontId="45" fillId="0" borderId="0" xfId="0" applyFont="1" applyFill="1" applyAlignment="1">
      <alignment horizontal="center" vertical="top" wrapText="1"/>
    </xf>
    <xf numFmtId="0" fontId="45" fillId="0" borderId="0" xfId="0" applyFont="1" applyFill="1" applyAlignment="1">
      <alignment vertical="top" wrapText="1"/>
    </xf>
    <xf numFmtId="0" fontId="9" fillId="0" borderId="0" xfId="0" applyFont="1" applyFill="1" applyAlignment="1">
      <alignment vertical="top" wrapText="1"/>
    </xf>
    <xf numFmtId="0" fontId="47" fillId="0" borderId="0" xfId="5" applyFont="1" applyAlignment="1">
      <alignment vertical="top" wrapText="1"/>
    </xf>
    <xf numFmtId="0" fontId="14" fillId="0" borderId="42" xfId="0" applyFont="1" applyBorder="1" applyAlignment="1">
      <alignment horizontal="center" vertical="top" wrapText="1"/>
    </xf>
    <xf numFmtId="0" fontId="14" fillId="0" borderId="42" xfId="0" applyFont="1" applyFill="1" applyBorder="1" applyAlignment="1">
      <alignment horizontal="center" vertical="top" wrapText="1"/>
    </xf>
    <xf numFmtId="0" fontId="16" fillId="0" borderId="10" xfId="0" applyFont="1" applyBorder="1" applyAlignment="1">
      <alignment vertical="top" wrapText="1"/>
    </xf>
    <xf numFmtId="0" fontId="43" fillId="0" borderId="0" xfId="0" applyFont="1" applyFill="1" applyBorder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44" fillId="11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44" fillId="0" borderId="6" xfId="0" applyFont="1" applyFill="1" applyBorder="1" applyAlignment="1">
      <alignment horizontal="center" vertical="center"/>
    </xf>
    <xf numFmtId="0" fontId="14" fillId="0" borderId="43" xfId="0" applyFont="1" applyFill="1" applyBorder="1" applyAlignment="1">
      <alignment vertical="top" wrapText="1"/>
    </xf>
    <xf numFmtId="0" fontId="14" fillId="0" borderId="43" xfId="0" applyFont="1" applyBorder="1" applyAlignment="1">
      <alignment vertical="top" wrapText="1"/>
    </xf>
    <xf numFmtId="0" fontId="3" fillId="0" borderId="8" xfId="0" applyFont="1" applyBorder="1" applyAlignment="1">
      <alignment horizontal="center" vertical="top"/>
    </xf>
    <xf numFmtId="0" fontId="3" fillId="0" borderId="8" xfId="0" applyFont="1" applyBorder="1" applyAlignment="1">
      <alignment vertical="top" wrapText="1"/>
    </xf>
    <xf numFmtId="0" fontId="14" fillId="0" borderId="46" xfId="0" applyFont="1" applyFill="1" applyBorder="1" applyAlignment="1">
      <alignment horizontal="center" vertical="top" wrapText="1"/>
    </xf>
    <xf numFmtId="0" fontId="14" fillId="0" borderId="46" xfId="0" applyFont="1" applyBorder="1" applyAlignment="1">
      <alignment horizontal="center" vertical="top" wrapText="1"/>
    </xf>
    <xf numFmtId="0" fontId="14" fillId="0" borderId="45" xfId="0" applyFont="1" applyFill="1" applyBorder="1" applyAlignment="1">
      <alignment horizontal="center" vertical="top" wrapText="1"/>
    </xf>
    <xf numFmtId="0" fontId="14" fillId="0" borderId="45" xfId="0" applyFont="1" applyBorder="1" applyAlignment="1">
      <alignment horizontal="center" vertical="top" wrapText="1"/>
    </xf>
    <xf numFmtId="0" fontId="14" fillId="0" borderId="47" xfId="0" applyFont="1" applyFill="1" applyBorder="1" applyAlignment="1">
      <alignment horizontal="center" vertical="top" wrapText="1"/>
    </xf>
    <xf numFmtId="0" fontId="14" fillId="0" borderId="47" xfId="0" applyFont="1" applyBorder="1" applyAlignment="1">
      <alignment horizontal="center" vertical="top" wrapText="1"/>
    </xf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21" xfId="0" applyFont="1" applyFill="1" applyBorder="1"/>
    <xf numFmtId="0" fontId="6" fillId="0" borderId="17" xfId="0" applyFont="1" applyFill="1" applyBorder="1"/>
    <xf numFmtId="4" fontId="10" fillId="7" borderId="30" xfId="0" applyNumberFormat="1" applyFont="1" applyFill="1" applyBorder="1" applyAlignment="1" applyProtection="1">
      <alignment horizontal="right" wrapText="1"/>
      <protection hidden="1"/>
    </xf>
    <xf numFmtId="0" fontId="0" fillId="0" borderId="48" xfId="0" applyFont="1" applyFill="1" applyBorder="1"/>
    <xf numFmtId="2" fontId="0" fillId="0" borderId="0" xfId="0" applyNumberFormat="1" applyFont="1" applyFill="1" applyBorder="1"/>
    <xf numFmtId="0" fontId="0" fillId="19" borderId="0" xfId="0" applyFont="1" applyFill="1" applyBorder="1"/>
    <xf numFmtId="0" fontId="6" fillId="6" borderId="8" xfId="0" applyFont="1" applyFill="1" applyBorder="1"/>
    <xf numFmtId="9" fontId="3" fillId="0" borderId="1" xfId="0" applyNumberFormat="1" applyFont="1" applyFill="1" applyBorder="1" applyAlignment="1">
      <alignment horizontal="center" wrapText="1"/>
    </xf>
    <xf numFmtId="0" fontId="6" fillId="6" borderId="0" xfId="0" applyFont="1" applyFill="1"/>
    <xf numFmtId="17" fontId="10" fillId="0" borderId="0" xfId="0" applyNumberFormat="1" applyFont="1"/>
    <xf numFmtId="4" fontId="10" fillId="7" borderId="26" xfId="0" applyNumberFormat="1" applyFont="1" applyFill="1" applyBorder="1" applyAlignment="1" applyProtection="1">
      <alignment horizontal="right"/>
      <protection hidden="1"/>
    </xf>
    <xf numFmtId="0" fontId="11" fillId="0" borderId="0" xfId="0" applyFont="1" applyFill="1"/>
    <xf numFmtId="17" fontId="0" fillId="0" borderId="0" xfId="0" applyNumberFormat="1" applyAlignment="1">
      <alignment wrapText="1"/>
    </xf>
    <xf numFmtId="0" fontId="0" fillId="0" borderId="0" xfId="0" applyNumberFormat="1" applyFill="1" applyAlignment="1">
      <alignment vertical="top"/>
    </xf>
    <xf numFmtId="0" fontId="0" fillId="0" borderId="0" xfId="0" applyNumberFormat="1" applyFill="1" applyAlignment="1">
      <alignment vertical="top" wrapText="1"/>
    </xf>
    <xf numFmtId="0" fontId="43" fillId="3" borderId="0" xfId="0" applyFont="1" applyFill="1" applyBorder="1" applyAlignment="1">
      <alignment horizontal="center" vertical="center"/>
    </xf>
    <xf numFmtId="0" fontId="0" fillId="22" borderId="0" xfId="0" applyFont="1" applyFill="1" applyBorder="1" applyAlignment="1">
      <alignment horizontal="center" vertical="center"/>
    </xf>
    <xf numFmtId="0" fontId="0" fillId="22" borderId="6" xfId="0" applyFont="1" applyFill="1" applyBorder="1" applyAlignment="1">
      <alignment horizontal="center" vertical="center"/>
    </xf>
    <xf numFmtId="0" fontId="0" fillId="22" borderId="0" xfId="0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0" fillId="0" borderId="49" xfId="0" applyFont="1" applyFill="1" applyBorder="1"/>
    <xf numFmtId="0" fontId="0" fillId="0" borderId="50" xfId="0" applyFont="1" applyFill="1" applyBorder="1"/>
    <xf numFmtId="2" fontId="0" fillId="3" borderId="50" xfId="0" applyNumberFormat="1" applyFont="1" applyFill="1" applyBorder="1"/>
    <xf numFmtId="0" fontId="0" fillId="3" borderId="50" xfId="0" applyFont="1" applyFill="1" applyBorder="1"/>
    <xf numFmtId="0" fontId="6" fillId="6" borderId="51" xfId="0" applyFont="1" applyFill="1" applyBorder="1"/>
    <xf numFmtId="0" fontId="6" fillId="23" borderId="0" xfId="0" applyFont="1" applyFill="1"/>
    <xf numFmtId="0" fontId="6" fillId="23" borderId="8" xfId="0" applyFont="1" applyFill="1" applyBorder="1"/>
    <xf numFmtId="164" fontId="19" fillId="0" borderId="20" xfId="0" applyNumberFormat="1" applyFont="1" applyFill="1" applyBorder="1" applyAlignment="1">
      <alignment horizontal="center"/>
    </xf>
    <xf numFmtId="49" fontId="20" fillId="0" borderId="0" xfId="5" applyNumberFormat="1"/>
    <xf numFmtId="0" fontId="0" fillId="0" borderId="0" xfId="0" applyFill="1" applyBorder="1" applyAlignment="1">
      <alignment wrapText="1"/>
    </xf>
    <xf numFmtId="0" fontId="14" fillId="0" borderId="0" xfId="0" applyFont="1" applyFill="1" applyAlignment="1">
      <alignment horizontal="left"/>
    </xf>
    <xf numFmtId="0" fontId="43" fillId="0" borderId="0" xfId="0" applyFont="1" applyFill="1" applyAlignment="1">
      <alignment horizontal="left"/>
    </xf>
    <xf numFmtId="0" fontId="3" fillId="0" borderId="6" xfId="0" applyFont="1" applyFill="1" applyBorder="1" applyAlignment="1">
      <alignment horizontal="left"/>
    </xf>
    <xf numFmtId="0" fontId="3" fillId="21" borderId="6" xfId="0" applyFont="1" applyFill="1" applyBorder="1" applyAlignment="1">
      <alignment horizontal="left"/>
    </xf>
    <xf numFmtId="2" fontId="3" fillId="21" borderId="6" xfId="0" applyNumberFormat="1" applyFont="1" applyFill="1" applyBorder="1" applyAlignment="1">
      <alignment horizontal="left"/>
    </xf>
    <xf numFmtId="0" fontId="0" fillId="0" borderId="6" xfId="0" applyFont="1" applyBorder="1" applyAlignment="1">
      <alignment horizontal="left"/>
    </xf>
    <xf numFmtId="17" fontId="0" fillId="0" borderId="6" xfId="0" applyNumberFormat="1" applyBorder="1" applyAlignment="1">
      <alignment horizontal="left"/>
    </xf>
    <xf numFmtId="17" fontId="0" fillId="0" borderId="6" xfId="0" applyNumberFormat="1" applyFont="1" applyBorder="1" applyAlignment="1">
      <alignment horizontal="left"/>
    </xf>
    <xf numFmtId="2" fontId="0" fillId="0" borderId="6" xfId="0" applyNumberFormat="1" applyBorder="1"/>
    <xf numFmtId="0" fontId="14" fillId="0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ont="1" applyBorder="1" applyAlignment="1">
      <alignment horizontal="left"/>
    </xf>
    <xf numFmtId="17" fontId="0" fillId="0" borderId="0" xfId="0" applyNumberFormat="1" applyFont="1" applyBorder="1" applyAlignment="1">
      <alignment horizontal="left"/>
    </xf>
    <xf numFmtId="2" fontId="0" fillId="0" borderId="0" xfId="0" applyNumberFormat="1" applyBorder="1"/>
    <xf numFmtId="0" fontId="43" fillId="0" borderId="6" xfId="0" applyFont="1" applyFill="1" applyBorder="1" applyAlignment="1">
      <alignment horizontal="left"/>
    </xf>
    <xf numFmtId="0" fontId="0" fillId="3" borderId="0" xfId="0" applyFont="1" applyFill="1" applyAlignment="1">
      <alignment horizontal="left"/>
    </xf>
    <xf numFmtId="2" fontId="0" fillId="3" borderId="0" xfId="0" applyNumberFormat="1" applyFont="1" applyFill="1" applyAlignment="1">
      <alignment horizontal="left"/>
    </xf>
    <xf numFmtId="0" fontId="0" fillId="3" borderId="0" xfId="0" applyFont="1" applyFill="1" applyBorder="1" applyAlignment="1">
      <alignment horizontal="left"/>
    </xf>
    <xf numFmtId="2" fontId="0" fillId="3" borderId="0" xfId="0" applyNumberFormat="1" applyFont="1" applyFill="1" applyBorder="1" applyAlignment="1">
      <alignment horizontal="left"/>
    </xf>
    <xf numFmtId="0" fontId="49" fillId="11" borderId="0" xfId="0" applyFont="1" applyFill="1"/>
    <xf numFmtId="0" fontId="6" fillId="11" borderId="0" xfId="0" applyFont="1" applyFill="1"/>
    <xf numFmtId="165" fontId="6" fillId="0" borderId="16" xfId="0" applyNumberFormat="1" applyFont="1" applyFill="1" applyBorder="1"/>
    <xf numFmtId="0" fontId="6" fillId="0" borderId="16" xfId="0" applyFont="1" applyFill="1" applyBorder="1"/>
    <xf numFmtId="0" fontId="11" fillId="11" borderId="31" xfId="0" applyFont="1" applyFill="1" applyBorder="1"/>
    <xf numFmtId="0" fontId="11" fillId="11" borderId="36" xfId="0" applyFont="1" applyFill="1" applyBorder="1"/>
    <xf numFmtId="165" fontId="6" fillId="0" borderId="17" xfId="0" applyNumberFormat="1" applyFont="1" applyFill="1" applyBorder="1"/>
    <xf numFmtId="0" fontId="10" fillId="11" borderId="0" xfId="0" applyFont="1" applyFill="1"/>
    <xf numFmtId="0" fontId="11" fillId="11" borderId="17" xfId="0" applyFont="1" applyFill="1" applyBorder="1"/>
    <xf numFmtId="0" fontId="11" fillId="11" borderId="16" xfId="0" applyFont="1" applyFill="1" applyBorder="1"/>
    <xf numFmtId="0" fontId="0" fillId="0" borderId="0" xfId="0" applyFont="1" applyFill="1" applyBorder="1" applyAlignment="1">
      <alignment horizontal="left"/>
    </xf>
    <xf numFmtId="2" fontId="0" fillId="0" borderId="0" xfId="0" applyNumberFormat="1" applyFont="1" applyFill="1" applyBorder="1" applyAlignment="1">
      <alignment horizontal="left"/>
    </xf>
    <xf numFmtId="17" fontId="0" fillId="0" borderId="6" xfId="0" applyNumberFormat="1" applyFill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0" fillId="24" borderId="0" xfId="0" applyFill="1" applyAlignment="1">
      <alignment horizontal="left"/>
    </xf>
    <xf numFmtId="2" fontId="0" fillId="24" borderId="0" xfId="0" applyNumberFormat="1" applyFill="1" applyAlignment="1">
      <alignment horizontal="left"/>
    </xf>
    <xf numFmtId="0" fontId="0" fillId="24" borderId="0" xfId="0" applyFont="1" applyFill="1" applyAlignment="1">
      <alignment horizontal="left"/>
    </xf>
    <xf numFmtId="2" fontId="0" fillId="24" borderId="0" xfId="0" applyNumberFormat="1" applyFont="1" applyFill="1" applyAlignment="1">
      <alignment horizontal="left"/>
    </xf>
    <xf numFmtId="0" fontId="0" fillId="24" borderId="0" xfId="0" applyFont="1" applyFill="1" applyBorder="1" applyAlignment="1">
      <alignment horizontal="left"/>
    </xf>
    <xf numFmtId="2" fontId="0" fillId="24" borderId="0" xfId="0" applyNumberFormat="1" applyFont="1" applyFill="1" applyBorder="1" applyAlignment="1">
      <alignment horizontal="left"/>
    </xf>
    <xf numFmtId="0" fontId="43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3" fillId="21" borderId="0" xfId="0" applyFont="1" applyFill="1" applyBorder="1" applyAlignment="1">
      <alignment horizontal="left"/>
    </xf>
    <xf numFmtId="2" fontId="3" fillId="21" borderId="0" xfId="0" applyNumberFormat="1" applyFont="1" applyFill="1" applyBorder="1" applyAlignment="1">
      <alignment horizontal="left"/>
    </xf>
    <xf numFmtId="0" fontId="12" fillId="0" borderId="7" xfId="0" applyFont="1" applyBorder="1" applyAlignment="1">
      <alignment horizontal="center"/>
    </xf>
    <xf numFmtId="17" fontId="6" fillId="0" borderId="0" xfId="0" applyNumberFormat="1" applyFont="1"/>
    <xf numFmtId="0" fontId="52" fillId="0" borderId="0" xfId="0" applyFont="1"/>
    <xf numFmtId="166" fontId="53" fillId="0" borderId="0" xfId="0" applyNumberFormat="1" applyFont="1"/>
    <xf numFmtId="0" fontId="6" fillId="0" borderId="0" xfId="0" applyFont="1" applyAlignment="1">
      <alignment wrapText="1"/>
    </xf>
    <xf numFmtId="2" fontId="11" fillId="11" borderId="35" xfId="0" applyNumberFormat="1" applyFont="1" applyFill="1" applyBorder="1"/>
    <xf numFmtId="0" fontId="55" fillId="0" borderId="0" xfId="0" applyFont="1"/>
    <xf numFmtId="0" fontId="58" fillId="0" borderId="0" xfId="0" applyFont="1"/>
    <xf numFmtId="0" fontId="59" fillId="0" borderId="0" xfId="0" applyFont="1"/>
    <xf numFmtId="0" fontId="20" fillId="0" borderId="0" xfId="5" quotePrefix="1"/>
    <xf numFmtId="0" fontId="15" fillId="0" borderId="0" xfId="0" applyFont="1"/>
    <xf numFmtId="0" fontId="9" fillId="0" borderId="0" xfId="0" applyFont="1" applyAlignment="1">
      <alignment wrapText="1"/>
    </xf>
    <xf numFmtId="0" fontId="50" fillId="0" borderId="33" xfId="0" applyFont="1" applyFill="1" applyBorder="1" applyAlignment="1">
      <alignment horizontal="center" vertical="top" wrapText="1"/>
    </xf>
    <xf numFmtId="0" fontId="32" fillId="0" borderId="34" xfId="0" applyFont="1" applyFill="1" applyBorder="1" applyAlignment="1">
      <alignment horizontal="center" vertical="top" wrapText="1"/>
    </xf>
    <xf numFmtId="0" fontId="32" fillId="11" borderId="35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 wrapText="1"/>
    </xf>
    <xf numFmtId="0" fontId="60" fillId="0" borderId="0" xfId="0" applyFont="1"/>
    <xf numFmtId="0" fontId="11" fillId="0" borderId="0" xfId="0" applyFont="1" applyAlignment="1">
      <alignment wrapText="1"/>
    </xf>
    <xf numFmtId="0" fontId="31" fillId="0" borderId="0" xfId="0" applyFont="1" applyFill="1" applyAlignment="1">
      <alignment horizontal="left" indent="1"/>
    </xf>
    <xf numFmtId="0" fontId="0" fillId="25" borderId="0" xfId="0" applyFill="1" applyAlignment="1">
      <alignment vertical="top"/>
    </xf>
    <xf numFmtId="2" fontId="0" fillId="19" borderId="0" xfId="0" applyNumberFormat="1" applyFont="1" applyFill="1" applyBorder="1"/>
    <xf numFmtId="164" fontId="19" fillId="0" borderId="1" xfId="0" applyNumberFormat="1" applyFont="1" applyBorder="1" applyAlignment="1">
      <alignment horizontal="center"/>
    </xf>
    <xf numFmtId="2" fontId="4" fillId="4" borderId="3" xfId="0" applyNumberFormat="1" applyFont="1" applyFill="1" applyBorder="1" applyAlignment="1" applyProtection="1">
      <alignment horizontal="center" wrapText="1"/>
      <protection hidden="1"/>
    </xf>
    <xf numFmtId="2" fontId="4" fillId="4" borderId="5" xfId="0" applyNumberFormat="1" applyFont="1" applyFill="1" applyBorder="1" applyAlignment="1" applyProtection="1">
      <alignment horizontal="center"/>
      <protection hidden="1"/>
    </xf>
    <xf numFmtId="2" fontId="4" fillId="4" borderId="4" xfId="0" applyNumberFormat="1" applyFont="1" applyFill="1" applyBorder="1" applyAlignment="1" applyProtection="1">
      <alignment horizontal="center"/>
      <protection hidden="1"/>
    </xf>
    <xf numFmtId="1" fontId="4" fillId="0" borderId="3" xfId="1" applyNumberFormat="1" applyFont="1" applyFill="1" applyBorder="1" applyAlignment="1" applyProtection="1">
      <alignment horizontal="center"/>
      <protection locked="0"/>
    </xf>
    <xf numFmtId="1" fontId="4" fillId="0" borderId="5" xfId="1" applyNumberFormat="1" applyFont="1" applyFill="1" applyBorder="1" applyAlignment="1" applyProtection="1">
      <alignment horizontal="center"/>
      <protection locked="0"/>
    </xf>
    <xf numFmtId="1" fontId="4" fillId="0" borderId="4" xfId="1" applyNumberFormat="1" applyFont="1" applyFill="1" applyBorder="1" applyAlignment="1" applyProtection="1">
      <alignment horizontal="center"/>
      <protection locked="0"/>
    </xf>
    <xf numFmtId="4" fontId="4" fillId="4" borderId="25" xfId="1" applyNumberFormat="1" applyFont="1" applyFill="1" applyBorder="1" applyAlignment="1" applyProtection="1">
      <alignment horizontal="center" vertical="top" wrapText="1"/>
      <protection hidden="1"/>
    </xf>
    <xf numFmtId="4" fontId="4" fillId="4" borderId="5" xfId="1" applyNumberFormat="1" applyFont="1" applyFill="1" applyBorder="1" applyAlignment="1" applyProtection="1">
      <alignment horizontal="center" wrapText="1"/>
      <protection hidden="1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4" fillId="0" borderId="5" xfId="0" applyNumberFormat="1" applyFont="1" applyBorder="1" applyAlignment="1" applyProtection="1">
      <alignment horizontal="center"/>
      <protection locked="0"/>
    </xf>
    <xf numFmtId="1" fontId="4" fillId="0" borderId="4" xfId="0" applyNumberFormat="1" applyFont="1" applyBorder="1" applyAlignment="1" applyProtection="1">
      <alignment horizontal="center"/>
      <protection locked="0"/>
    </xf>
    <xf numFmtId="10" fontId="4" fillId="0" borderId="3" xfId="0" applyNumberFormat="1" applyFont="1" applyBorder="1" applyAlignment="1" applyProtection="1">
      <alignment horizontal="center"/>
      <protection locked="0"/>
    </xf>
    <xf numFmtId="10" fontId="4" fillId="0" borderId="5" xfId="0" applyNumberFormat="1" applyFont="1" applyBorder="1" applyAlignment="1" applyProtection="1">
      <alignment horizontal="center"/>
      <protection locked="0"/>
    </xf>
    <xf numFmtId="10" fontId="4" fillId="0" borderId="4" xfId="0" applyNumberFormat="1" applyFont="1" applyBorder="1" applyAlignment="1" applyProtection="1">
      <alignment horizontal="center"/>
      <protection locked="0"/>
    </xf>
    <xf numFmtId="4" fontId="10" fillId="7" borderId="30" xfId="0" applyNumberFormat="1" applyFont="1" applyFill="1" applyBorder="1" applyAlignment="1" applyProtection="1">
      <alignment horizontal="center"/>
      <protection hidden="1"/>
    </xf>
    <xf numFmtId="4" fontId="10" fillId="7" borderId="14" xfId="0" applyNumberFormat="1" applyFont="1" applyFill="1" applyBorder="1" applyAlignment="1" applyProtection="1">
      <alignment horizontal="center"/>
      <protection hidden="1"/>
    </xf>
    <xf numFmtId="4" fontId="10" fillId="7" borderId="28" xfId="0" applyNumberFormat="1" applyFont="1" applyFill="1" applyBorder="1" applyAlignment="1" applyProtection="1">
      <alignment horizontal="center"/>
      <protection hidden="1"/>
    </xf>
    <xf numFmtId="4" fontId="10" fillId="7" borderId="29" xfId="0" applyNumberFormat="1" applyFont="1" applyFill="1" applyBorder="1" applyAlignment="1" applyProtection="1">
      <alignment horizontal="center"/>
      <protection hidden="1"/>
    </xf>
    <xf numFmtId="0" fontId="18" fillId="6" borderId="11" xfId="0" applyFont="1" applyFill="1" applyBorder="1" applyAlignment="1">
      <alignment horizontal="left"/>
    </xf>
    <xf numFmtId="17" fontId="4" fillId="0" borderId="3" xfId="0" applyNumberFormat="1" applyFont="1" applyBorder="1" applyAlignment="1" applyProtection="1">
      <alignment horizontal="left" vertical="top" wrapText="1" indent="1"/>
      <protection locked="0"/>
    </xf>
    <xf numFmtId="17" fontId="4" fillId="0" borderId="5" xfId="0" applyNumberFormat="1" applyFont="1" applyBorder="1" applyAlignment="1" applyProtection="1">
      <alignment horizontal="left" vertical="top" wrapText="1" indent="1"/>
      <protection locked="0"/>
    </xf>
    <xf numFmtId="17" fontId="4" fillId="0" borderId="4" xfId="0" applyNumberFormat="1" applyFont="1" applyBorder="1" applyAlignment="1" applyProtection="1">
      <alignment horizontal="left" vertical="top" wrapText="1" indent="1"/>
      <protection locked="0"/>
    </xf>
    <xf numFmtId="17" fontId="13" fillId="0" borderId="3" xfId="0" applyNumberFormat="1" applyFont="1" applyBorder="1" applyAlignment="1" applyProtection="1">
      <alignment horizontal="left" vertical="top" wrapText="1" indent="1"/>
      <protection locked="0"/>
    </xf>
    <xf numFmtId="17" fontId="13" fillId="0" borderId="5" xfId="0" applyNumberFormat="1" applyFont="1" applyBorder="1" applyAlignment="1" applyProtection="1">
      <alignment horizontal="left" vertical="top" wrapText="1" indent="1"/>
      <protection locked="0"/>
    </xf>
    <xf numFmtId="17" fontId="13" fillId="0" borderId="4" xfId="0" applyNumberFormat="1" applyFont="1" applyBorder="1" applyAlignment="1" applyProtection="1">
      <alignment horizontal="left" vertical="top" wrapText="1" indent="1"/>
      <protection locked="0"/>
    </xf>
    <xf numFmtId="1" fontId="4" fillId="2" borderId="3" xfId="0" applyNumberFormat="1" applyFont="1" applyFill="1" applyBorder="1" applyAlignment="1" applyProtection="1">
      <alignment horizontal="center"/>
      <protection locked="0"/>
    </xf>
    <xf numFmtId="1" fontId="4" fillId="2" borderId="4" xfId="0" applyNumberFormat="1" applyFont="1" applyFill="1" applyBorder="1" applyAlignment="1" applyProtection="1">
      <alignment horizontal="center"/>
      <protection locked="0"/>
    </xf>
    <xf numFmtId="0" fontId="12" fillId="0" borderId="7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1" fillId="6" borderId="22" xfId="0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Alignment="1">
      <alignment horizontal="center" vertical="center"/>
    </xf>
    <xf numFmtId="4" fontId="37" fillId="4" borderId="37" xfId="0" applyNumberFormat="1" applyFont="1" applyFill="1" applyBorder="1" applyAlignment="1" applyProtection="1">
      <alignment horizontal="center"/>
      <protection hidden="1"/>
    </xf>
    <xf numFmtId="0" fontId="28" fillId="6" borderId="11" xfId="0" applyFont="1" applyFill="1" applyBorder="1" applyAlignment="1">
      <alignment horizontal="left"/>
    </xf>
    <xf numFmtId="1" fontId="11" fillId="6" borderId="22" xfId="0" applyNumberFormat="1" applyFont="1" applyFill="1" applyBorder="1" applyAlignment="1" applyProtection="1">
      <alignment horizontal="center" vertical="center" wrapText="1"/>
      <protection hidden="1"/>
    </xf>
    <xf numFmtId="0" fontId="30" fillId="8" borderId="42" xfId="0" applyFont="1" applyFill="1" applyBorder="1" applyAlignment="1">
      <alignment horizontal="center" vertical="top"/>
    </xf>
    <xf numFmtId="0" fontId="15" fillId="5" borderId="8" xfId="0" applyFont="1" applyFill="1" applyBorder="1" applyAlignment="1">
      <alignment horizontal="center" vertical="top" wrapText="1"/>
    </xf>
    <xf numFmtId="0" fontId="30" fillId="8" borderId="44" xfId="0" applyFont="1" applyFill="1" applyBorder="1" applyAlignment="1">
      <alignment horizontal="center" vertical="top"/>
    </xf>
    <xf numFmtId="0" fontId="3" fillId="0" borderId="0" xfId="0" applyFont="1" applyAlignment="1">
      <alignment horizontal="center" vertical="center" textRotation="255"/>
    </xf>
    <xf numFmtId="0" fontId="3" fillId="0" borderId="0" xfId="0" applyFont="1" applyFill="1" applyAlignment="1">
      <alignment horizontal="center"/>
    </xf>
    <xf numFmtId="0" fontId="3" fillId="0" borderId="0" xfId="0" applyFont="1" applyBorder="1" applyAlignment="1">
      <alignment horizontal="center" vertical="center" textRotation="255"/>
    </xf>
    <xf numFmtId="0" fontId="3" fillId="0" borderId="6" xfId="0" applyFont="1" applyBorder="1" applyAlignment="1">
      <alignment horizontal="center" vertical="center" textRotation="255"/>
    </xf>
    <xf numFmtId="0" fontId="3" fillId="0" borderId="0" xfId="0" applyFont="1" applyAlignment="1">
      <alignment horizontal="center"/>
    </xf>
  </cellXfs>
  <cellStyles count="9">
    <cellStyle name="Гиперссылка" xfId="5" builtinId="8"/>
    <cellStyle name="Гиперссылка 2" xfId="8" xr:uid="{20C72E70-4EF8-4604-B0E7-CFBDE074A361}"/>
    <cellStyle name="Обычный" xfId="0" builtinId="0"/>
    <cellStyle name="Обычный 2" xfId="7" xr:uid="{6F0FAC3C-7DF6-4983-8E95-92D0B7DE71E8}"/>
    <cellStyle name="Обычный 2 3" xfId="2" xr:uid="{9145F306-B839-423A-B5A4-F9F6F07ED910}"/>
    <cellStyle name="Обычный 2 3 2 2" xfId="4" xr:uid="{22F7203F-AEB4-42BA-916C-F12B50C11EBB}"/>
    <cellStyle name="Обычный 2 3_23.1" xfId="6" xr:uid="{23F19A7B-D395-4DD4-8BEE-E4A9B13D1426}"/>
    <cellStyle name="Обычный 3" xfId="3" xr:uid="{9DB65BC5-E1BB-492D-AC6D-A3586D1948CE}"/>
    <cellStyle name="Процентный" xfId="1" builtinId="5"/>
  </cellStyles>
  <dxfs count="228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family val="2"/>
        <charset val="204"/>
        <scheme val="minor"/>
      </font>
      <numFmt numFmtId="22" formatCode="mmm/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charset val="204"/>
        <scheme val="minor"/>
      </font>
      <numFmt numFmtId="22" formatCode="mmm/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charset val="204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theme="9"/>
        </left>
        <right style="thin">
          <color rgb="FF000000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charset val="204"/>
        <scheme val="none"/>
      </font>
      <fill>
        <patternFill patternType="solid">
          <fgColor theme="9"/>
          <bgColor theme="9"/>
        </patternFill>
      </fill>
      <alignment horizontal="center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</dxfs>
  <tableStyles count="2" defaultTableStyle="TableStyleMedium2" defaultPivotStyle="PivotStyleLight16">
    <tableStyle name="Стиль таблицы 1" pivot="0" count="1" xr9:uid="{5C6D4137-A09A-4FE0-9420-BF5FEFC917E6}">
      <tableStyleElement type="firstColumnStripe" dxfId="227"/>
    </tableStyle>
    <tableStyle name="Стиль таблицы 2" pivot="0" count="1" xr9:uid="{09ADB99F-643D-4E79-868E-D739E2AC74EC}">
      <tableStyleElement type="firstRowStripe" dxfId="226"/>
    </tableStyle>
  </tableStyles>
  <colors>
    <mruColors>
      <color rgb="FFFFCCCC"/>
      <color rgb="FFFF9999"/>
      <color rgb="FFFF6600"/>
      <color rgb="FFCCFFFF"/>
      <color rgb="FF009EB5"/>
      <color rgb="FF5B9BD5"/>
      <color rgb="FFDEEAF6"/>
      <color rgb="FFF8FFE1"/>
      <color rgb="FF33CCCC"/>
      <color rgb="FF00BC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10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0</xdr:row>
          <xdr:rowOff>99060</xdr:rowOff>
        </xdr:from>
        <xdr:to>
          <xdr:col>0</xdr:col>
          <xdr:colOff>2468880</xdr:colOff>
          <xdr:row>1</xdr:row>
          <xdr:rowOff>251460</xdr:rowOff>
        </xdr:to>
        <xdr:sp macro="" textlink="">
          <xdr:nvSpPr>
            <xdr:cNvPr id="2244" name="CommandButton1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175260</xdr:colOff>
          <xdr:row>0</xdr:row>
          <xdr:rowOff>190500</xdr:rowOff>
        </xdr:from>
        <xdr:to>
          <xdr:col>0</xdr:col>
          <xdr:colOff>1973580</xdr:colOff>
          <xdr:row>2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34</xdr:row>
      <xdr:rowOff>0</xdr:rowOff>
    </xdr:from>
    <xdr:to>
      <xdr:col>18</xdr:col>
      <xdr:colOff>481732</xdr:colOff>
      <xdr:row>54</xdr:row>
      <xdr:rowOff>166800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99" t="33716" r="6231"/>
        <a:stretch/>
      </xdr:blipFill>
      <xdr:spPr>
        <a:xfrm>
          <a:off x="609600" y="6271260"/>
          <a:ext cx="10844932" cy="367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18</xdr:col>
      <xdr:colOff>17432</xdr:colOff>
      <xdr:row>30</xdr:row>
      <xdr:rowOff>168720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046" r="1336"/>
        <a:stretch/>
      </xdr:blipFill>
      <xdr:spPr>
        <a:xfrm>
          <a:off x="609600" y="464820"/>
          <a:ext cx="10380632" cy="50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14</xdr:col>
      <xdr:colOff>54108</xdr:colOff>
      <xdr:row>79</xdr:row>
      <xdr:rowOff>135540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" t="6017" r="4782" b="6364"/>
        <a:stretch/>
      </xdr:blipFill>
      <xdr:spPr>
        <a:xfrm>
          <a:off x="609600" y="10325100"/>
          <a:ext cx="7978908" cy="38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19</xdr:col>
      <xdr:colOff>522497</xdr:colOff>
      <xdr:row>114</xdr:row>
      <xdr:rowOff>2940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3380" b="2390"/>
        <a:stretch/>
      </xdr:blipFill>
      <xdr:spPr>
        <a:xfrm>
          <a:off x="609600" y="14729460"/>
          <a:ext cx="11495297" cy="54360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84.493496875002" createdVersion="6" refreshedVersion="6" minRefreshableVersion="3" recordCount="952" xr:uid="{A156C298-6A12-407D-8128-F5B2DF318403}">
  <cacheSource type="worksheet">
    <worksheetSource name="Таблица7"/>
  </cacheSource>
  <cacheFields count="9">
    <cacheField name="Сервис" numFmtId="0">
      <sharedItems containsBlank="1" count="61">
        <s v="Главный Бухгалтер ПРОФ"/>
        <s v="Предприятие"/>
        <s v="Предприятие ПРОФ"/>
        <s v="VIP Предприятие"/>
        <s v="Доппакет НМВ"/>
        <s v="Главный Бухгалтер ПРОФ (1 пользователь)"/>
        <s v="Предприятие (1 пользователь)"/>
        <s v="Предприятие ПРОФ (1 пользователь)"/>
        <s v="VIP Предприятие (1 пользователь)"/>
        <s v="Доппакет НОВ"/>
        <s v="Комплекс коммерческий Главный Бухгалтер ПРОФ"/>
        <s v="Комплекс коммерческий Предприятие"/>
        <s v="Комплекс коммерческий Предприятие ПРОФ"/>
        <s v="Комплекс коммерческий VIP Предприятие"/>
        <s v="Доппакет МВ Комплекс"/>
        <s v="Комплекс коммерческий Главный Бухгалтер ПРОФ (1 пользователь)"/>
        <s v="Комплекс коммерческий Предприятие (1 пользователь)"/>
        <s v="Комплекс коммерческий Предприятие ПРОФ (1 пользователь)"/>
        <s v="Комплекс коммерческий VIP Предприятие (1 пользователь)"/>
        <s v="Доппакет ОВ Комплекс"/>
        <s v="Пакет Программ Главный Бухгалтер, Podpis (1 пользователь, ЛД)"/>
        <s v="Пакет Программ Главный Бухгалтер ПРОФ, Podpis (1 пользователь, ЛД)"/>
        <s v="Доппакет ЛД Podpis"/>
        <s v="Пакет Программ Главный Бухгалтер, Podpis, ilex.Накладные (1 пользователь, ЛД)"/>
        <s v="Пакет Программ Главный Бухгалтер ПРОФ, Podpis, ilex.Накладные (1 пользователь, ЛД)"/>
        <s v="Доппакет ЛД Накладные"/>
        <m u="1"/>
        <s v="ilex.Комплекс коммерческий VIP Предприятие (1 пользователь)" u="1"/>
        <s v="Предприятие (1-пользовательская)" u="1"/>
        <s v="ilex.Комплекс коммерческий Главный Бухгалтер ПРОФ (1 пользователь)" u="1"/>
        <s v="Бюджетная организация Премиум (1-пользовательская)" u="1"/>
        <s v="Бюджетная организация Премиум (1 пользователь)" u="1"/>
        <s v="Бюджетная организация Проф (1 пользователь)" u="1"/>
        <s v="Бюджетная организация ПРОФ (1-пользовательская)" u="1"/>
        <s v="Главный бухгалтер ПРОФ (1 пользователь, ЛД)" u="1"/>
        <s v="Бюджетная организация Премиум Управление                             " u="1"/>
        <s v="ilex.Комплекс коммерческий Предприятие ПРОФ (1 пользователь)" u="1"/>
        <s v="Бюджетная организация Стандарт" u="1"/>
        <s v="ilex.Комплекс коммерческий Предприятие (1 пользователь)" u="1"/>
        <s v="Главный Бухгалтер (1 пользователь)" u="1"/>
        <s v="ilex.Комплекс коммерческий VIP Предприятие" u="1"/>
        <s v="Бюджетная организация Премиум" u="1"/>
        <s v="Бюджетная организация Стандарт Управление (1 пользователь)" u="1"/>
        <s v="Доппакет ЛД" u="1"/>
        <s v="Бюджетная организация Стандарт Управление" u="1"/>
        <s v="Бюджетная организация Проф                             " u="1"/>
        <s v="Бюджетная организация Управление (1 пользователь)" u="1"/>
        <s v="Доппакет ЛД ilex.Накладные" u="1"/>
        <s v="Доппакет БО" u="1"/>
        <s v="Предприятие ПРОФ (1-пользовательская)" u="1"/>
        <s v="ilex.Комплекс коммерческий Предприятие" u="1"/>
        <s v="Главный Бухгалтер (1-пользовательская)" u="1"/>
        <s v="ilex.Комплекс коммерческий Главный Бухгалтер ПРОФ" u="1"/>
        <s v="Бюджетная организация Проф" u="1"/>
        <s v="ilex.Комплекс коммерческий Предприятие ПРОФ" u="1"/>
        <s v="Бюджетная организация Премиум Управление" u="1"/>
        <s v="Бюджетная организация Стандарт (1 пользователь)" u="1"/>
        <s v="Бюджетная организация Проф (1 пользователь)                  " u="1"/>
        <s v="Главный Бухгалтер ПРОФ (1-пользовательская)" u="1"/>
        <s v="Бюджетная организация Управление" u="1"/>
        <s v="Главный бухгалтер (1 пользователь, ЛД)" u="1"/>
      </sharedItems>
    </cacheField>
    <cacheField name="Уровень" numFmtId="0">
      <sharedItems containsBlank="1" count="9">
        <s v="Эксперт"/>
        <s v="Оптимальный"/>
        <s v="Базовый"/>
        <s v="Минимальный"/>
        <m/>
        <s v="Оптимальный Плюс"/>
        <s v="Базовый " u="1"/>
        <s v="Оптимальный " u="1"/>
        <s v="Эксперт " u="1"/>
      </sharedItems>
    </cacheField>
    <cacheField name="Аккаунтов" numFmtId="0">
      <sharedItems containsString="0" containsBlank="1" containsNumber="1" containsInteger="1" minValue="1" maxValue="10" count="11">
        <n v="1"/>
        <n v="2"/>
        <n v="3"/>
        <n v="4"/>
        <n v="5"/>
        <n v="6"/>
        <n v="7"/>
        <n v="8"/>
        <n v="9"/>
        <n v="10"/>
        <m/>
      </sharedItems>
    </cacheField>
    <cacheField name="Стоимость без НДС" numFmtId="0">
      <sharedItems containsSemiMixedTypes="0" containsString="0" containsNumber="1" minValue="12.42" maxValue="1942.01"/>
    </cacheField>
    <cacheField name="Стоимость 1 аккаунта" numFmtId="0">
      <sharedItems containsSemiMixedTypes="0" containsString="0" containsNumber="1" minValue="14.9" maxValue="2330.41"/>
    </cacheField>
    <cacheField name="Минут" numFmtId="0">
      <sharedItems containsMixedTypes="1" containsNumber="1" containsInteger="1" minValue="60" maxValue="800"/>
    </cacheField>
    <cacheField name="Период" numFmtId="17">
      <sharedItems containsSemiMixedTypes="0" containsNonDate="0" containsDate="1" containsString="0" minDate="2022-04-01T00:00:00" maxDate="2025-10-02T00:00:00" count="43">
        <d v="2025-10-01T00:00:00"/>
        <d v="2025-08-01T00:00:00"/>
        <d v="2025-09-01T00:00:00"/>
        <d v="2025-07-01T00:00:00"/>
        <d v="2022-09-01T00:00:00" u="1"/>
        <d v="2023-09-01T00:00:00" u="1"/>
        <d v="2024-09-01T00:00:00" u="1"/>
        <d v="2022-08-01T00:00:00" u="1"/>
        <d v="2023-08-01T00:00:00" u="1"/>
        <d v="2024-08-01T00:00:00" u="1"/>
        <d v="2022-07-01T00:00:00" u="1"/>
        <d v="2023-07-01T00:00:00" u="1"/>
        <d v="2024-07-01T00:00:00" u="1"/>
        <d v="2022-06-01T00:00:00" u="1"/>
        <d v="2023-06-01T00:00:00" u="1"/>
        <d v="2024-06-01T00:00:00" u="1"/>
        <d v="2025-06-01T00:00:00" u="1"/>
        <d v="2022-05-01T00:00:00" u="1"/>
        <d v="2023-05-01T00:00:00" u="1"/>
        <d v="2024-05-01T00:00:00" u="1"/>
        <d v="2025-05-01T00:00:00" u="1"/>
        <d v="2022-04-01T00:00:00" u="1"/>
        <d v="2023-04-01T00:00:00" u="1"/>
        <d v="2024-04-01T00:00:00" u="1"/>
        <d v="2025-04-01T00:00:00" u="1"/>
        <d v="2023-03-01T00:00:00" u="1"/>
        <d v="2024-03-01T00:00:00" u="1"/>
        <d v="2025-03-01T00:00:00" u="1"/>
        <d v="2022-12-01T00:00:00" u="1"/>
        <d v="2023-02-01T00:00:00" u="1"/>
        <d v="2023-12-01T00:00:00" u="1"/>
        <d v="2024-02-01T00:00:00" u="1"/>
        <d v="2024-12-01T00:00:00" u="1"/>
        <d v="2025-02-01T00:00:00" u="1"/>
        <d v="2022-11-01T00:00:00" u="1"/>
        <d v="2023-01-01T00:00:00" u="1"/>
        <d v="2023-11-01T00:00:00" u="1"/>
        <d v="2024-01-01T00:00:00" u="1"/>
        <d v="2024-11-01T00:00:00" u="1"/>
        <d v="2025-01-01T00:00:00" u="1"/>
        <d v="2022-10-01T00:00:00" u="1"/>
        <d v="2023-10-01T00:00:00" u="1"/>
        <d v="2024-10-01T00:00:00" u="1"/>
      </sharedItems>
    </cacheField>
    <cacheField name="Примечание" numFmtId="17">
      <sharedItems containsNonDate="0" containsBlank="1" count="29">
        <m/>
        <s v="" u="1"/>
        <s v="Бюджетная организация Стандарт (1 пользователь)" u="1"/>
        <s v="Бюджетная организация Премиум" u="1"/>
        <s v="Бюджетная организация Стандарт Управление" u="1"/>
        <s v="Главный Бухгалтер (1 пользователь)" u="1"/>
        <s v="Бюджетная организация Проф (1 пользователь)" u="1"/>
        <s v="Бюджетная организация Премиум (1 пользователь)" u="1"/>
        <s v="Предприятие" u="1"/>
        <s v="*- позиции применяются при условии внесения предоплаты на 2 мес и более" u="1"/>
        <s v="*- позиции применяются при условии внесения предоплаты на 3 мес и более" u="1"/>
        <s v="*- позиции применяются при условии внесения предоплаты на 4 мес и более" u="1"/>
        <s v="*- позиции применяются при условии внесения предоплаты на 6 мес и более" u="1"/>
        <s v="Бюджетная организация Управление (1 пользователь)" u="1"/>
        <s v="*- позиции применяются при условии внесения предоплаты на 4 мес" u="1"/>
        <s v="*- позиции применяются при условии внесения предоплаты на 6 мес" u="1"/>
        <s v="Главный Бухгалтер ПРОФ" u="1"/>
        <s v="1 пользователь* -  данные позиции не могут использоваться при первичной продаже, позиция  доступна только обслуживаемым клиентам" u="1"/>
        <s v="Бюджетная организация Стандарт" u="1"/>
        <s v="Бюджетная организация Премиум Управление" u="1"/>
        <s v="Предприятие (1 пользователь)" u="1"/>
        <s v="Предприятие ПРОФ" u="1"/>
        <s v="Предприятие ПРОФ (1 пользователь)" u="1"/>
        <s v="Главный Бухгалтер ПРОФ (1 пользователь)" u="1"/>
        <s v="Бюджетная организация Стандарт Управление (1 пользователь)" u="1"/>
        <s v="VIP Предприятие" u="1"/>
        <s v="Бюджетная организация Проф" u="1"/>
        <s v="Бюджетная организация Управление" u="1"/>
        <s v="* -  данные позиции не могут использоваться при первичной продаже, позиция  доступна только обслуживаемым клиентам" u="1"/>
      </sharedItems>
    </cacheField>
    <cacheField name="Итого стоимость с НДС с учетом количества аккаунтов" numFmtId="2">
      <sharedItems containsSemiMixedTypes="0" containsString="0" containsNumber="1" minValue="14.9" maxValue="3310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2">
  <r>
    <x v="0"/>
    <x v="0"/>
    <x v="0"/>
    <n v="205.64"/>
    <n v="246.77"/>
    <n v="800"/>
    <x v="0"/>
    <x v="0"/>
    <n v="246.77"/>
  </r>
  <r>
    <x v="0"/>
    <x v="0"/>
    <x v="1"/>
    <n v="171.63"/>
    <n v="205.96"/>
    <n v="800"/>
    <x v="0"/>
    <x v="0"/>
    <n v="411.91"/>
  </r>
  <r>
    <x v="0"/>
    <x v="0"/>
    <x v="2"/>
    <n v="134.33000000000001"/>
    <n v="161.19999999999999"/>
    <n v="800"/>
    <x v="0"/>
    <x v="0"/>
    <n v="483.59"/>
  </r>
  <r>
    <x v="0"/>
    <x v="0"/>
    <x v="3"/>
    <n v="116.77"/>
    <n v="140.12"/>
    <n v="800"/>
    <x v="0"/>
    <x v="0"/>
    <n v="560.5"/>
  </r>
  <r>
    <x v="0"/>
    <x v="0"/>
    <x v="4"/>
    <n v="101.13"/>
    <n v="121.36"/>
    <n v="800"/>
    <x v="0"/>
    <x v="0"/>
    <n v="606.78"/>
  </r>
  <r>
    <x v="0"/>
    <x v="1"/>
    <x v="0"/>
    <n v="121.41"/>
    <n v="145.69"/>
    <n v="400"/>
    <x v="0"/>
    <x v="0"/>
    <n v="145.69"/>
  </r>
  <r>
    <x v="0"/>
    <x v="1"/>
    <x v="1"/>
    <n v="101.16"/>
    <n v="121.39"/>
    <n v="400"/>
    <x v="0"/>
    <x v="0"/>
    <n v="242.78"/>
  </r>
  <r>
    <x v="0"/>
    <x v="1"/>
    <x v="2"/>
    <n v="78.95"/>
    <n v="94.74"/>
    <n v="400"/>
    <x v="0"/>
    <x v="0"/>
    <n v="284.22000000000003"/>
  </r>
  <r>
    <x v="0"/>
    <x v="1"/>
    <x v="3"/>
    <n v="68.48"/>
    <n v="82.18"/>
    <n v="400"/>
    <x v="0"/>
    <x v="0"/>
    <n v="328.7"/>
  </r>
  <r>
    <x v="0"/>
    <x v="1"/>
    <x v="4"/>
    <n v="59.16"/>
    <n v="70.989999999999995"/>
    <n v="400"/>
    <x v="0"/>
    <x v="0"/>
    <n v="354.96"/>
  </r>
  <r>
    <x v="0"/>
    <x v="2"/>
    <x v="0"/>
    <n v="31.55"/>
    <n v="37.86"/>
    <n v="60"/>
    <x v="0"/>
    <x v="0"/>
    <n v="37.86"/>
  </r>
  <r>
    <x v="0"/>
    <x v="2"/>
    <x v="1"/>
    <n v="29.02"/>
    <n v="34.82"/>
    <n v="60"/>
    <x v="0"/>
    <x v="0"/>
    <n v="69.650000000000006"/>
  </r>
  <r>
    <x v="0"/>
    <x v="2"/>
    <x v="2"/>
    <n v="28.86"/>
    <n v="34.630000000000003"/>
    <n v="60"/>
    <x v="0"/>
    <x v="0"/>
    <n v="103.9"/>
  </r>
  <r>
    <x v="1"/>
    <x v="0"/>
    <x v="0"/>
    <n v="254.42"/>
    <n v="305.3"/>
    <n v="800"/>
    <x v="0"/>
    <x v="0"/>
    <n v="305.3"/>
  </r>
  <r>
    <x v="1"/>
    <x v="0"/>
    <x v="1"/>
    <n v="212.4"/>
    <n v="254.88"/>
    <n v="800"/>
    <x v="0"/>
    <x v="0"/>
    <n v="509.76"/>
  </r>
  <r>
    <x v="1"/>
    <x v="0"/>
    <x v="2"/>
    <n v="166.21"/>
    <n v="199.45"/>
    <n v="800"/>
    <x v="0"/>
    <x v="0"/>
    <n v="598.36"/>
  </r>
  <r>
    <x v="1"/>
    <x v="0"/>
    <x v="3"/>
    <n v="144.44999999999999"/>
    <n v="173.34"/>
    <n v="800"/>
    <x v="0"/>
    <x v="0"/>
    <n v="693.36"/>
  </r>
  <r>
    <x v="1"/>
    <x v="0"/>
    <x v="4"/>
    <n v="125.08"/>
    <n v="150.1"/>
    <n v="800"/>
    <x v="0"/>
    <x v="0"/>
    <n v="750.48"/>
  </r>
  <r>
    <x v="1"/>
    <x v="0"/>
    <x v="5"/>
    <n v="124.49"/>
    <n v="149.38999999999999"/>
    <n v="800"/>
    <x v="0"/>
    <x v="0"/>
    <n v="896.33"/>
  </r>
  <r>
    <x v="1"/>
    <x v="0"/>
    <x v="6"/>
    <n v="121.39"/>
    <n v="145.66999999999999"/>
    <n v="800"/>
    <x v="0"/>
    <x v="0"/>
    <n v="1019.68"/>
  </r>
  <r>
    <x v="1"/>
    <x v="0"/>
    <x v="7"/>
    <n v="118.33"/>
    <n v="142"/>
    <n v="800"/>
    <x v="0"/>
    <x v="0"/>
    <n v="1135.97"/>
  </r>
  <r>
    <x v="1"/>
    <x v="0"/>
    <x v="8"/>
    <n v="115.38"/>
    <n v="138.46"/>
    <n v="800"/>
    <x v="0"/>
    <x v="0"/>
    <n v="1246.0999999999999"/>
  </r>
  <r>
    <x v="1"/>
    <x v="0"/>
    <x v="9"/>
    <n v="112.5"/>
    <n v="135"/>
    <n v="800"/>
    <x v="0"/>
    <x v="0"/>
    <n v="1350"/>
  </r>
  <r>
    <x v="1"/>
    <x v="1"/>
    <x v="0"/>
    <n v="139.72"/>
    <n v="167.66"/>
    <n v="400"/>
    <x v="0"/>
    <x v="0"/>
    <n v="167.66"/>
  </r>
  <r>
    <x v="1"/>
    <x v="1"/>
    <x v="1"/>
    <n v="116.32"/>
    <n v="139.58000000000001"/>
    <n v="400"/>
    <x v="0"/>
    <x v="0"/>
    <n v="279.17"/>
  </r>
  <r>
    <x v="1"/>
    <x v="1"/>
    <x v="2"/>
    <n v="90.81"/>
    <n v="108.97"/>
    <n v="400"/>
    <x v="0"/>
    <x v="0"/>
    <n v="326.92"/>
  </r>
  <r>
    <x v="1"/>
    <x v="1"/>
    <x v="3"/>
    <n v="78.73"/>
    <n v="94.48"/>
    <n v="400"/>
    <x v="0"/>
    <x v="0"/>
    <n v="377.9"/>
  </r>
  <r>
    <x v="1"/>
    <x v="1"/>
    <x v="4"/>
    <n v="67.989999999999995"/>
    <n v="81.59"/>
    <n v="400"/>
    <x v="0"/>
    <x v="0"/>
    <n v="407.94"/>
  </r>
  <r>
    <x v="1"/>
    <x v="1"/>
    <x v="5"/>
    <n v="67.680000000000007"/>
    <n v="81.22"/>
    <n v="400"/>
    <x v="0"/>
    <x v="0"/>
    <n v="487.3"/>
  </r>
  <r>
    <x v="1"/>
    <x v="1"/>
    <x v="6"/>
    <n v="65.989999999999995"/>
    <n v="79.19"/>
    <n v="400"/>
    <x v="0"/>
    <x v="0"/>
    <n v="554.32000000000005"/>
  </r>
  <r>
    <x v="1"/>
    <x v="1"/>
    <x v="7"/>
    <n v="64.349999999999994"/>
    <n v="77.22"/>
    <n v="400"/>
    <x v="0"/>
    <x v="0"/>
    <n v="617.76"/>
  </r>
  <r>
    <x v="1"/>
    <x v="1"/>
    <x v="8"/>
    <n v="62.73"/>
    <n v="75.28"/>
    <n v="400"/>
    <x v="0"/>
    <x v="0"/>
    <n v="677.48"/>
  </r>
  <r>
    <x v="1"/>
    <x v="1"/>
    <x v="9"/>
    <n v="61.18"/>
    <n v="73.42"/>
    <n v="400"/>
    <x v="0"/>
    <x v="0"/>
    <n v="734.16"/>
  </r>
  <r>
    <x v="1"/>
    <x v="3"/>
    <x v="0"/>
    <n v="36.5"/>
    <n v="43.8"/>
    <n v="60"/>
    <x v="0"/>
    <x v="0"/>
    <n v="43.8"/>
  </r>
  <r>
    <x v="1"/>
    <x v="3"/>
    <x v="1"/>
    <n v="33.56"/>
    <n v="40.270000000000003"/>
    <n v="60"/>
    <x v="0"/>
    <x v="0"/>
    <n v="80.540000000000006"/>
  </r>
  <r>
    <x v="1"/>
    <x v="3"/>
    <x v="2"/>
    <n v="33.4"/>
    <n v="40.08"/>
    <n v="60"/>
    <x v="0"/>
    <x v="0"/>
    <n v="120.24"/>
  </r>
  <r>
    <x v="1"/>
    <x v="3"/>
    <x v="3"/>
    <n v="33.28"/>
    <n v="39.94"/>
    <n v="60"/>
    <x v="0"/>
    <x v="0"/>
    <n v="159.74"/>
  </r>
  <r>
    <x v="1"/>
    <x v="3"/>
    <x v="4"/>
    <n v="33.090000000000003"/>
    <n v="39.71"/>
    <n v="60"/>
    <x v="0"/>
    <x v="0"/>
    <n v="198.54"/>
  </r>
  <r>
    <x v="2"/>
    <x v="0"/>
    <x v="0"/>
    <n v="591.11"/>
    <n v="709.33"/>
    <n v="800"/>
    <x v="0"/>
    <x v="0"/>
    <n v="709.33"/>
  </r>
  <r>
    <x v="2"/>
    <x v="0"/>
    <x v="1"/>
    <n v="493.49"/>
    <n v="592.19000000000005"/>
    <n v="800"/>
    <x v="0"/>
    <x v="0"/>
    <n v="1184.3800000000001"/>
  </r>
  <r>
    <x v="2"/>
    <x v="0"/>
    <x v="2"/>
    <n v="386.1"/>
    <n v="463.32"/>
    <n v="800"/>
    <x v="0"/>
    <x v="0"/>
    <n v="1389.96"/>
  </r>
  <r>
    <x v="2"/>
    <x v="0"/>
    <x v="3"/>
    <n v="335.73"/>
    <n v="402.88"/>
    <n v="800"/>
    <x v="0"/>
    <x v="0"/>
    <n v="1611.5"/>
  </r>
  <r>
    <x v="2"/>
    <x v="0"/>
    <x v="4"/>
    <n v="290.63"/>
    <n v="348.76"/>
    <n v="800"/>
    <x v="0"/>
    <x v="0"/>
    <n v="1743.78"/>
  </r>
  <r>
    <x v="2"/>
    <x v="0"/>
    <x v="5"/>
    <n v="257.7"/>
    <n v="309.24"/>
    <n v="800"/>
    <x v="0"/>
    <x v="0"/>
    <n v="1855.44"/>
  </r>
  <r>
    <x v="2"/>
    <x v="0"/>
    <x v="6"/>
    <n v="227.7"/>
    <n v="273.24"/>
    <n v="800"/>
    <x v="0"/>
    <x v="0"/>
    <n v="1912.68"/>
  </r>
  <r>
    <x v="2"/>
    <x v="0"/>
    <x v="7"/>
    <n v="203.69"/>
    <n v="244.43"/>
    <n v="800"/>
    <x v="0"/>
    <x v="0"/>
    <n v="1955.42"/>
  </r>
  <r>
    <x v="2"/>
    <x v="0"/>
    <x v="8"/>
    <n v="185.47"/>
    <n v="222.56"/>
    <n v="800"/>
    <x v="0"/>
    <x v="0"/>
    <n v="2003.08"/>
  </r>
  <r>
    <x v="2"/>
    <x v="0"/>
    <x v="9"/>
    <n v="173.28"/>
    <n v="207.94"/>
    <n v="800"/>
    <x v="0"/>
    <x v="0"/>
    <n v="2079.36"/>
  </r>
  <r>
    <x v="2"/>
    <x v="1"/>
    <x v="0"/>
    <n v="278.08999999999997"/>
    <n v="333.71"/>
    <n v="400"/>
    <x v="0"/>
    <x v="0"/>
    <n v="333.71"/>
  </r>
  <r>
    <x v="2"/>
    <x v="1"/>
    <x v="1"/>
    <n v="231.54"/>
    <n v="277.85000000000002"/>
    <n v="400"/>
    <x v="0"/>
    <x v="0"/>
    <n v="555.70000000000005"/>
  </r>
  <r>
    <x v="2"/>
    <x v="1"/>
    <x v="2"/>
    <n v="180.77"/>
    <n v="216.92"/>
    <n v="400"/>
    <x v="0"/>
    <x v="0"/>
    <n v="650.77"/>
  </r>
  <r>
    <x v="2"/>
    <x v="1"/>
    <x v="3"/>
    <n v="156.83000000000001"/>
    <n v="188.2"/>
    <n v="400"/>
    <x v="0"/>
    <x v="0"/>
    <n v="752.78"/>
  </r>
  <r>
    <x v="2"/>
    <x v="1"/>
    <x v="4"/>
    <n v="135.46"/>
    <n v="162.55000000000001"/>
    <n v="400"/>
    <x v="0"/>
    <x v="0"/>
    <n v="812.76"/>
  </r>
  <r>
    <x v="2"/>
    <x v="1"/>
    <x v="5"/>
    <n v="119.78"/>
    <n v="143.74"/>
    <n v="400"/>
    <x v="0"/>
    <x v="0"/>
    <n v="862.42"/>
  </r>
  <r>
    <x v="2"/>
    <x v="1"/>
    <x v="6"/>
    <n v="105.55"/>
    <n v="126.66"/>
    <n v="400"/>
    <x v="0"/>
    <x v="0"/>
    <n v="886.62"/>
  </r>
  <r>
    <x v="2"/>
    <x v="1"/>
    <x v="7"/>
    <n v="94.23"/>
    <n v="113.08"/>
    <n v="400"/>
    <x v="0"/>
    <x v="0"/>
    <n v="904.61"/>
  </r>
  <r>
    <x v="2"/>
    <x v="1"/>
    <x v="8"/>
    <n v="85.56"/>
    <n v="102.67"/>
    <n v="400"/>
    <x v="0"/>
    <x v="0"/>
    <n v="924.05"/>
  </r>
  <r>
    <x v="2"/>
    <x v="1"/>
    <x v="9"/>
    <n v="79.709999999999994"/>
    <n v="95.65"/>
    <n v="400"/>
    <x v="0"/>
    <x v="0"/>
    <n v="956.52"/>
  </r>
  <r>
    <x v="2"/>
    <x v="3"/>
    <x v="0"/>
    <n v="47.74"/>
    <n v="57.29"/>
    <n v="60"/>
    <x v="0"/>
    <x v="0"/>
    <n v="57.29"/>
  </r>
  <r>
    <x v="2"/>
    <x v="3"/>
    <x v="1"/>
    <n v="43.87"/>
    <n v="52.64"/>
    <n v="60"/>
    <x v="0"/>
    <x v="0"/>
    <n v="105.29"/>
  </r>
  <r>
    <x v="2"/>
    <x v="3"/>
    <x v="2"/>
    <n v="40.33"/>
    <n v="48.4"/>
    <n v="60"/>
    <x v="0"/>
    <x v="0"/>
    <n v="145.19"/>
  </r>
  <r>
    <x v="2"/>
    <x v="3"/>
    <x v="3"/>
    <n v="37"/>
    <n v="44.4"/>
    <n v="60"/>
    <x v="0"/>
    <x v="0"/>
    <n v="177.6"/>
  </r>
  <r>
    <x v="2"/>
    <x v="3"/>
    <x v="4"/>
    <n v="34"/>
    <n v="40.799999999999997"/>
    <n v="60"/>
    <x v="0"/>
    <x v="0"/>
    <n v="204"/>
  </r>
  <r>
    <x v="2"/>
    <x v="3"/>
    <x v="5"/>
    <n v="31.26"/>
    <n v="37.51"/>
    <n v="60"/>
    <x v="0"/>
    <x v="0"/>
    <n v="225.07"/>
  </r>
  <r>
    <x v="2"/>
    <x v="3"/>
    <x v="6"/>
    <n v="28.12"/>
    <n v="33.74"/>
    <n v="60"/>
    <x v="0"/>
    <x v="0"/>
    <n v="236.21"/>
  </r>
  <r>
    <x v="2"/>
    <x v="3"/>
    <x v="7"/>
    <n v="25.29"/>
    <n v="30.35"/>
    <n v="60"/>
    <x v="0"/>
    <x v="0"/>
    <n v="242.78"/>
  </r>
  <r>
    <x v="2"/>
    <x v="3"/>
    <x v="8"/>
    <n v="22.8"/>
    <n v="27.36"/>
    <n v="60"/>
    <x v="0"/>
    <x v="0"/>
    <n v="246.24"/>
  </r>
  <r>
    <x v="2"/>
    <x v="3"/>
    <x v="9"/>
    <n v="20.77"/>
    <n v="24.92"/>
    <n v="60"/>
    <x v="0"/>
    <x v="0"/>
    <n v="249.24"/>
  </r>
  <r>
    <x v="3"/>
    <x v="0"/>
    <x v="0"/>
    <n v="748.75"/>
    <n v="898.5"/>
    <n v="800"/>
    <x v="0"/>
    <x v="0"/>
    <n v="898.5"/>
  </r>
  <r>
    <x v="3"/>
    <x v="0"/>
    <x v="1"/>
    <n v="664.03"/>
    <n v="796.84"/>
    <n v="800"/>
    <x v="0"/>
    <x v="0"/>
    <n v="1593.67"/>
  </r>
  <r>
    <x v="3"/>
    <x v="0"/>
    <x v="2"/>
    <n v="588.9"/>
    <n v="706.68"/>
    <n v="800"/>
    <x v="0"/>
    <x v="0"/>
    <n v="2120.04"/>
  </r>
  <r>
    <x v="3"/>
    <x v="0"/>
    <x v="3"/>
    <n v="522.24"/>
    <n v="626.69000000000005"/>
    <n v="800"/>
    <x v="0"/>
    <x v="0"/>
    <n v="2506.75"/>
  </r>
  <r>
    <x v="3"/>
    <x v="0"/>
    <x v="4"/>
    <n v="463.05"/>
    <n v="555.66"/>
    <n v="800"/>
    <x v="0"/>
    <x v="0"/>
    <n v="2778.3"/>
  </r>
  <r>
    <x v="3"/>
    <x v="0"/>
    <x v="5"/>
    <n v="410.45"/>
    <n v="492.54"/>
    <n v="800"/>
    <x v="0"/>
    <x v="0"/>
    <n v="2955.24"/>
  </r>
  <r>
    <x v="3"/>
    <x v="0"/>
    <x v="6"/>
    <n v="362.85"/>
    <n v="435.42"/>
    <n v="800"/>
    <x v="0"/>
    <x v="0"/>
    <n v="3047.94"/>
  </r>
  <r>
    <x v="3"/>
    <x v="0"/>
    <x v="7"/>
    <n v="324.63"/>
    <n v="389.56"/>
    <n v="800"/>
    <x v="0"/>
    <x v="0"/>
    <n v="3116.45"/>
  </r>
  <r>
    <x v="3"/>
    <x v="0"/>
    <x v="8"/>
    <n v="295.33999999999997"/>
    <n v="354.41"/>
    <n v="800"/>
    <x v="0"/>
    <x v="0"/>
    <n v="3189.67"/>
  </r>
  <r>
    <x v="3"/>
    <x v="0"/>
    <x v="9"/>
    <n v="275.86"/>
    <n v="331.03"/>
    <n v="800"/>
    <x v="0"/>
    <x v="0"/>
    <n v="3310.32"/>
  </r>
  <r>
    <x v="3"/>
    <x v="1"/>
    <x v="0"/>
    <n v="459.05"/>
    <n v="550.86"/>
    <n v="400"/>
    <x v="0"/>
    <x v="0"/>
    <n v="550.86"/>
  </r>
  <r>
    <x v="3"/>
    <x v="1"/>
    <x v="1"/>
    <n v="406.2"/>
    <n v="487.44"/>
    <n v="400"/>
    <x v="0"/>
    <x v="0"/>
    <n v="974.88"/>
  </r>
  <r>
    <x v="3"/>
    <x v="1"/>
    <x v="2"/>
    <n v="359.37"/>
    <n v="431.24"/>
    <n v="400"/>
    <x v="0"/>
    <x v="0"/>
    <n v="1293.73"/>
  </r>
  <r>
    <x v="3"/>
    <x v="1"/>
    <x v="3"/>
    <n v="317.91000000000003"/>
    <n v="381.49"/>
    <n v="400"/>
    <x v="0"/>
    <x v="0"/>
    <n v="1525.97"/>
  </r>
  <r>
    <x v="3"/>
    <x v="1"/>
    <x v="4"/>
    <n v="281.17"/>
    <n v="337.4"/>
    <n v="400"/>
    <x v="0"/>
    <x v="0"/>
    <n v="1687.02"/>
  </r>
  <r>
    <x v="3"/>
    <x v="1"/>
    <x v="5"/>
    <n v="248.67"/>
    <n v="298.39999999999998"/>
    <n v="400"/>
    <x v="0"/>
    <x v="0"/>
    <n v="1790.42"/>
  </r>
  <r>
    <x v="3"/>
    <x v="1"/>
    <x v="6"/>
    <n v="219.25"/>
    <n v="263.10000000000002"/>
    <n v="400"/>
    <x v="0"/>
    <x v="0"/>
    <n v="1841.7"/>
  </r>
  <r>
    <x v="3"/>
    <x v="1"/>
    <x v="7"/>
    <n v="195.68"/>
    <n v="234.82"/>
    <n v="400"/>
    <x v="0"/>
    <x v="0"/>
    <n v="1878.53"/>
  </r>
  <r>
    <x v="3"/>
    <x v="1"/>
    <x v="8"/>
    <n v="177.65"/>
    <n v="213.18"/>
    <n v="400"/>
    <x v="0"/>
    <x v="0"/>
    <n v="1918.62"/>
  </r>
  <r>
    <x v="3"/>
    <x v="1"/>
    <x v="9"/>
    <n v="165.52"/>
    <n v="198.62"/>
    <n v="400"/>
    <x v="0"/>
    <x v="0"/>
    <n v="1986.24"/>
  </r>
  <r>
    <x v="3"/>
    <x v="3"/>
    <x v="0"/>
    <n v="55.63"/>
    <n v="66.760000000000005"/>
    <n v="60"/>
    <x v="0"/>
    <x v="0"/>
    <n v="66.760000000000005"/>
  </r>
  <r>
    <x v="3"/>
    <x v="3"/>
    <x v="1"/>
    <n v="51.11"/>
    <n v="61.33"/>
    <n v="60"/>
    <x v="0"/>
    <x v="0"/>
    <n v="122.66"/>
  </r>
  <r>
    <x v="3"/>
    <x v="3"/>
    <x v="2"/>
    <n v="46.92"/>
    <n v="56.3"/>
    <n v="60"/>
    <x v="0"/>
    <x v="0"/>
    <n v="168.91"/>
  </r>
  <r>
    <x v="3"/>
    <x v="3"/>
    <x v="3"/>
    <n v="43.16"/>
    <n v="51.79"/>
    <n v="60"/>
    <x v="0"/>
    <x v="0"/>
    <n v="207.17"/>
  </r>
  <r>
    <x v="3"/>
    <x v="3"/>
    <x v="4"/>
    <n v="39.630000000000003"/>
    <n v="47.56"/>
    <n v="60"/>
    <x v="0"/>
    <x v="0"/>
    <n v="237.78"/>
  </r>
  <r>
    <x v="3"/>
    <x v="3"/>
    <x v="5"/>
    <n v="36.42"/>
    <n v="43.7"/>
    <n v="60"/>
    <x v="0"/>
    <x v="0"/>
    <n v="262.22000000000003"/>
  </r>
  <r>
    <x v="3"/>
    <x v="3"/>
    <x v="6"/>
    <n v="32.79"/>
    <n v="39.35"/>
    <n v="60"/>
    <x v="0"/>
    <x v="0"/>
    <n v="275.44"/>
  </r>
  <r>
    <x v="3"/>
    <x v="3"/>
    <x v="7"/>
    <n v="29.5"/>
    <n v="35.4"/>
    <n v="60"/>
    <x v="0"/>
    <x v="0"/>
    <n v="283.2"/>
  </r>
  <r>
    <x v="3"/>
    <x v="3"/>
    <x v="8"/>
    <n v="26.55"/>
    <n v="31.86"/>
    <n v="60"/>
    <x v="0"/>
    <x v="0"/>
    <n v="286.74"/>
  </r>
  <r>
    <x v="3"/>
    <x v="3"/>
    <x v="9"/>
    <n v="24.16"/>
    <n v="28.99"/>
    <n v="60"/>
    <x v="0"/>
    <x v="0"/>
    <n v="289.92"/>
  </r>
  <r>
    <x v="4"/>
    <x v="4"/>
    <x v="10"/>
    <n v="13.8"/>
    <n v="16.559999999999999"/>
    <n v="60"/>
    <x v="0"/>
    <x v="0"/>
    <n v="16.559999999999999"/>
  </r>
  <r>
    <x v="5"/>
    <x v="0"/>
    <x v="0"/>
    <n v="406.4"/>
    <n v="487.68"/>
    <n v="800"/>
    <x v="0"/>
    <x v="0"/>
    <n v="487.68"/>
  </r>
  <r>
    <x v="6"/>
    <x v="0"/>
    <x v="0"/>
    <n v="518.19000000000005"/>
    <n v="621.83000000000004"/>
    <n v="800"/>
    <x v="0"/>
    <x v="0"/>
    <n v="621.83000000000004"/>
  </r>
  <r>
    <x v="6"/>
    <x v="1"/>
    <x v="0"/>
    <n v="203.12"/>
    <n v="243.74"/>
    <n v="400"/>
    <x v="0"/>
    <x v="0"/>
    <n v="243.74"/>
  </r>
  <r>
    <x v="6"/>
    <x v="3"/>
    <x v="0"/>
    <n v="84.77"/>
    <n v="101.72"/>
    <n v="60"/>
    <x v="0"/>
    <x v="0"/>
    <n v="101.72"/>
  </r>
  <r>
    <x v="7"/>
    <x v="0"/>
    <x v="0"/>
    <n v="955.87"/>
    <n v="1147.04"/>
    <n v="800"/>
    <x v="0"/>
    <x v="0"/>
    <n v="1147.04"/>
  </r>
  <r>
    <x v="7"/>
    <x v="1"/>
    <x v="0"/>
    <n v="365.61"/>
    <n v="438.73"/>
    <n v="400"/>
    <x v="0"/>
    <x v="0"/>
    <n v="438.73"/>
  </r>
  <r>
    <x v="7"/>
    <x v="3"/>
    <x v="0"/>
    <n v="152.44999999999999"/>
    <n v="182.94"/>
    <n v="60"/>
    <x v="0"/>
    <x v="0"/>
    <n v="182.94"/>
  </r>
  <r>
    <x v="8"/>
    <x v="0"/>
    <x v="0"/>
    <n v="1942.01"/>
    <n v="2330.41"/>
    <n v="800"/>
    <x v="0"/>
    <x v="0"/>
    <n v="2330.41"/>
  </r>
  <r>
    <x v="8"/>
    <x v="1"/>
    <x v="0"/>
    <n v="750.07"/>
    <n v="900.08"/>
    <n v="400"/>
    <x v="0"/>
    <x v="0"/>
    <n v="900.08"/>
  </r>
  <r>
    <x v="8"/>
    <x v="3"/>
    <x v="0"/>
    <n v="324.07"/>
    <n v="388.88"/>
    <n v="60"/>
    <x v="0"/>
    <x v="0"/>
    <n v="388.88"/>
  </r>
  <r>
    <x v="9"/>
    <x v="4"/>
    <x v="10"/>
    <n v="13.39"/>
    <n v="16.07"/>
    <n v="60"/>
    <x v="0"/>
    <x v="0"/>
    <n v="16.07"/>
  </r>
  <r>
    <x v="10"/>
    <x v="0"/>
    <x v="0"/>
    <n v="205.64"/>
    <n v="246.77"/>
    <n v="800"/>
    <x v="0"/>
    <x v="0"/>
    <n v="246.77"/>
  </r>
  <r>
    <x v="10"/>
    <x v="0"/>
    <x v="1"/>
    <n v="171.63"/>
    <n v="205.96"/>
    <n v="800"/>
    <x v="0"/>
    <x v="0"/>
    <n v="411.91"/>
  </r>
  <r>
    <x v="10"/>
    <x v="0"/>
    <x v="2"/>
    <n v="134.33000000000001"/>
    <n v="161.19999999999999"/>
    <n v="800"/>
    <x v="0"/>
    <x v="0"/>
    <n v="483.59"/>
  </r>
  <r>
    <x v="10"/>
    <x v="0"/>
    <x v="3"/>
    <n v="116.77"/>
    <n v="140.12"/>
    <n v="800"/>
    <x v="0"/>
    <x v="0"/>
    <n v="560.5"/>
  </r>
  <r>
    <x v="10"/>
    <x v="0"/>
    <x v="4"/>
    <n v="101.13"/>
    <n v="121.36"/>
    <n v="800"/>
    <x v="0"/>
    <x v="0"/>
    <n v="606.78"/>
  </r>
  <r>
    <x v="10"/>
    <x v="1"/>
    <x v="0"/>
    <n v="121.41"/>
    <n v="145.69"/>
    <n v="400"/>
    <x v="0"/>
    <x v="0"/>
    <n v="145.69"/>
  </r>
  <r>
    <x v="10"/>
    <x v="1"/>
    <x v="1"/>
    <n v="101.16"/>
    <n v="121.39"/>
    <n v="400"/>
    <x v="0"/>
    <x v="0"/>
    <n v="242.78"/>
  </r>
  <r>
    <x v="10"/>
    <x v="1"/>
    <x v="2"/>
    <n v="78.95"/>
    <n v="94.74"/>
    <n v="400"/>
    <x v="0"/>
    <x v="0"/>
    <n v="284.22000000000003"/>
  </r>
  <r>
    <x v="10"/>
    <x v="1"/>
    <x v="3"/>
    <n v="68.48"/>
    <n v="82.18"/>
    <n v="400"/>
    <x v="0"/>
    <x v="0"/>
    <n v="328.7"/>
  </r>
  <r>
    <x v="10"/>
    <x v="1"/>
    <x v="4"/>
    <n v="59.16"/>
    <n v="70.989999999999995"/>
    <n v="400"/>
    <x v="0"/>
    <x v="0"/>
    <n v="354.96"/>
  </r>
  <r>
    <x v="10"/>
    <x v="2"/>
    <x v="0"/>
    <n v="31.55"/>
    <n v="37.86"/>
    <n v="60"/>
    <x v="0"/>
    <x v="0"/>
    <n v="37.86"/>
  </r>
  <r>
    <x v="10"/>
    <x v="2"/>
    <x v="1"/>
    <n v="29.02"/>
    <n v="34.82"/>
    <n v="60"/>
    <x v="0"/>
    <x v="0"/>
    <n v="69.650000000000006"/>
  </r>
  <r>
    <x v="10"/>
    <x v="2"/>
    <x v="2"/>
    <n v="28.86"/>
    <n v="34.630000000000003"/>
    <n v="60"/>
    <x v="0"/>
    <x v="0"/>
    <n v="103.9"/>
  </r>
  <r>
    <x v="11"/>
    <x v="0"/>
    <x v="0"/>
    <n v="254.42"/>
    <n v="305.3"/>
    <n v="800"/>
    <x v="0"/>
    <x v="0"/>
    <n v="305.3"/>
  </r>
  <r>
    <x v="11"/>
    <x v="0"/>
    <x v="1"/>
    <n v="212.4"/>
    <n v="254.88"/>
    <n v="800"/>
    <x v="0"/>
    <x v="0"/>
    <n v="509.76"/>
  </r>
  <r>
    <x v="11"/>
    <x v="0"/>
    <x v="2"/>
    <n v="166.21"/>
    <n v="199.45"/>
    <n v="800"/>
    <x v="0"/>
    <x v="0"/>
    <n v="598.36"/>
  </r>
  <r>
    <x v="11"/>
    <x v="0"/>
    <x v="3"/>
    <n v="144.44999999999999"/>
    <n v="173.34"/>
    <n v="800"/>
    <x v="0"/>
    <x v="0"/>
    <n v="693.36"/>
  </r>
  <r>
    <x v="11"/>
    <x v="0"/>
    <x v="4"/>
    <n v="125.08"/>
    <n v="150.1"/>
    <n v="800"/>
    <x v="0"/>
    <x v="0"/>
    <n v="750.48"/>
  </r>
  <r>
    <x v="11"/>
    <x v="0"/>
    <x v="5"/>
    <n v="124.49"/>
    <n v="149.38999999999999"/>
    <n v="800"/>
    <x v="0"/>
    <x v="0"/>
    <n v="896.33"/>
  </r>
  <r>
    <x v="11"/>
    <x v="0"/>
    <x v="6"/>
    <n v="121.39"/>
    <n v="145.66999999999999"/>
    <n v="800"/>
    <x v="0"/>
    <x v="0"/>
    <n v="1019.68"/>
  </r>
  <r>
    <x v="11"/>
    <x v="0"/>
    <x v="7"/>
    <n v="118.33"/>
    <n v="142"/>
    <n v="800"/>
    <x v="0"/>
    <x v="0"/>
    <n v="1135.97"/>
  </r>
  <r>
    <x v="11"/>
    <x v="0"/>
    <x v="8"/>
    <n v="115.38"/>
    <n v="138.46"/>
    <n v="800"/>
    <x v="0"/>
    <x v="0"/>
    <n v="1246.0999999999999"/>
  </r>
  <r>
    <x v="11"/>
    <x v="0"/>
    <x v="9"/>
    <n v="112.5"/>
    <n v="135"/>
    <n v="800"/>
    <x v="0"/>
    <x v="0"/>
    <n v="1350"/>
  </r>
  <r>
    <x v="11"/>
    <x v="1"/>
    <x v="0"/>
    <n v="139.72"/>
    <n v="167.66"/>
    <n v="400"/>
    <x v="0"/>
    <x v="0"/>
    <n v="167.66"/>
  </r>
  <r>
    <x v="11"/>
    <x v="1"/>
    <x v="1"/>
    <n v="116.32"/>
    <n v="139.58000000000001"/>
    <n v="400"/>
    <x v="0"/>
    <x v="0"/>
    <n v="279.17"/>
  </r>
  <r>
    <x v="11"/>
    <x v="1"/>
    <x v="2"/>
    <n v="90.81"/>
    <n v="108.97"/>
    <n v="400"/>
    <x v="0"/>
    <x v="0"/>
    <n v="326.92"/>
  </r>
  <r>
    <x v="11"/>
    <x v="1"/>
    <x v="3"/>
    <n v="78.73"/>
    <n v="94.48"/>
    <n v="400"/>
    <x v="0"/>
    <x v="0"/>
    <n v="377.9"/>
  </r>
  <r>
    <x v="11"/>
    <x v="1"/>
    <x v="4"/>
    <n v="67.989999999999995"/>
    <n v="81.59"/>
    <n v="400"/>
    <x v="0"/>
    <x v="0"/>
    <n v="407.94"/>
  </r>
  <r>
    <x v="11"/>
    <x v="1"/>
    <x v="5"/>
    <n v="67.680000000000007"/>
    <n v="81.22"/>
    <n v="400"/>
    <x v="0"/>
    <x v="0"/>
    <n v="487.3"/>
  </r>
  <r>
    <x v="11"/>
    <x v="1"/>
    <x v="6"/>
    <n v="65.989999999999995"/>
    <n v="79.19"/>
    <n v="400"/>
    <x v="0"/>
    <x v="0"/>
    <n v="554.32000000000005"/>
  </r>
  <r>
    <x v="11"/>
    <x v="1"/>
    <x v="7"/>
    <n v="64.349999999999994"/>
    <n v="77.22"/>
    <n v="400"/>
    <x v="0"/>
    <x v="0"/>
    <n v="617.76"/>
  </r>
  <r>
    <x v="11"/>
    <x v="1"/>
    <x v="8"/>
    <n v="62.73"/>
    <n v="75.28"/>
    <n v="400"/>
    <x v="0"/>
    <x v="0"/>
    <n v="677.48"/>
  </r>
  <r>
    <x v="11"/>
    <x v="1"/>
    <x v="9"/>
    <n v="61.18"/>
    <n v="73.42"/>
    <n v="400"/>
    <x v="0"/>
    <x v="0"/>
    <n v="734.16"/>
  </r>
  <r>
    <x v="11"/>
    <x v="3"/>
    <x v="0"/>
    <n v="36.5"/>
    <n v="43.8"/>
    <n v="60"/>
    <x v="0"/>
    <x v="0"/>
    <n v="43.8"/>
  </r>
  <r>
    <x v="11"/>
    <x v="3"/>
    <x v="1"/>
    <n v="33.56"/>
    <n v="40.270000000000003"/>
    <n v="60"/>
    <x v="0"/>
    <x v="0"/>
    <n v="80.540000000000006"/>
  </r>
  <r>
    <x v="11"/>
    <x v="3"/>
    <x v="2"/>
    <n v="33.4"/>
    <n v="40.08"/>
    <n v="60"/>
    <x v="0"/>
    <x v="0"/>
    <n v="120.24"/>
  </r>
  <r>
    <x v="11"/>
    <x v="3"/>
    <x v="3"/>
    <n v="33.28"/>
    <n v="39.94"/>
    <n v="60"/>
    <x v="0"/>
    <x v="0"/>
    <n v="159.74"/>
  </r>
  <r>
    <x v="11"/>
    <x v="3"/>
    <x v="4"/>
    <n v="33.090000000000003"/>
    <n v="39.71"/>
    <n v="60"/>
    <x v="0"/>
    <x v="0"/>
    <n v="198.54"/>
  </r>
  <r>
    <x v="12"/>
    <x v="0"/>
    <x v="0"/>
    <n v="591.11"/>
    <n v="709.33"/>
    <n v="800"/>
    <x v="0"/>
    <x v="0"/>
    <n v="709.33"/>
  </r>
  <r>
    <x v="12"/>
    <x v="0"/>
    <x v="1"/>
    <n v="493.49"/>
    <n v="592.19000000000005"/>
    <n v="800"/>
    <x v="0"/>
    <x v="0"/>
    <n v="1184.3800000000001"/>
  </r>
  <r>
    <x v="12"/>
    <x v="0"/>
    <x v="2"/>
    <n v="386.1"/>
    <n v="463.32"/>
    <n v="800"/>
    <x v="0"/>
    <x v="0"/>
    <n v="1389.96"/>
  </r>
  <r>
    <x v="12"/>
    <x v="0"/>
    <x v="3"/>
    <n v="335.73"/>
    <n v="402.88"/>
    <n v="800"/>
    <x v="0"/>
    <x v="0"/>
    <n v="1611.5"/>
  </r>
  <r>
    <x v="12"/>
    <x v="0"/>
    <x v="4"/>
    <n v="290.63"/>
    <n v="348.76"/>
    <n v="800"/>
    <x v="0"/>
    <x v="0"/>
    <n v="1743.78"/>
  </r>
  <r>
    <x v="12"/>
    <x v="0"/>
    <x v="5"/>
    <n v="257.7"/>
    <n v="309.24"/>
    <n v="800"/>
    <x v="0"/>
    <x v="0"/>
    <n v="1855.44"/>
  </r>
  <r>
    <x v="12"/>
    <x v="0"/>
    <x v="6"/>
    <n v="227.7"/>
    <n v="273.24"/>
    <n v="800"/>
    <x v="0"/>
    <x v="0"/>
    <n v="1912.68"/>
  </r>
  <r>
    <x v="12"/>
    <x v="0"/>
    <x v="7"/>
    <n v="203.69"/>
    <n v="244.43"/>
    <n v="800"/>
    <x v="0"/>
    <x v="0"/>
    <n v="1955.42"/>
  </r>
  <r>
    <x v="12"/>
    <x v="0"/>
    <x v="8"/>
    <n v="185.47"/>
    <n v="222.56"/>
    <n v="800"/>
    <x v="0"/>
    <x v="0"/>
    <n v="2003.08"/>
  </r>
  <r>
    <x v="12"/>
    <x v="0"/>
    <x v="9"/>
    <n v="173.28"/>
    <n v="207.94"/>
    <n v="800"/>
    <x v="0"/>
    <x v="0"/>
    <n v="2079.36"/>
  </r>
  <r>
    <x v="12"/>
    <x v="1"/>
    <x v="0"/>
    <n v="278.08999999999997"/>
    <n v="333.71"/>
    <n v="400"/>
    <x v="0"/>
    <x v="0"/>
    <n v="333.71"/>
  </r>
  <r>
    <x v="12"/>
    <x v="1"/>
    <x v="1"/>
    <n v="231.54"/>
    <n v="277.85000000000002"/>
    <n v="400"/>
    <x v="0"/>
    <x v="0"/>
    <n v="555.70000000000005"/>
  </r>
  <r>
    <x v="12"/>
    <x v="1"/>
    <x v="2"/>
    <n v="180.77"/>
    <n v="216.92"/>
    <n v="400"/>
    <x v="0"/>
    <x v="0"/>
    <n v="650.77"/>
  </r>
  <r>
    <x v="12"/>
    <x v="1"/>
    <x v="3"/>
    <n v="156.83000000000001"/>
    <n v="188.2"/>
    <n v="400"/>
    <x v="0"/>
    <x v="0"/>
    <n v="752.78"/>
  </r>
  <r>
    <x v="12"/>
    <x v="1"/>
    <x v="4"/>
    <n v="135.46"/>
    <n v="162.55000000000001"/>
    <n v="400"/>
    <x v="0"/>
    <x v="0"/>
    <n v="812.76"/>
  </r>
  <r>
    <x v="12"/>
    <x v="1"/>
    <x v="5"/>
    <n v="119.78"/>
    <n v="143.74"/>
    <n v="400"/>
    <x v="0"/>
    <x v="0"/>
    <n v="862.42"/>
  </r>
  <r>
    <x v="12"/>
    <x v="1"/>
    <x v="6"/>
    <n v="105.55"/>
    <n v="126.66"/>
    <n v="400"/>
    <x v="0"/>
    <x v="0"/>
    <n v="886.62"/>
  </r>
  <r>
    <x v="12"/>
    <x v="1"/>
    <x v="7"/>
    <n v="94.23"/>
    <n v="113.08"/>
    <n v="400"/>
    <x v="0"/>
    <x v="0"/>
    <n v="904.61"/>
  </r>
  <r>
    <x v="12"/>
    <x v="1"/>
    <x v="8"/>
    <n v="85.56"/>
    <n v="102.67"/>
    <n v="400"/>
    <x v="0"/>
    <x v="0"/>
    <n v="924.05"/>
  </r>
  <r>
    <x v="12"/>
    <x v="1"/>
    <x v="9"/>
    <n v="79.709999999999994"/>
    <n v="95.65"/>
    <n v="400"/>
    <x v="0"/>
    <x v="0"/>
    <n v="956.52"/>
  </r>
  <r>
    <x v="12"/>
    <x v="3"/>
    <x v="0"/>
    <n v="47.74"/>
    <n v="57.29"/>
    <n v="60"/>
    <x v="0"/>
    <x v="0"/>
    <n v="57.29"/>
  </r>
  <r>
    <x v="12"/>
    <x v="3"/>
    <x v="1"/>
    <n v="43.87"/>
    <n v="52.64"/>
    <n v="60"/>
    <x v="0"/>
    <x v="0"/>
    <n v="105.29"/>
  </r>
  <r>
    <x v="12"/>
    <x v="3"/>
    <x v="2"/>
    <n v="40.33"/>
    <n v="48.4"/>
    <n v="60"/>
    <x v="0"/>
    <x v="0"/>
    <n v="145.19"/>
  </r>
  <r>
    <x v="12"/>
    <x v="3"/>
    <x v="3"/>
    <n v="37"/>
    <n v="44.4"/>
    <n v="60"/>
    <x v="0"/>
    <x v="0"/>
    <n v="177.6"/>
  </r>
  <r>
    <x v="12"/>
    <x v="3"/>
    <x v="4"/>
    <n v="34"/>
    <n v="40.799999999999997"/>
    <n v="60"/>
    <x v="0"/>
    <x v="0"/>
    <n v="204"/>
  </r>
  <r>
    <x v="12"/>
    <x v="3"/>
    <x v="5"/>
    <n v="31.26"/>
    <n v="37.51"/>
    <n v="60"/>
    <x v="0"/>
    <x v="0"/>
    <n v="225.07"/>
  </r>
  <r>
    <x v="12"/>
    <x v="3"/>
    <x v="6"/>
    <n v="28.12"/>
    <n v="33.74"/>
    <n v="60"/>
    <x v="0"/>
    <x v="0"/>
    <n v="236.21"/>
  </r>
  <r>
    <x v="12"/>
    <x v="3"/>
    <x v="7"/>
    <n v="25.29"/>
    <n v="30.35"/>
    <n v="60"/>
    <x v="0"/>
    <x v="0"/>
    <n v="242.78"/>
  </r>
  <r>
    <x v="12"/>
    <x v="3"/>
    <x v="8"/>
    <n v="22.8"/>
    <n v="27.36"/>
    <n v="60"/>
    <x v="0"/>
    <x v="0"/>
    <n v="246.24"/>
  </r>
  <r>
    <x v="12"/>
    <x v="3"/>
    <x v="9"/>
    <n v="20.77"/>
    <n v="24.92"/>
    <n v="60"/>
    <x v="0"/>
    <x v="0"/>
    <n v="249.24"/>
  </r>
  <r>
    <x v="13"/>
    <x v="0"/>
    <x v="0"/>
    <n v="748.75"/>
    <n v="898.5"/>
    <n v="800"/>
    <x v="0"/>
    <x v="0"/>
    <n v="898.5"/>
  </r>
  <r>
    <x v="13"/>
    <x v="0"/>
    <x v="1"/>
    <n v="664.03"/>
    <n v="796.84"/>
    <n v="800"/>
    <x v="0"/>
    <x v="0"/>
    <n v="1593.67"/>
  </r>
  <r>
    <x v="13"/>
    <x v="0"/>
    <x v="2"/>
    <n v="588.9"/>
    <n v="706.68"/>
    <n v="800"/>
    <x v="0"/>
    <x v="0"/>
    <n v="2120.04"/>
  </r>
  <r>
    <x v="13"/>
    <x v="0"/>
    <x v="3"/>
    <n v="522.24"/>
    <n v="626.69000000000005"/>
    <n v="800"/>
    <x v="0"/>
    <x v="0"/>
    <n v="2506.75"/>
  </r>
  <r>
    <x v="13"/>
    <x v="0"/>
    <x v="4"/>
    <n v="463.05"/>
    <n v="555.66"/>
    <n v="800"/>
    <x v="0"/>
    <x v="0"/>
    <n v="2778.3"/>
  </r>
  <r>
    <x v="13"/>
    <x v="0"/>
    <x v="5"/>
    <n v="410.45"/>
    <n v="492.54"/>
    <n v="800"/>
    <x v="0"/>
    <x v="0"/>
    <n v="2955.24"/>
  </r>
  <r>
    <x v="13"/>
    <x v="0"/>
    <x v="6"/>
    <n v="362.85"/>
    <n v="435.42"/>
    <n v="800"/>
    <x v="0"/>
    <x v="0"/>
    <n v="3047.94"/>
  </r>
  <r>
    <x v="13"/>
    <x v="0"/>
    <x v="7"/>
    <n v="324.63"/>
    <n v="389.56"/>
    <n v="800"/>
    <x v="0"/>
    <x v="0"/>
    <n v="3116.45"/>
  </r>
  <r>
    <x v="13"/>
    <x v="0"/>
    <x v="8"/>
    <n v="295.33999999999997"/>
    <n v="354.41"/>
    <n v="800"/>
    <x v="0"/>
    <x v="0"/>
    <n v="3189.67"/>
  </r>
  <r>
    <x v="13"/>
    <x v="0"/>
    <x v="9"/>
    <n v="275.86"/>
    <n v="331.03"/>
    <n v="800"/>
    <x v="0"/>
    <x v="0"/>
    <n v="3310.32"/>
  </r>
  <r>
    <x v="13"/>
    <x v="1"/>
    <x v="0"/>
    <n v="459.05"/>
    <n v="550.86"/>
    <n v="400"/>
    <x v="0"/>
    <x v="0"/>
    <n v="550.86"/>
  </r>
  <r>
    <x v="13"/>
    <x v="1"/>
    <x v="1"/>
    <n v="406.2"/>
    <n v="487.44"/>
    <n v="400"/>
    <x v="0"/>
    <x v="0"/>
    <n v="974.88"/>
  </r>
  <r>
    <x v="13"/>
    <x v="1"/>
    <x v="2"/>
    <n v="359.37"/>
    <n v="431.24"/>
    <n v="400"/>
    <x v="0"/>
    <x v="0"/>
    <n v="1293.73"/>
  </r>
  <r>
    <x v="13"/>
    <x v="1"/>
    <x v="3"/>
    <n v="317.91000000000003"/>
    <n v="381.49"/>
    <n v="400"/>
    <x v="0"/>
    <x v="0"/>
    <n v="1525.97"/>
  </r>
  <r>
    <x v="13"/>
    <x v="1"/>
    <x v="4"/>
    <n v="281.17"/>
    <n v="337.4"/>
    <n v="400"/>
    <x v="0"/>
    <x v="0"/>
    <n v="1687.02"/>
  </r>
  <r>
    <x v="13"/>
    <x v="1"/>
    <x v="5"/>
    <n v="248.67"/>
    <n v="298.39999999999998"/>
    <n v="400"/>
    <x v="0"/>
    <x v="0"/>
    <n v="1790.42"/>
  </r>
  <r>
    <x v="13"/>
    <x v="1"/>
    <x v="6"/>
    <n v="219.25"/>
    <n v="263.10000000000002"/>
    <n v="400"/>
    <x v="0"/>
    <x v="0"/>
    <n v="1841.7"/>
  </r>
  <r>
    <x v="13"/>
    <x v="1"/>
    <x v="7"/>
    <n v="195.68"/>
    <n v="234.82"/>
    <n v="400"/>
    <x v="0"/>
    <x v="0"/>
    <n v="1878.53"/>
  </r>
  <r>
    <x v="13"/>
    <x v="1"/>
    <x v="8"/>
    <n v="177.65"/>
    <n v="213.18"/>
    <n v="400"/>
    <x v="0"/>
    <x v="0"/>
    <n v="1918.62"/>
  </r>
  <r>
    <x v="13"/>
    <x v="1"/>
    <x v="9"/>
    <n v="165.52"/>
    <n v="198.62"/>
    <n v="400"/>
    <x v="0"/>
    <x v="0"/>
    <n v="1986.24"/>
  </r>
  <r>
    <x v="13"/>
    <x v="3"/>
    <x v="0"/>
    <n v="55.63"/>
    <n v="66.760000000000005"/>
    <n v="60"/>
    <x v="0"/>
    <x v="0"/>
    <n v="66.760000000000005"/>
  </r>
  <r>
    <x v="13"/>
    <x v="3"/>
    <x v="1"/>
    <n v="51.11"/>
    <n v="61.33"/>
    <n v="60"/>
    <x v="0"/>
    <x v="0"/>
    <n v="122.66"/>
  </r>
  <r>
    <x v="13"/>
    <x v="3"/>
    <x v="2"/>
    <n v="46.92"/>
    <n v="56.3"/>
    <n v="60"/>
    <x v="0"/>
    <x v="0"/>
    <n v="168.91"/>
  </r>
  <r>
    <x v="13"/>
    <x v="3"/>
    <x v="3"/>
    <n v="43.16"/>
    <n v="51.79"/>
    <n v="60"/>
    <x v="0"/>
    <x v="0"/>
    <n v="207.17"/>
  </r>
  <r>
    <x v="13"/>
    <x v="3"/>
    <x v="4"/>
    <n v="39.630000000000003"/>
    <n v="47.56"/>
    <n v="60"/>
    <x v="0"/>
    <x v="0"/>
    <n v="237.78"/>
  </r>
  <r>
    <x v="13"/>
    <x v="3"/>
    <x v="5"/>
    <n v="36.42"/>
    <n v="43.7"/>
    <n v="60"/>
    <x v="0"/>
    <x v="0"/>
    <n v="262.22000000000003"/>
  </r>
  <r>
    <x v="13"/>
    <x v="3"/>
    <x v="6"/>
    <n v="32.79"/>
    <n v="39.35"/>
    <n v="60"/>
    <x v="0"/>
    <x v="0"/>
    <n v="275.44"/>
  </r>
  <r>
    <x v="13"/>
    <x v="3"/>
    <x v="7"/>
    <n v="29.5"/>
    <n v="35.4"/>
    <n v="60"/>
    <x v="0"/>
    <x v="0"/>
    <n v="283.2"/>
  </r>
  <r>
    <x v="13"/>
    <x v="3"/>
    <x v="8"/>
    <n v="26.55"/>
    <n v="31.86"/>
    <n v="60"/>
    <x v="0"/>
    <x v="0"/>
    <n v="286.74"/>
  </r>
  <r>
    <x v="13"/>
    <x v="3"/>
    <x v="9"/>
    <n v="24.16"/>
    <n v="28.99"/>
    <n v="60"/>
    <x v="0"/>
    <x v="0"/>
    <n v="289.92"/>
  </r>
  <r>
    <x v="14"/>
    <x v="4"/>
    <x v="10"/>
    <n v="13.8"/>
    <n v="16.559999999999999"/>
    <n v="60"/>
    <x v="0"/>
    <x v="0"/>
    <n v="16.559999999999999"/>
  </r>
  <r>
    <x v="15"/>
    <x v="0"/>
    <x v="0"/>
    <n v="406.4"/>
    <n v="487.68"/>
    <n v="800"/>
    <x v="0"/>
    <x v="0"/>
    <n v="487.68"/>
  </r>
  <r>
    <x v="16"/>
    <x v="0"/>
    <x v="0"/>
    <n v="518.19000000000005"/>
    <n v="621.83000000000004"/>
    <n v="800"/>
    <x v="0"/>
    <x v="0"/>
    <n v="621.83000000000004"/>
  </r>
  <r>
    <x v="16"/>
    <x v="1"/>
    <x v="0"/>
    <n v="203.12"/>
    <n v="243.74"/>
    <n v="400"/>
    <x v="0"/>
    <x v="0"/>
    <n v="243.74"/>
  </r>
  <r>
    <x v="16"/>
    <x v="3"/>
    <x v="0"/>
    <n v="84.77"/>
    <n v="101.72"/>
    <n v="60"/>
    <x v="0"/>
    <x v="0"/>
    <n v="101.72"/>
  </r>
  <r>
    <x v="17"/>
    <x v="0"/>
    <x v="0"/>
    <n v="955.87"/>
    <n v="1147.04"/>
    <n v="800"/>
    <x v="0"/>
    <x v="0"/>
    <n v="1147.04"/>
  </r>
  <r>
    <x v="17"/>
    <x v="1"/>
    <x v="0"/>
    <n v="365.61"/>
    <n v="438.73"/>
    <n v="400"/>
    <x v="0"/>
    <x v="0"/>
    <n v="438.73"/>
  </r>
  <r>
    <x v="17"/>
    <x v="3"/>
    <x v="0"/>
    <n v="152.44999999999999"/>
    <n v="182.94"/>
    <n v="60"/>
    <x v="0"/>
    <x v="0"/>
    <n v="182.94"/>
  </r>
  <r>
    <x v="18"/>
    <x v="0"/>
    <x v="0"/>
    <n v="1942.01"/>
    <n v="2330.41"/>
    <n v="800"/>
    <x v="0"/>
    <x v="0"/>
    <n v="2330.41"/>
  </r>
  <r>
    <x v="18"/>
    <x v="1"/>
    <x v="0"/>
    <n v="750.07"/>
    <n v="900.08"/>
    <n v="400"/>
    <x v="0"/>
    <x v="0"/>
    <n v="900.08"/>
  </r>
  <r>
    <x v="18"/>
    <x v="3"/>
    <x v="0"/>
    <n v="324.07"/>
    <n v="388.88"/>
    <n v="60"/>
    <x v="0"/>
    <x v="0"/>
    <n v="388.88"/>
  </r>
  <r>
    <x v="19"/>
    <x v="4"/>
    <x v="10"/>
    <n v="13.39"/>
    <n v="16.07"/>
    <n v="60"/>
    <x v="0"/>
    <x v="0"/>
    <n v="16.07"/>
  </r>
  <r>
    <x v="20"/>
    <x v="0"/>
    <x v="0"/>
    <n v="197.11"/>
    <n v="236.53"/>
    <n v="600"/>
    <x v="0"/>
    <x v="0"/>
    <n v="236.53"/>
  </r>
  <r>
    <x v="20"/>
    <x v="5"/>
    <x v="0"/>
    <n v="92.06"/>
    <n v="110.47"/>
    <s v="300/600"/>
    <x v="0"/>
    <x v="0"/>
    <n v="110.47"/>
  </r>
  <r>
    <x v="20"/>
    <x v="1"/>
    <x v="0"/>
    <n v="79.17"/>
    <n v="95"/>
    <n v="300"/>
    <x v="0"/>
    <x v="0"/>
    <n v="95"/>
  </r>
  <r>
    <x v="20"/>
    <x v="2"/>
    <x v="0"/>
    <n v="34.6"/>
    <n v="41.52"/>
    <n v="60"/>
    <x v="0"/>
    <x v="0"/>
    <n v="41.52"/>
  </r>
  <r>
    <x v="21"/>
    <x v="0"/>
    <x v="0"/>
    <n v="406.4"/>
    <n v="487.68"/>
    <n v="800"/>
    <x v="0"/>
    <x v="0"/>
    <n v="487.68"/>
  </r>
  <r>
    <x v="21"/>
    <x v="5"/>
    <x v="0"/>
    <n v="200.14"/>
    <n v="240.17"/>
    <s v="400/800"/>
    <x v="0"/>
    <x v="0"/>
    <n v="240.17"/>
  </r>
  <r>
    <x v="21"/>
    <x v="1"/>
    <x v="0"/>
    <n v="172.39"/>
    <n v="206.87"/>
    <n v="400"/>
    <x v="0"/>
    <x v="0"/>
    <n v="206.87"/>
  </r>
  <r>
    <x v="21"/>
    <x v="2"/>
    <x v="0"/>
    <n v="71.5"/>
    <n v="85.8"/>
    <n v="60"/>
    <x v="0"/>
    <x v="0"/>
    <n v="85.8"/>
  </r>
  <r>
    <x v="22"/>
    <x v="4"/>
    <x v="10"/>
    <n v="13.39"/>
    <n v="16.07"/>
    <n v="60"/>
    <x v="0"/>
    <x v="0"/>
    <n v="16.07"/>
  </r>
  <r>
    <x v="23"/>
    <x v="0"/>
    <x v="0"/>
    <n v="197.11"/>
    <n v="236.53"/>
    <n v="600"/>
    <x v="0"/>
    <x v="0"/>
    <n v="236.53"/>
  </r>
  <r>
    <x v="23"/>
    <x v="5"/>
    <x v="0"/>
    <n v="92.06"/>
    <n v="110.47"/>
    <s v="300/600"/>
    <x v="0"/>
    <x v="0"/>
    <n v="110.47"/>
  </r>
  <r>
    <x v="23"/>
    <x v="1"/>
    <x v="0"/>
    <n v="79.17"/>
    <n v="95"/>
    <n v="300"/>
    <x v="0"/>
    <x v="0"/>
    <n v="95"/>
  </r>
  <r>
    <x v="23"/>
    <x v="2"/>
    <x v="0"/>
    <n v="34.6"/>
    <n v="41.52"/>
    <n v="60"/>
    <x v="0"/>
    <x v="0"/>
    <n v="41.52"/>
  </r>
  <r>
    <x v="24"/>
    <x v="0"/>
    <x v="0"/>
    <n v="406.4"/>
    <n v="487.68"/>
    <n v="800"/>
    <x v="0"/>
    <x v="0"/>
    <n v="487.68"/>
  </r>
  <r>
    <x v="24"/>
    <x v="5"/>
    <x v="0"/>
    <n v="200.14"/>
    <n v="240.17"/>
    <s v="400/800"/>
    <x v="0"/>
    <x v="0"/>
    <n v="240.17"/>
  </r>
  <r>
    <x v="24"/>
    <x v="1"/>
    <x v="0"/>
    <n v="172.39"/>
    <n v="206.87"/>
    <n v="400"/>
    <x v="0"/>
    <x v="0"/>
    <n v="206.87"/>
  </r>
  <r>
    <x v="24"/>
    <x v="2"/>
    <x v="0"/>
    <n v="71.5"/>
    <n v="85.8"/>
    <n v="60"/>
    <x v="0"/>
    <x v="0"/>
    <n v="85.8"/>
  </r>
  <r>
    <x v="25"/>
    <x v="4"/>
    <x v="10"/>
    <n v="13.39"/>
    <n v="16.07"/>
    <n v="60"/>
    <x v="0"/>
    <x v="0"/>
    <n v="16.07"/>
  </r>
  <r>
    <x v="0"/>
    <x v="0"/>
    <x v="0"/>
    <n v="200.89"/>
    <n v="241.07"/>
    <n v="800"/>
    <x v="1"/>
    <x v="0"/>
    <n v="241.07"/>
  </r>
  <r>
    <x v="0"/>
    <x v="0"/>
    <x v="1"/>
    <n v="167.33"/>
    <n v="200.8"/>
    <n v="800"/>
    <x v="1"/>
    <x v="0"/>
    <n v="401.59"/>
  </r>
  <r>
    <x v="0"/>
    <x v="0"/>
    <x v="2"/>
    <n v="130.71"/>
    <n v="156.85"/>
    <n v="800"/>
    <x v="1"/>
    <x v="0"/>
    <n v="470.56"/>
  </r>
  <r>
    <x v="0"/>
    <x v="0"/>
    <x v="3"/>
    <n v="113.4"/>
    <n v="136.08000000000001"/>
    <n v="800"/>
    <x v="1"/>
    <x v="0"/>
    <n v="544.32000000000005"/>
  </r>
  <r>
    <x v="0"/>
    <x v="0"/>
    <x v="4"/>
    <n v="98.02"/>
    <n v="117.62"/>
    <n v="800"/>
    <x v="1"/>
    <x v="0"/>
    <n v="588.12"/>
  </r>
  <r>
    <x v="0"/>
    <x v="1"/>
    <x v="0"/>
    <n v="119.55"/>
    <n v="143.46"/>
    <n v="400"/>
    <x v="1"/>
    <x v="0"/>
    <n v="143.46"/>
  </r>
  <r>
    <x v="0"/>
    <x v="1"/>
    <x v="1"/>
    <n v="99.41"/>
    <n v="119.29"/>
    <n v="400"/>
    <x v="1"/>
    <x v="0"/>
    <n v="238.58"/>
  </r>
  <r>
    <x v="0"/>
    <x v="1"/>
    <x v="2"/>
    <n v="77.44"/>
    <n v="92.93"/>
    <n v="400"/>
    <x v="1"/>
    <x v="0"/>
    <n v="278.77999999999997"/>
  </r>
  <r>
    <x v="0"/>
    <x v="1"/>
    <x v="3"/>
    <n v="67.03"/>
    <n v="80.44"/>
    <n v="400"/>
    <x v="1"/>
    <x v="0"/>
    <n v="321.74"/>
  </r>
  <r>
    <x v="0"/>
    <x v="1"/>
    <x v="4"/>
    <n v="57.8"/>
    <n v="69.36"/>
    <n v="400"/>
    <x v="1"/>
    <x v="0"/>
    <n v="346.8"/>
  </r>
  <r>
    <x v="0"/>
    <x v="2"/>
    <x v="0"/>
    <n v="31.25"/>
    <n v="37.5"/>
    <n v="60"/>
    <x v="1"/>
    <x v="0"/>
    <n v="37.5"/>
  </r>
  <r>
    <x v="0"/>
    <x v="2"/>
    <x v="1"/>
    <n v="28.69"/>
    <n v="34.43"/>
    <n v="60"/>
    <x v="1"/>
    <x v="0"/>
    <n v="68.86"/>
  </r>
  <r>
    <x v="0"/>
    <x v="2"/>
    <x v="2"/>
    <n v="28.47"/>
    <n v="34.159999999999997"/>
    <n v="60"/>
    <x v="1"/>
    <x v="0"/>
    <n v="102.49"/>
  </r>
  <r>
    <x v="1"/>
    <x v="0"/>
    <x v="0"/>
    <n v="247.56"/>
    <n v="297.07"/>
    <n v="800"/>
    <x v="1"/>
    <x v="0"/>
    <n v="297.07"/>
  </r>
  <r>
    <x v="1"/>
    <x v="0"/>
    <x v="1"/>
    <n v="206.27"/>
    <n v="247.52"/>
    <n v="800"/>
    <x v="1"/>
    <x v="0"/>
    <n v="495.05"/>
  </r>
  <r>
    <x v="1"/>
    <x v="0"/>
    <x v="2"/>
    <n v="161.1"/>
    <n v="193.32"/>
    <n v="800"/>
    <x v="1"/>
    <x v="0"/>
    <n v="579.96"/>
  </r>
  <r>
    <x v="1"/>
    <x v="0"/>
    <x v="3"/>
    <n v="139.72999999999999"/>
    <n v="167.68"/>
    <n v="800"/>
    <x v="1"/>
    <x v="0"/>
    <n v="670.7"/>
  </r>
  <r>
    <x v="1"/>
    <x v="0"/>
    <x v="4"/>
    <n v="120.76"/>
    <n v="144.91"/>
    <n v="800"/>
    <x v="1"/>
    <x v="0"/>
    <n v="724.56"/>
  </r>
  <r>
    <x v="1"/>
    <x v="0"/>
    <x v="5"/>
    <n v="119.95"/>
    <n v="143.94"/>
    <n v="800"/>
    <x v="1"/>
    <x v="0"/>
    <n v="863.64"/>
  </r>
  <r>
    <x v="1"/>
    <x v="0"/>
    <x v="6"/>
    <n v="116.97"/>
    <n v="140.36000000000001"/>
    <n v="800"/>
    <x v="1"/>
    <x v="0"/>
    <n v="982.55"/>
  </r>
  <r>
    <x v="1"/>
    <x v="0"/>
    <x v="7"/>
    <n v="114.02"/>
    <n v="136.82"/>
    <n v="800"/>
    <x v="1"/>
    <x v="0"/>
    <n v="1094.5899999999999"/>
  </r>
  <r>
    <x v="1"/>
    <x v="0"/>
    <x v="8"/>
    <n v="111.17"/>
    <n v="133.4"/>
    <n v="800"/>
    <x v="1"/>
    <x v="0"/>
    <n v="1200.6400000000001"/>
  </r>
  <r>
    <x v="1"/>
    <x v="0"/>
    <x v="9"/>
    <n v="108.39"/>
    <n v="130.07"/>
    <n v="800"/>
    <x v="1"/>
    <x v="0"/>
    <n v="1300.68"/>
  </r>
  <r>
    <x v="1"/>
    <x v="1"/>
    <x v="0"/>
    <n v="137.04"/>
    <n v="164.45"/>
    <n v="400"/>
    <x v="1"/>
    <x v="0"/>
    <n v="164.45"/>
  </r>
  <r>
    <x v="1"/>
    <x v="1"/>
    <x v="1"/>
    <n v="113.86"/>
    <n v="136.63"/>
    <n v="400"/>
    <x v="1"/>
    <x v="0"/>
    <n v="273.26"/>
  </r>
  <r>
    <x v="1"/>
    <x v="1"/>
    <x v="2"/>
    <n v="88.71"/>
    <n v="106.45"/>
    <n v="400"/>
    <x v="1"/>
    <x v="0"/>
    <n v="319.36"/>
  </r>
  <r>
    <x v="1"/>
    <x v="1"/>
    <x v="3"/>
    <n v="76.760000000000005"/>
    <n v="92.11"/>
    <n v="400"/>
    <x v="1"/>
    <x v="0"/>
    <n v="368.45"/>
  </r>
  <r>
    <x v="1"/>
    <x v="1"/>
    <x v="4"/>
    <n v="66.16"/>
    <n v="79.39"/>
    <n v="400"/>
    <x v="1"/>
    <x v="0"/>
    <n v="396.96"/>
  </r>
  <r>
    <x v="1"/>
    <x v="1"/>
    <x v="5"/>
    <n v="65.73"/>
    <n v="78.88"/>
    <n v="400"/>
    <x v="1"/>
    <x v="0"/>
    <n v="473.26"/>
  </r>
  <r>
    <x v="1"/>
    <x v="1"/>
    <x v="6"/>
    <n v="64.09"/>
    <n v="76.91"/>
    <n v="400"/>
    <x v="1"/>
    <x v="0"/>
    <n v="538.36"/>
  </r>
  <r>
    <x v="1"/>
    <x v="1"/>
    <x v="7"/>
    <n v="62.49"/>
    <n v="74.989999999999995"/>
    <n v="400"/>
    <x v="1"/>
    <x v="0"/>
    <n v="599.9"/>
  </r>
  <r>
    <x v="1"/>
    <x v="1"/>
    <x v="8"/>
    <n v="60.92"/>
    <n v="73.099999999999994"/>
    <n v="400"/>
    <x v="1"/>
    <x v="0"/>
    <n v="657.94"/>
  </r>
  <r>
    <x v="1"/>
    <x v="1"/>
    <x v="9"/>
    <n v="59.42"/>
    <n v="71.3"/>
    <n v="400"/>
    <x v="1"/>
    <x v="0"/>
    <n v="713.04"/>
  </r>
  <r>
    <x v="1"/>
    <x v="3"/>
    <x v="0"/>
    <n v="36.090000000000003"/>
    <n v="43.31"/>
    <n v="60"/>
    <x v="1"/>
    <x v="0"/>
    <n v="43.31"/>
  </r>
  <r>
    <x v="1"/>
    <x v="3"/>
    <x v="1"/>
    <n v="33.11"/>
    <n v="39.729999999999997"/>
    <n v="60"/>
    <x v="1"/>
    <x v="0"/>
    <n v="79.459999999999994"/>
  </r>
  <r>
    <x v="1"/>
    <x v="3"/>
    <x v="2"/>
    <n v="32.89"/>
    <n v="39.47"/>
    <n v="60"/>
    <x v="1"/>
    <x v="0"/>
    <n v="118.4"/>
  </r>
  <r>
    <x v="1"/>
    <x v="3"/>
    <x v="3"/>
    <n v="32.71"/>
    <n v="39.25"/>
    <n v="60"/>
    <x v="1"/>
    <x v="0"/>
    <n v="157.01"/>
  </r>
  <r>
    <x v="1"/>
    <x v="3"/>
    <x v="4"/>
    <n v="32.46"/>
    <n v="38.950000000000003"/>
    <n v="60"/>
    <x v="1"/>
    <x v="0"/>
    <n v="194.76"/>
  </r>
  <r>
    <x v="2"/>
    <x v="0"/>
    <x v="0"/>
    <n v="571.26"/>
    <n v="685.51"/>
    <n v="800"/>
    <x v="1"/>
    <x v="0"/>
    <n v="685.51"/>
  </r>
  <r>
    <x v="2"/>
    <x v="0"/>
    <x v="1"/>
    <n v="475.98"/>
    <n v="571.17999999999995"/>
    <n v="800"/>
    <x v="1"/>
    <x v="0"/>
    <n v="1142.3499999999999"/>
  </r>
  <r>
    <x v="2"/>
    <x v="0"/>
    <x v="2"/>
    <n v="371.67"/>
    <n v="446"/>
    <n v="800"/>
    <x v="1"/>
    <x v="0"/>
    <n v="1338.01"/>
  </r>
  <r>
    <x v="2"/>
    <x v="0"/>
    <x v="3"/>
    <n v="322.54000000000002"/>
    <n v="387.05"/>
    <n v="800"/>
    <x v="1"/>
    <x v="0"/>
    <n v="1548.19"/>
  </r>
  <r>
    <x v="2"/>
    <x v="0"/>
    <x v="4"/>
    <n v="278.67"/>
    <n v="334.4"/>
    <n v="800"/>
    <x v="1"/>
    <x v="0"/>
    <n v="1672.02"/>
  </r>
  <r>
    <x v="2"/>
    <x v="0"/>
    <x v="5"/>
    <n v="246.61"/>
    <n v="295.93"/>
    <n v="800"/>
    <x v="1"/>
    <x v="0"/>
    <n v="1775.59"/>
  </r>
  <r>
    <x v="2"/>
    <x v="0"/>
    <x v="6"/>
    <n v="217.9"/>
    <n v="261.48"/>
    <n v="800"/>
    <x v="1"/>
    <x v="0"/>
    <n v="1830.36"/>
  </r>
  <r>
    <x v="2"/>
    <x v="0"/>
    <x v="7"/>
    <n v="194.93"/>
    <n v="233.92"/>
    <n v="800"/>
    <x v="1"/>
    <x v="0"/>
    <n v="1871.33"/>
  </r>
  <r>
    <x v="2"/>
    <x v="0"/>
    <x v="8"/>
    <n v="177.49"/>
    <n v="212.99"/>
    <n v="800"/>
    <x v="1"/>
    <x v="0"/>
    <n v="1916.89"/>
  </r>
  <r>
    <x v="2"/>
    <x v="0"/>
    <x v="9"/>
    <n v="165.83"/>
    <n v="199"/>
    <n v="800"/>
    <x v="1"/>
    <x v="0"/>
    <n v="1989.96"/>
  </r>
  <r>
    <x v="2"/>
    <x v="1"/>
    <x v="0"/>
    <n v="270.87"/>
    <n v="325.04000000000002"/>
    <n v="400"/>
    <x v="1"/>
    <x v="0"/>
    <n v="325.04000000000002"/>
  </r>
  <r>
    <x v="2"/>
    <x v="1"/>
    <x v="1"/>
    <n v="225.09"/>
    <n v="270.11"/>
    <n v="400"/>
    <x v="1"/>
    <x v="0"/>
    <n v="540.22"/>
  </r>
  <r>
    <x v="2"/>
    <x v="1"/>
    <x v="2"/>
    <n v="175.39"/>
    <n v="210.47"/>
    <n v="400"/>
    <x v="1"/>
    <x v="0"/>
    <n v="631.4"/>
  </r>
  <r>
    <x v="2"/>
    <x v="1"/>
    <x v="3"/>
    <n v="151.86000000000001"/>
    <n v="182.23"/>
    <n v="400"/>
    <x v="1"/>
    <x v="0"/>
    <n v="728.93"/>
  </r>
  <r>
    <x v="2"/>
    <x v="1"/>
    <x v="4"/>
    <n v="130.91"/>
    <n v="157.09"/>
    <n v="400"/>
    <x v="1"/>
    <x v="0"/>
    <n v="785.46"/>
  </r>
  <r>
    <x v="2"/>
    <x v="1"/>
    <x v="5"/>
    <n v="115.53"/>
    <n v="138.63999999999999"/>
    <n v="400"/>
    <x v="1"/>
    <x v="0"/>
    <n v="831.82"/>
  </r>
  <r>
    <x v="2"/>
    <x v="1"/>
    <x v="6"/>
    <n v="101.81"/>
    <n v="122.17"/>
    <n v="400"/>
    <x v="1"/>
    <x v="0"/>
    <n v="855.2"/>
  </r>
  <r>
    <x v="2"/>
    <x v="1"/>
    <x v="7"/>
    <n v="90.89"/>
    <n v="109.07"/>
    <n v="400"/>
    <x v="1"/>
    <x v="0"/>
    <n v="872.54"/>
  </r>
  <r>
    <x v="2"/>
    <x v="1"/>
    <x v="8"/>
    <n v="82.52"/>
    <n v="99.02"/>
    <n v="400"/>
    <x v="1"/>
    <x v="0"/>
    <n v="891.22"/>
  </r>
  <r>
    <x v="2"/>
    <x v="1"/>
    <x v="9"/>
    <n v="76.88"/>
    <n v="92.26"/>
    <n v="400"/>
    <x v="1"/>
    <x v="0"/>
    <n v="922.56"/>
  </r>
  <r>
    <x v="2"/>
    <x v="3"/>
    <x v="0"/>
    <n v="46.87"/>
    <n v="56.24"/>
    <n v="60"/>
    <x v="1"/>
    <x v="0"/>
    <n v="56.24"/>
  </r>
  <r>
    <x v="2"/>
    <x v="3"/>
    <x v="1"/>
    <n v="42.99"/>
    <n v="51.59"/>
    <n v="60"/>
    <x v="1"/>
    <x v="0"/>
    <n v="103.18"/>
  </r>
  <r>
    <x v="2"/>
    <x v="3"/>
    <x v="2"/>
    <n v="39.44"/>
    <n v="47.33"/>
    <n v="60"/>
    <x v="1"/>
    <x v="0"/>
    <n v="141.97999999999999"/>
  </r>
  <r>
    <x v="2"/>
    <x v="3"/>
    <x v="3"/>
    <n v="36.11"/>
    <n v="43.33"/>
    <n v="60"/>
    <x v="1"/>
    <x v="0"/>
    <n v="173.33"/>
  </r>
  <r>
    <x v="2"/>
    <x v="3"/>
    <x v="4"/>
    <n v="33.119999999999997"/>
    <n v="39.74"/>
    <n v="60"/>
    <x v="1"/>
    <x v="0"/>
    <n v="198.72"/>
  </r>
  <r>
    <x v="2"/>
    <x v="3"/>
    <x v="5"/>
    <n v="30.39"/>
    <n v="36.47"/>
    <n v="60"/>
    <x v="1"/>
    <x v="0"/>
    <n v="218.81"/>
  </r>
  <r>
    <x v="2"/>
    <x v="3"/>
    <x v="6"/>
    <n v="27.34"/>
    <n v="32.81"/>
    <n v="60"/>
    <x v="1"/>
    <x v="0"/>
    <n v="229.66"/>
  </r>
  <r>
    <x v="2"/>
    <x v="3"/>
    <x v="7"/>
    <n v="24.58"/>
    <n v="29.5"/>
    <n v="60"/>
    <x v="1"/>
    <x v="0"/>
    <n v="235.97"/>
  </r>
  <r>
    <x v="2"/>
    <x v="3"/>
    <x v="8"/>
    <n v="22.16"/>
    <n v="26.59"/>
    <n v="60"/>
    <x v="1"/>
    <x v="0"/>
    <n v="239.33"/>
  </r>
  <r>
    <x v="2"/>
    <x v="3"/>
    <x v="9"/>
    <n v="20.190000000000001"/>
    <n v="24.23"/>
    <n v="60"/>
    <x v="1"/>
    <x v="0"/>
    <n v="242.28"/>
  </r>
  <r>
    <x v="3"/>
    <x v="0"/>
    <x v="0"/>
    <n v="722.17"/>
    <n v="866.6"/>
    <n v="800"/>
    <x v="1"/>
    <x v="0"/>
    <n v="866.6"/>
  </r>
  <r>
    <x v="3"/>
    <x v="0"/>
    <x v="1"/>
    <n v="639.21"/>
    <n v="767.05"/>
    <n v="800"/>
    <x v="1"/>
    <x v="0"/>
    <n v="1534.1"/>
  </r>
  <r>
    <x v="3"/>
    <x v="0"/>
    <x v="2"/>
    <n v="565.78"/>
    <n v="678.94"/>
    <n v="800"/>
    <x v="1"/>
    <x v="0"/>
    <n v="2036.81"/>
  </r>
  <r>
    <x v="3"/>
    <x v="0"/>
    <x v="3"/>
    <n v="500.75"/>
    <n v="600.9"/>
    <n v="800"/>
    <x v="1"/>
    <x v="0"/>
    <n v="2403.6"/>
  </r>
  <r>
    <x v="3"/>
    <x v="0"/>
    <x v="4"/>
    <n v="443.13"/>
    <n v="531.76"/>
    <n v="800"/>
    <x v="1"/>
    <x v="0"/>
    <n v="2658.78"/>
  </r>
  <r>
    <x v="3"/>
    <x v="0"/>
    <x v="5"/>
    <n v="392.03"/>
    <n v="470.44"/>
    <n v="800"/>
    <x v="1"/>
    <x v="0"/>
    <n v="2822.62"/>
  </r>
  <r>
    <x v="3"/>
    <x v="0"/>
    <x v="6"/>
    <n v="346.56"/>
    <n v="415.87"/>
    <n v="800"/>
    <x v="1"/>
    <x v="0"/>
    <n v="2911.1"/>
  </r>
  <r>
    <x v="3"/>
    <x v="0"/>
    <x v="7"/>
    <n v="310.06"/>
    <n v="372.07"/>
    <n v="800"/>
    <x v="1"/>
    <x v="0"/>
    <n v="2976.58"/>
  </r>
  <r>
    <x v="3"/>
    <x v="0"/>
    <x v="8"/>
    <n v="282.08"/>
    <n v="338.5"/>
    <n v="800"/>
    <x v="1"/>
    <x v="0"/>
    <n v="3046.46"/>
  </r>
  <r>
    <x v="3"/>
    <x v="0"/>
    <x v="9"/>
    <n v="263.48"/>
    <n v="316.18"/>
    <n v="800"/>
    <x v="1"/>
    <x v="0"/>
    <n v="3161.76"/>
  </r>
  <r>
    <x v="3"/>
    <x v="1"/>
    <x v="0"/>
    <n v="446.26"/>
    <n v="535.51"/>
    <n v="400"/>
    <x v="1"/>
    <x v="0"/>
    <n v="535.51"/>
  </r>
  <r>
    <x v="3"/>
    <x v="1"/>
    <x v="1"/>
    <n v="394.1"/>
    <n v="472.92"/>
    <n v="400"/>
    <x v="1"/>
    <x v="0"/>
    <n v="945.84"/>
  </r>
  <r>
    <x v="3"/>
    <x v="1"/>
    <x v="2"/>
    <n v="347.98"/>
    <n v="417.58"/>
    <n v="400"/>
    <x v="1"/>
    <x v="0"/>
    <n v="1252.73"/>
  </r>
  <r>
    <x v="3"/>
    <x v="1"/>
    <x v="3"/>
    <n v="307.23"/>
    <n v="368.68"/>
    <n v="400"/>
    <x v="1"/>
    <x v="0"/>
    <n v="1474.7"/>
  </r>
  <r>
    <x v="3"/>
    <x v="1"/>
    <x v="4"/>
    <n v="271.2"/>
    <n v="325.44"/>
    <n v="400"/>
    <x v="1"/>
    <x v="0"/>
    <n v="1627.2"/>
  </r>
  <r>
    <x v="3"/>
    <x v="1"/>
    <x v="5"/>
    <n v="239.38"/>
    <n v="287.26"/>
    <n v="400"/>
    <x v="1"/>
    <x v="0"/>
    <n v="1723.54"/>
  </r>
  <r>
    <x v="3"/>
    <x v="1"/>
    <x v="6"/>
    <n v="211.06"/>
    <n v="253.27"/>
    <n v="400"/>
    <x v="1"/>
    <x v="0"/>
    <n v="1772.9"/>
  </r>
  <r>
    <x v="3"/>
    <x v="1"/>
    <x v="7"/>
    <n v="188.36"/>
    <n v="226.03"/>
    <n v="400"/>
    <x v="1"/>
    <x v="0"/>
    <n v="1808.26"/>
  </r>
  <r>
    <x v="3"/>
    <x v="1"/>
    <x v="8"/>
    <n v="171.01"/>
    <n v="205.21"/>
    <n v="400"/>
    <x v="1"/>
    <x v="0"/>
    <n v="1846.91"/>
  </r>
  <r>
    <x v="3"/>
    <x v="1"/>
    <x v="9"/>
    <n v="159.33000000000001"/>
    <n v="191.2"/>
    <n v="400"/>
    <x v="1"/>
    <x v="0"/>
    <n v="1911.96"/>
  </r>
  <r>
    <x v="3"/>
    <x v="3"/>
    <x v="0"/>
    <n v="54.51"/>
    <n v="65.41"/>
    <n v="60"/>
    <x v="1"/>
    <x v="0"/>
    <n v="65.41"/>
  </r>
  <r>
    <x v="3"/>
    <x v="3"/>
    <x v="1"/>
    <n v="49.98"/>
    <n v="59.98"/>
    <n v="60"/>
    <x v="1"/>
    <x v="0"/>
    <n v="119.95"/>
  </r>
  <r>
    <x v="3"/>
    <x v="3"/>
    <x v="2"/>
    <n v="45.8"/>
    <n v="54.96"/>
    <n v="60"/>
    <x v="1"/>
    <x v="0"/>
    <n v="164.88"/>
  </r>
  <r>
    <x v="3"/>
    <x v="3"/>
    <x v="3"/>
    <n v="42.04"/>
    <n v="50.45"/>
    <n v="60"/>
    <x v="1"/>
    <x v="0"/>
    <n v="201.79"/>
  </r>
  <r>
    <x v="3"/>
    <x v="3"/>
    <x v="4"/>
    <n v="38.520000000000003"/>
    <n v="46.22"/>
    <n v="60"/>
    <x v="1"/>
    <x v="0"/>
    <n v="231.12"/>
  </r>
  <r>
    <x v="3"/>
    <x v="3"/>
    <x v="5"/>
    <n v="35.33"/>
    <n v="42.4"/>
    <n v="60"/>
    <x v="1"/>
    <x v="0"/>
    <n v="254.38"/>
  </r>
  <r>
    <x v="3"/>
    <x v="3"/>
    <x v="6"/>
    <n v="31.81"/>
    <n v="38.17"/>
    <n v="60"/>
    <x v="1"/>
    <x v="0"/>
    <n v="267.2"/>
  </r>
  <r>
    <x v="3"/>
    <x v="3"/>
    <x v="7"/>
    <n v="28.62"/>
    <n v="34.340000000000003"/>
    <n v="60"/>
    <x v="1"/>
    <x v="0"/>
    <n v="274.75"/>
  </r>
  <r>
    <x v="3"/>
    <x v="3"/>
    <x v="8"/>
    <n v="25.76"/>
    <n v="30.91"/>
    <n v="60"/>
    <x v="1"/>
    <x v="0"/>
    <n v="278.20999999999998"/>
  </r>
  <r>
    <x v="3"/>
    <x v="3"/>
    <x v="9"/>
    <n v="23.44"/>
    <n v="28.13"/>
    <n v="60"/>
    <x v="1"/>
    <x v="0"/>
    <n v="281.27999999999997"/>
  </r>
  <r>
    <x v="4"/>
    <x v="4"/>
    <x v="10"/>
    <n v="13.18"/>
    <n v="15.82"/>
    <n v="60"/>
    <x v="1"/>
    <x v="0"/>
    <n v="15.82"/>
  </r>
  <r>
    <x v="5"/>
    <x v="0"/>
    <x v="0"/>
    <n v="397.02"/>
    <n v="476.42"/>
    <n v="800"/>
    <x v="1"/>
    <x v="0"/>
    <n v="476.42"/>
  </r>
  <r>
    <x v="6"/>
    <x v="0"/>
    <x v="0"/>
    <n v="504.24"/>
    <n v="605.09"/>
    <n v="800"/>
    <x v="1"/>
    <x v="0"/>
    <n v="605.09"/>
  </r>
  <r>
    <x v="6"/>
    <x v="1"/>
    <x v="0"/>
    <n v="199.21"/>
    <n v="239.05"/>
    <n v="400"/>
    <x v="1"/>
    <x v="0"/>
    <n v="239.05"/>
  </r>
  <r>
    <x v="6"/>
    <x v="3"/>
    <x v="0"/>
    <n v="83.8"/>
    <n v="100.56"/>
    <n v="60"/>
    <x v="1"/>
    <x v="0"/>
    <n v="100.56"/>
  </r>
  <r>
    <x v="7"/>
    <x v="0"/>
    <x v="0"/>
    <n v="923.76"/>
    <n v="1108.51"/>
    <n v="800"/>
    <x v="1"/>
    <x v="0"/>
    <n v="1108.51"/>
  </r>
  <r>
    <x v="7"/>
    <x v="1"/>
    <x v="0"/>
    <n v="356.13"/>
    <n v="427.36"/>
    <n v="400"/>
    <x v="1"/>
    <x v="0"/>
    <n v="427.36"/>
  </r>
  <r>
    <x v="7"/>
    <x v="3"/>
    <x v="0"/>
    <n v="149.66999999999999"/>
    <n v="179.6"/>
    <n v="60"/>
    <x v="1"/>
    <x v="0"/>
    <n v="179.6"/>
  </r>
  <r>
    <x v="8"/>
    <x v="0"/>
    <x v="0"/>
    <n v="1873.09"/>
    <n v="2247.71"/>
    <n v="800"/>
    <x v="1"/>
    <x v="0"/>
    <n v="2247.71"/>
  </r>
  <r>
    <x v="8"/>
    <x v="1"/>
    <x v="0"/>
    <n v="729.17"/>
    <n v="875"/>
    <n v="400"/>
    <x v="1"/>
    <x v="0"/>
    <n v="875"/>
  </r>
  <r>
    <x v="8"/>
    <x v="3"/>
    <x v="0"/>
    <n v="317.54000000000002"/>
    <n v="381.05"/>
    <n v="60"/>
    <x v="1"/>
    <x v="0"/>
    <n v="381.05"/>
  </r>
  <r>
    <x v="9"/>
    <x v="4"/>
    <x v="10"/>
    <n v="12.79"/>
    <n v="15.35"/>
    <n v="60"/>
    <x v="1"/>
    <x v="0"/>
    <n v="15.35"/>
  </r>
  <r>
    <x v="10"/>
    <x v="0"/>
    <x v="0"/>
    <n v="200.89"/>
    <n v="241.07"/>
    <n v="800"/>
    <x v="1"/>
    <x v="0"/>
    <n v="241.07"/>
  </r>
  <r>
    <x v="10"/>
    <x v="0"/>
    <x v="1"/>
    <n v="167.33"/>
    <n v="200.8"/>
    <n v="800"/>
    <x v="1"/>
    <x v="0"/>
    <n v="401.59"/>
  </r>
  <r>
    <x v="10"/>
    <x v="0"/>
    <x v="2"/>
    <n v="130.71"/>
    <n v="156.85"/>
    <n v="800"/>
    <x v="1"/>
    <x v="0"/>
    <n v="470.56"/>
  </r>
  <r>
    <x v="10"/>
    <x v="0"/>
    <x v="3"/>
    <n v="113.4"/>
    <n v="136.08000000000001"/>
    <n v="800"/>
    <x v="1"/>
    <x v="0"/>
    <n v="544.32000000000005"/>
  </r>
  <r>
    <x v="10"/>
    <x v="0"/>
    <x v="4"/>
    <n v="98.02"/>
    <n v="117.62"/>
    <n v="800"/>
    <x v="1"/>
    <x v="0"/>
    <n v="588.12"/>
  </r>
  <r>
    <x v="10"/>
    <x v="1"/>
    <x v="0"/>
    <n v="119.55"/>
    <n v="143.46"/>
    <n v="400"/>
    <x v="1"/>
    <x v="0"/>
    <n v="143.46"/>
  </r>
  <r>
    <x v="10"/>
    <x v="1"/>
    <x v="1"/>
    <n v="99.41"/>
    <n v="119.29"/>
    <n v="400"/>
    <x v="1"/>
    <x v="0"/>
    <n v="238.58"/>
  </r>
  <r>
    <x v="10"/>
    <x v="1"/>
    <x v="2"/>
    <n v="77.44"/>
    <n v="92.93"/>
    <n v="400"/>
    <x v="1"/>
    <x v="0"/>
    <n v="278.77999999999997"/>
  </r>
  <r>
    <x v="10"/>
    <x v="1"/>
    <x v="3"/>
    <n v="67.03"/>
    <n v="80.44"/>
    <n v="400"/>
    <x v="1"/>
    <x v="0"/>
    <n v="321.74"/>
  </r>
  <r>
    <x v="10"/>
    <x v="1"/>
    <x v="4"/>
    <n v="57.8"/>
    <n v="69.36"/>
    <n v="400"/>
    <x v="1"/>
    <x v="0"/>
    <n v="346.8"/>
  </r>
  <r>
    <x v="10"/>
    <x v="2"/>
    <x v="0"/>
    <n v="31.25"/>
    <n v="37.5"/>
    <n v="60"/>
    <x v="1"/>
    <x v="0"/>
    <n v="37.5"/>
  </r>
  <r>
    <x v="10"/>
    <x v="2"/>
    <x v="1"/>
    <n v="28.69"/>
    <n v="34.43"/>
    <n v="60"/>
    <x v="1"/>
    <x v="0"/>
    <n v="68.86"/>
  </r>
  <r>
    <x v="10"/>
    <x v="2"/>
    <x v="2"/>
    <n v="28.47"/>
    <n v="34.159999999999997"/>
    <n v="60"/>
    <x v="1"/>
    <x v="0"/>
    <n v="102.49"/>
  </r>
  <r>
    <x v="11"/>
    <x v="0"/>
    <x v="0"/>
    <n v="247.56"/>
    <n v="297.07"/>
    <n v="800"/>
    <x v="1"/>
    <x v="0"/>
    <n v="297.07"/>
  </r>
  <r>
    <x v="11"/>
    <x v="0"/>
    <x v="1"/>
    <n v="206.27"/>
    <n v="247.52"/>
    <n v="800"/>
    <x v="1"/>
    <x v="0"/>
    <n v="495.05"/>
  </r>
  <r>
    <x v="11"/>
    <x v="0"/>
    <x v="2"/>
    <n v="161.1"/>
    <n v="193.32"/>
    <n v="800"/>
    <x v="1"/>
    <x v="0"/>
    <n v="579.96"/>
  </r>
  <r>
    <x v="11"/>
    <x v="0"/>
    <x v="3"/>
    <n v="139.72999999999999"/>
    <n v="167.68"/>
    <n v="800"/>
    <x v="1"/>
    <x v="0"/>
    <n v="670.7"/>
  </r>
  <r>
    <x v="11"/>
    <x v="0"/>
    <x v="4"/>
    <n v="120.76"/>
    <n v="144.91"/>
    <n v="800"/>
    <x v="1"/>
    <x v="0"/>
    <n v="724.56"/>
  </r>
  <r>
    <x v="11"/>
    <x v="0"/>
    <x v="5"/>
    <n v="119.95"/>
    <n v="143.94"/>
    <n v="800"/>
    <x v="1"/>
    <x v="0"/>
    <n v="863.64"/>
  </r>
  <r>
    <x v="11"/>
    <x v="0"/>
    <x v="6"/>
    <n v="116.97"/>
    <n v="140.36000000000001"/>
    <n v="800"/>
    <x v="1"/>
    <x v="0"/>
    <n v="982.55"/>
  </r>
  <r>
    <x v="11"/>
    <x v="0"/>
    <x v="7"/>
    <n v="114.02"/>
    <n v="136.82"/>
    <n v="800"/>
    <x v="1"/>
    <x v="0"/>
    <n v="1094.5899999999999"/>
  </r>
  <r>
    <x v="11"/>
    <x v="0"/>
    <x v="8"/>
    <n v="111.17"/>
    <n v="133.4"/>
    <n v="800"/>
    <x v="1"/>
    <x v="0"/>
    <n v="1200.6400000000001"/>
  </r>
  <r>
    <x v="11"/>
    <x v="0"/>
    <x v="9"/>
    <n v="108.39"/>
    <n v="130.07"/>
    <n v="800"/>
    <x v="1"/>
    <x v="0"/>
    <n v="1300.68"/>
  </r>
  <r>
    <x v="11"/>
    <x v="1"/>
    <x v="0"/>
    <n v="137.04"/>
    <n v="164.45"/>
    <n v="400"/>
    <x v="1"/>
    <x v="0"/>
    <n v="164.45"/>
  </r>
  <r>
    <x v="11"/>
    <x v="1"/>
    <x v="1"/>
    <n v="113.86"/>
    <n v="136.63"/>
    <n v="400"/>
    <x v="1"/>
    <x v="0"/>
    <n v="273.26"/>
  </r>
  <r>
    <x v="11"/>
    <x v="1"/>
    <x v="2"/>
    <n v="88.71"/>
    <n v="106.45"/>
    <n v="400"/>
    <x v="1"/>
    <x v="0"/>
    <n v="319.36"/>
  </r>
  <r>
    <x v="11"/>
    <x v="1"/>
    <x v="3"/>
    <n v="76.760000000000005"/>
    <n v="92.11"/>
    <n v="400"/>
    <x v="1"/>
    <x v="0"/>
    <n v="368.45"/>
  </r>
  <r>
    <x v="11"/>
    <x v="1"/>
    <x v="4"/>
    <n v="66.16"/>
    <n v="79.39"/>
    <n v="400"/>
    <x v="1"/>
    <x v="0"/>
    <n v="396.96"/>
  </r>
  <r>
    <x v="11"/>
    <x v="1"/>
    <x v="5"/>
    <n v="65.73"/>
    <n v="78.88"/>
    <n v="400"/>
    <x v="1"/>
    <x v="0"/>
    <n v="473.26"/>
  </r>
  <r>
    <x v="11"/>
    <x v="1"/>
    <x v="6"/>
    <n v="64.09"/>
    <n v="76.91"/>
    <n v="400"/>
    <x v="1"/>
    <x v="0"/>
    <n v="538.36"/>
  </r>
  <r>
    <x v="11"/>
    <x v="1"/>
    <x v="7"/>
    <n v="62.49"/>
    <n v="74.989999999999995"/>
    <n v="400"/>
    <x v="1"/>
    <x v="0"/>
    <n v="599.9"/>
  </r>
  <r>
    <x v="11"/>
    <x v="1"/>
    <x v="8"/>
    <n v="60.92"/>
    <n v="73.099999999999994"/>
    <n v="400"/>
    <x v="1"/>
    <x v="0"/>
    <n v="657.94"/>
  </r>
  <r>
    <x v="11"/>
    <x v="1"/>
    <x v="9"/>
    <n v="59.42"/>
    <n v="71.3"/>
    <n v="400"/>
    <x v="1"/>
    <x v="0"/>
    <n v="713.04"/>
  </r>
  <r>
    <x v="11"/>
    <x v="3"/>
    <x v="0"/>
    <n v="36.090000000000003"/>
    <n v="43.31"/>
    <n v="60"/>
    <x v="1"/>
    <x v="0"/>
    <n v="43.31"/>
  </r>
  <r>
    <x v="11"/>
    <x v="3"/>
    <x v="1"/>
    <n v="33.11"/>
    <n v="39.729999999999997"/>
    <n v="60"/>
    <x v="1"/>
    <x v="0"/>
    <n v="79.459999999999994"/>
  </r>
  <r>
    <x v="11"/>
    <x v="3"/>
    <x v="2"/>
    <n v="32.89"/>
    <n v="39.47"/>
    <n v="60"/>
    <x v="1"/>
    <x v="0"/>
    <n v="118.4"/>
  </r>
  <r>
    <x v="11"/>
    <x v="3"/>
    <x v="3"/>
    <n v="32.71"/>
    <n v="39.25"/>
    <n v="60"/>
    <x v="1"/>
    <x v="0"/>
    <n v="157.01"/>
  </r>
  <r>
    <x v="11"/>
    <x v="3"/>
    <x v="4"/>
    <n v="32.46"/>
    <n v="38.950000000000003"/>
    <n v="60"/>
    <x v="1"/>
    <x v="0"/>
    <n v="194.76"/>
  </r>
  <r>
    <x v="12"/>
    <x v="0"/>
    <x v="0"/>
    <n v="571.26"/>
    <n v="685.51"/>
    <n v="800"/>
    <x v="1"/>
    <x v="0"/>
    <n v="685.51"/>
  </r>
  <r>
    <x v="12"/>
    <x v="0"/>
    <x v="1"/>
    <n v="475.98"/>
    <n v="571.17999999999995"/>
    <n v="800"/>
    <x v="1"/>
    <x v="0"/>
    <n v="1142.3499999999999"/>
  </r>
  <r>
    <x v="12"/>
    <x v="0"/>
    <x v="2"/>
    <n v="371.67"/>
    <n v="446"/>
    <n v="800"/>
    <x v="1"/>
    <x v="0"/>
    <n v="1338.01"/>
  </r>
  <r>
    <x v="12"/>
    <x v="0"/>
    <x v="3"/>
    <n v="322.54000000000002"/>
    <n v="387.05"/>
    <n v="800"/>
    <x v="1"/>
    <x v="0"/>
    <n v="1548.19"/>
  </r>
  <r>
    <x v="12"/>
    <x v="0"/>
    <x v="4"/>
    <n v="278.67"/>
    <n v="334.4"/>
    <n v="800"/>
    <x v="1"/>
    <x v="0"/>
    <n v="1672.02"/>
  </r>
  <r>
    <x v="12"/>
    <x v="0"/>
    <x v="5"/>
    <n v="246.61"/>
    <n v="295.93"/>
    <n v="800"/>
    <x v="1"/>
    <x v="0"/>
    <n v="1775.59"/>
  </r>
  <r>
    <x v="12"/>
    <x v="0"/>
    <x v="6"/>
    <n v="217.9"/>
    <n v="261.48"/>
    <n v="800"/>
    <x v="1"/>
    <x v="0"/>
    <n v="1830.36"/>
  </r>
  <r>
    <x v="12"/>
    <x v="0"/>
    <x v="7"/>
    <n v="194.93"/>
    <n v="233.92"/>
    <n v="800"/>
    <x v="1"/>
    <x v="0"/>
    <n v="1871.33"/>
  </r>
  <r>
    <x v="12"/>
    <x v="0"/>
    <x v="8"/>
    <n v="177.49"/>
    <n v="212.99"/>
    <n v="800"/>
    <x v="1"/>
    <x v="0"/>
    <n v="1916.89"/>
  </r>
  <r>
    <x v="12"/>
    <x v="0"/>
    <x v="9"/>
    <n v="165.83"/>
    <n v="199"/>
    <n v="800"/>
    <x v="1"/>
    <x v="0"/>
    <n v="1989.96"/>
  </r>
  <r>
    <x v="12"/>
    <x v="1"/>
    <x v="0"/>
    <n v="270.87"/>
    <n v="325.04000000000002"/>
    <n v="400"/>
    <x v="1"/>
    <x v="0"/>
    <n v="325.04000000000002"/>
  </r>
  <r>
    <x v="12"/>
    <x v="1"/>
    <x v="1"/>
    <n v="225.09"/>
    <n v="270.11"/>
    <n v="400"/>
    <x v="1"/>
    <x v="0"/>
    <n v="540.22"/>
  </r>
  <r>
    <x v="12"/>
    <x v="1"/>
    <x v="2"/>
    <n v="175.39"/>
    <n v="210.47"/>
    <n v="400"/>
    <x v="1"/>
    <x v="0"/>
    <n v="631.4"/>
  </r>
  <r>
    <x v="12"/>
    <x v="1"/>
    <x v="3"/>
    <n v="151.86000000000001"/>
    <n v="182.23"/>
    <n v="400"/>
    <x v="1"/>
    <x v="0"/>
    <n v="728.93"/>
  </r>
  <r>
    <x v="12"/>
    <x v="1"/>
    <x v="4"/>
    <n v="130.91"/>
    <n v="157.09"/>
    <n v="400"/>
    <x v="1"/>
    <x v="0"/>
    <n v="785.46"/>
  </r>
  <r>
    <x v="12"/>
    <x v="1"/>
    <x v="5"/>
    <n v="115.53"/>
    <n v="138.63999999999999"/>
    <n v="400"/>
    <x v="1"/>
    <x v="0"/>
    <n v="831.82"/>
  </r>
  <r>
    <x v="12"/>
    <x v="1"/>
    <x v="6"/>
    <n v="101.81"/>
    <n v="122.17"/>
    <n v="400"/>
    <x v="1"/>
    <x v="0"/>
    <n v="855.2"/>
  </r>
  <r>
    <x v="12"/>
    <x v="1"/>
    <x v="7"/>
    <n v="90.89"/>
    <n v="109.07"/>
    <n v="400"/>
    <x v="1"/>
    <x v="0"/>
    <n v="872.54"/>
  </r>
  <r>
    <x v="12"/>
    <x v="1"/>
    <x v="8"/>
    <n v="82.52"/>
    <n v="99.02"/>
    <n v="400"/>
    <x v="1"/>
    <x v="0"/>
    <n v="891.22"/>
  </r>
  <r>
    <x v="12"/>
    <x v="1"/>
    <x v="9"/>
    <n v="76.88"/>
    <n v="92.26"/>
    <n v="400"/>
    <x v="1"/>
    <x v="0"/>
    <n v="922.56"/>
  </r>
  <r>
    <x v="12"/>
    <x v="3"/>
    <x v="0"/>
    <n v="46.87"/>
    <n v="56.24"/>
    <n v="60"/>
    <x v="1"/>
    <x v="0"/>
    <n v="56.24"/>
  </r>
  <r>
    <x v="12"/>
    <x v="3"/>
    <x v="1"/>
    <n v="42.99"/>
    <n v="51.59"/>
    <n v="60"/>
    <x v="1"/>
    <x v="0"/>
    <n v="103.18"/>
  </r>
  <r>
    <x v="12"/>
    <x v="3"/>
    <x v="2"/>
    <n v="39.44"/>
    <n v="47.33"/>
    <n v="60"/>
    <x v="1"/>
    <x v="0"/>
    <n v="141.97999999999999"/>
  </r>
  <r>
    <x v="12"/>
    <x v="3"/>
    <x v="3"/>
    <n v="36.11"/>
    <n v="43.33"/>
    <n v="60"/>
    <x v="1"/>
    <x v="0"/>
    <n v="173.33"/>
  </r>
  <r>
    <x v="12"/>
    <x v="3"/>
    <x v="4"/>
    <n v="33.119999999999997"/>
    <n v="39.74"/>
    <n v="60"/>
    <x v="1"/>
    <x v="0"/>
    <n v="198.72"/>
  </r>
  <r>
    <x v="12"/>
    <x v="3"/>
    <x v="5"/>
    <n v="30.39"/>
    <n v="36.47"/>
    <n v="60"/>
    <x v="1"/>
    <x v="0"/>
    <n v="218.81"/>
  </r>
  <r>
    <x v="12"/>
    <x v="3"/>
    <x v="6"/>
    <n v="27.34"/>
    <n v="32.81"/>
    <n v="60"/>
    <x v="1"/>
    <x v="0"/>
    <n v="229.66"/>
  </r>
  <r>
    <x v="12"/>
    <x v="3"/>
    <x v="7"/>
    <n v="24.58"/>
    <n v="29.5"/>
    <n v="60"/>
    <x v="1"/>
    <x v="0"/>
    <n v="235.97"/>
  </r>
  <r>
    <x v="12"/>
    <x v="3"/>
    <x v="8"/>
    <n v="22.16"/>
    <n v="26.59"/>
    <n v="60"/>
    <x v="1"/>
    <x v="0"/>
    <n v="239.33"/>
  </r>
  <r>
    <x v="12"/>
    <x v="3"/>
    <x v="9"/>
    <n v="20.190000000000001"/>
    <n v="24.23"/>
    <n v="60"/>
    <x v="1"/>
    <x v="0"/>
    <n v="242.28"/>
  </r>
  <r>
    <x v="13"/>
    <x v="0"/>
    <x v="0"/>
    <n v="722.17"/>
    <n v="866.6"/>
    <n v="800"/>
    <x v="1"/>
    <x v="0"/>
    <n v="866.6"/>
  </r>
  <r>
    <x v="13"/>
    <x v="0"/>
    <x v="1"/>
    <n v="639.21"/>
    <n v="767.05"/>
    <n v="800"/>
    <x v="1"/>
    <x v="0"/>
    <n v="1534.1"/>
  </r>
  <r>
    <x v="13"/>
    <x v="0"/>
    <x v="2"/>
    <n v="565.78"/>
    <n v="678.94"/>
    <n v="800"/>
    <x v="1"/>
    <x v="0"/>
    <n v="2036.81"/>
  </r>
  <r>
    <x v="13"/>
    <x v="0"/>
    <x v="3"/>
    <n v="500.75"/>
    <n v="600.9"/>
    <n v="800"/>
    <x v="1"/>
    <x v="0"/>
    <n v="2403.6"/>
  </r>
  <r>
    <x v="13"/>
    <x v="0"/>
    <x v="4"/>
    <n v="443.13"/>
    <n v="531.76"/>
    <n v="800"/>
    <x v="1"/>
    <x v="0"/>
    <n v="2658.78"/>
  </r>
  <r>
    <x v="13"/>
    <x v="0"/>
    <x v="5"/>
    <n v="392.03"/>
    <n v="470.44"/>
    <n v="800"/>
    <x v="1"/>
    <x v="0"/>
    <n v="2822.62"/>
  </r>
  <r>
    <x v="13"/>
    <x v="0"/>
    <x v="6"/>
    <n v="346.56"/>
    <n v="415.87"/>
    <n v="800"/>
    <x v="1"/>
    <x v="0"/>
    <n v="2911.1"/>
  </r>
  <r>
    <x v="13"/>
    <x v="0"/>
    <x v="7"/>
    <n v="310.06"/>
    <n v="372.07"/>
    <n v="800"/>
    <x v="1"/>
    <x v="0"/>
    <n v="2976.58"/>
  </r>
  <r>
    <x v="13"/>
    <x v="0"/>
    <x v="8"/>
    <n v="282.08"/>
    <n v="338.5"/>
    <n v="800"/>
    <x v="1"/>
    <x v="0"/>
    <n v="3046.46"/>
  </r>
  <r>
    <x v="13"/>
    <x v="0"/>
    <x v="9"/>
    <n v="263.48"/>
    <n v="316.18"/>
    <n v="800"/>
    <x v="1"/>
    <x v="0"/>
    <n v="3161.76"/>
  </r>
  <r>
    <x v="13"/>
    <x v="1"/>
    <x v="0"/>
    <n v="446.26"/>
    <n v="535.51"/>
    <n v="400"/>
    <x v="1"/>
    <x v="0"/>
    <n v="535.51"/>
  </r>
  <r>
    <x v="13"/>
    <x v="1"/>
    <x v="1"/>
    <n v="394.1"/>
    <n v="472.92"/>
    <n v="400"/>
    <x v="1"/>
    <x v="0"/>
    <n v="945.84"/>
  </r>
  <r>
    <x v="13"/>
    <x v="1"/>
    <x v="2"/>
    <n v="347.98"/>
    <n v="417.58"/>
    <n v="400"/>
    <x v="1"/>
    <x v="0"/>
    <n v="1252.73"/>
  </r>
  <r>
    <x v="13"/>
    <x v="1"/>
    <x v="3"/>
    <n v="307.23"/>
    <n v="368.68"/>
    <n v="400"/>
    <x v="1"/>
    <x v="0"/>
    <n v="1474.7"/>
  </r>
  <r>
    <x v="13"/>
    <x v="1"/>
    <x v="4"/>
    <n v="271.2"/>
    <n v="325.44"/>
    <n v="400"/>
    <x v="1"/>
    <x v="0"/>
    <n v="1627.2"/>
  </r>
  <r>
    <x v="13"/>
    <x v="1"/>
    <x v="5"/>
    <n v="239.38"/>
    <n v="287.26"/>
    <n v="400"/>
    <x v="1"/>
    <x v="0"/>
    <n v="1723.54"/>
  </r>
  <r>
    <x v="13"/>
    <x v="1"/>
    <x v="6"/>
    <n v="211.06"/>
    <n v="253.27"/>
    <n v="400"/>
    <x v="1"/>
    <x v="0"/>
    <n v="1772.9"/>
  </r>
  <r>
    <x v="13"/>
    <x v="1"/>
    <x v="7"/>
    <n v="188.36"/>
    <n v="226.03"/>
    <n v="400"/>
    <x v="1"/>
    <x v="0"/>
    <n v="1808.26"/>
  </r>
  <r>
    <x v="13"/>
    <x v="1"/>
    <x v="8"/>
    <n v="171.01"/>
    <n v="205.21"/>
    <n v="400"/>
    <x v="1"/>
    <x v="0"/>
    <n v="1846.91"/>
  </r>
  <r>
    <x v="13"/>
    <x v="1"/>
    <x v="9"/>
    <n v="159.33000000000001"/>
    <n v="191.2"/>
    <n v="400"/>
    <x v="1"/>
    <x v="0"/>
    <n v="1911.96"/>
  </r>
  <r>
    <x v="13"/>
    <x v="3"/>
    <x v="0"/>
    <n v="54.51"/>
    <n v="65.41"/>
    <n v="60"/>
    <x v="1"/>
    <x v="0"/>
    <n v="65.41"/>
  </r>
  <r>
    <x v="13"/>
    <x v="3"/>
    <x v="1"/>
    <n v="49.98"/>
    <n v="59.98"/>
    <n v="60"/>
    <x v="1"/>
    <x v="0"/>
    <n v="119.95"/>
  </r>
  <r>
    <x v="13"/>
    <x v="3"/>
    <x v="2"/>
    <n v="45.8"/>
    <n v="54.96"/>
    <n v="60"/>
    <x v="1"/>
    <x v="0"/>
    <n v="164.88"/>
  </r>
  <r>
    <x v="13"/>
    <x v="3"/>
    <x v="3"/>
    <n v="42.04"/>
    <n v="50.45"/>
    <n v="60"/>
    <x v="1"/>
    <x v="0"/>
    <n v="201.79"/>
  </r>
  <r>
    <x v="13"/>
    <x v="3"/>
    <x v="4"/>
    <n v="38.520000000000003"/>
    <n v="46.22"/>
    <n v="60"/>
    <x v="1"/>
    <x v="0"/>
    <n v="231.12"/>
  </r>
  <r>
    <x v="13"/>
    <x v="3"/>
    <x v="5"/>
    <n v="35.33"/>
    <n v="42.4"/>
    <n v="60"/>
    <x v="1"/>
    <x v="0"/>
    <n v="254.38"/>
  </r>
  <r>
    <x v="13"/>
    <x v="3"/>
    <x v="6"/>
    <n v="31.81"/>
    <n v="38.17"/>
    <n v="60"/>
    <x v="1"/>
    <x v="0"/>
    <n v="267.2"/>
  </r>
  <r>
    <x v="13"/>
    <x v="3"/>
    <x v="7"/>
    <n v="28.62"/>
    <n v="34.340000000000003"/>
    <n v="60"/>
    <x v="1"/>
    <x v="0"/>
    <n v="274.75"/>
  </r>
  <r>
    <x v="13"/>
    <x v="3"/>
    <x v="8"/>
    <n v="25.76"/>
    <n v="30.91"/>
    <n v="60"/>
    <x v="1"/>
    <x v="0"/>
    <n v="278.20999999999998"/>
  </r>
  <r>
    <x v="13"/>
    <x v="3"/>
    <x v="9"/>
    <n v="23.44"/>
    <n v="28.13"/>
    <n v="60"/>
    <x v="1"/>
    <x v="0"/>
    <n v="281.27999999999997"/>
  </r>
  <r>
    <x v="14"/>
    <x v="4"/>
    <x v="10"/>
    <n v="13.18"/>
    <n v="15.82"/>
    <n v="60"/>
    <x v="1"/>
    <x v="0"/>
    <n v="15.82"/>
  </r>
  <r>
    <x v="15"/>
    <x v="0"/>
    <x v="0"/>
    <n v="397.02"/>
    <n v="476.42"/>
    <n v="800"/>
    <x v="1"/>
    <x v="0"/>
    <n v="476.42"/>
  </r>
  <r>
    <x v="16"/>
    <x v="0"/>
    <x v="0"/>
    <n v="504.24"/>
    <n v="605.09"/>
    <n v="800"/>
    <x v="1"/>
    <x v="0"/>
    <n v="605.09"/>
  </r>
  <r>
    <x v="16"/>
    <x v="1"/>
    <x v="0"/>
    <n v="199.21"/>
    <n v="239.05"/>
    <n v="400"/>
    <x v="1"/>
    <x v="0"/>
    <n v="239.05"/>
  </r>
  <r>
    <x v="16"/>
    <x v="3"/>
    <x v="0"/>
    <n v="83.8"/>
    <n v="100.56"/>
    <n v="60"/>
    <x v="1"/>
    <x v="0"/>
    <n v="100.56"/>
  </r>
  <r>
    <x v="17"/>
    <x v="0"/>
    <x v="0"/>
    <n v="923.76"/>
    <n v="1108.51"/>
    <n v="800"/>
    <x v="1"/>
    <x v="0"/>
    <n v="1108.51"/>
  </r>
  <r>
    <x v="17"/>
    <x v="1"/>
    <x v="0"/>
    <n v="356.13"/>
    <n v="427.36"/>
    <n v="400"/>
    <x v="1"/>
    <x v="0"/>
    <n v="427.36"/>
  </r>
  <r>
    <x v="17"/>
    <x v="3"/>
    <x v="0"/>
    <n v="149.66999999999999"/>
    <n v="179.6"/>
    <n v="60"/>
    <x v="1"/>
    <x v="0"/>
    <n v="179.6"/>
  </r>
  <r>
    <x v="18"/>
    <x v="0"/>
    <x v="0"/>
    <n v="1873.09"/>
    <n v="2247.71"/>
    <n v="800"/>
    <x v="1"/>
    <x v="0"/>
    <n v="2247.71"/>
  </r>
  <r>
    <x v="18"/>
    <x v="1"/>
    <x v="0"/>
    <n v="729.17"/>
    <n v="875"/>
    <n v="400"/>
    <x v="1"/>
    <x v="0"/>
    <n v="875"/>
  </r>
  <r>
    <x v="18"/>
    <x v="3"/>
    <x v="0"/>
    <n v="317.54000000000002"/>
    <n v="381.05"/>
    <n v="60"/>
    <x v="1"/>
    <x v="0"/>
    <n v="381.05"/>
  </r>
  <r>
    <x v="19"/>
    <x v="4"/>
    <x v="10"/>
    <n v="12.79"/>
    <n v="15.35"/>
    <n v="60"/>
    <x v="1"/>
    <x v="0"/>
    <n v="15.35"/>
  </r>
  <r>
    <x v="20"/>
    <x v="0"/>
    <x v="0"/>
    <n v="197.11"/>
    <n v="236.53"/>
    <n v="600"/>
    <x v="1"/>
    <x v="0"/>
    <n v="236.53"/>
  </r>
  <r>
    <x v="20"/>
    <x v="5"/>
    <x v="0"/>
    <n v="90.65"/>
    <n v="108.78"/>
    <s v="300/600"/>
    <x v="1"/>
    <x v="0"/>
    <n v="108.78"/>
  </r>
  <r>
    <x v="20"/>
    <x v="1"/>
    <x v="0"/>
    <n v="77.959999999999994"/>
    <n v="93.55"/>
    <n v="300"/>
    <x v="1"/>
    <x v="0"/>
    <n v="93.55"/>
  </r>
  <r>
    <x v="20"/>
    <x v="2"/>
    <x v="0"/>
    <n v="34.28"/>
    <n v="41.14"/>
    <n v="60"/>
    <x v="1"/>
    <x v="0"/>
    <n v="41.14"/>
  </r>
  <r>
    <x v="21"/>
    <x v="0"/>
    <x v="0"/>
    <n v="397.02"/>
    <n v="476.42"/>
    <n v="800"/>
    <x v="1"/>
    <x v="0"/>
    <n v="476.42"/>
  </r>
  <r>
    <x v="21"/>
    <x v="5"/>
    <x v="0"/>
    <n v="197.07"/>
    <n v="236.48"/>
    <s v="400/800"/>
    <x v="1"/>
    <x v="0"/>
    <n v="236.48"/>
  </r>
  <r>
    <x v="21"/>
    <x v="1"/>
    <x v="0"/>
    <n v="169.75"/>
    <n v="203.7"/>
    <n v="400"/>
    <x v="1"/>
    <x v="0"/>
    <n v="203.7"/>
  </r>
  <r>
    <x v="21"/>
    <x v="2"/>
    <x v="0"/>
    <n v="70.83"/>
    <n v="85"/>
    <n v="60"/>
    <x v="1"/>
    <x v="0"/>
    <n v="85"/>
  </r>
  <r>
    <x v="22"/>
    <x v="4"/>
    <x v="10"/>
    <n v="12.79"/>
    <n v="15.35"/>
    <n v="60"/>
    <x v="1"/>
    <x v="0"/>
    <n v="15.35"/>
  </r>
  <r>
    <x v="23"/>
    <x v="0"/>
    <x v="0"/>
    <n v="197.11"/>
    <n v="236.53"/>
    <n v="600"/>
    <x v="1"/>
    <x v="0"/>
    <n v="236.53"/>
  </r>
  <r>
    <x v="23"/>
    <x v="5"/>
    <x v="0"/>
    <n v="90.65"/>
    <n v="108.78"/>
    <s v="300/600"/>
    <x v="1"/>
    <x v="0"/>
    <n v="108.78"/>
  </r>
  <r>
    <x v="23"/>
    <x v="1"/>
    <x v="0"/>
    <n v="77.959999999999994"/>
    <n v="93.55"/>
    <n v="300"/>
    <x v="1"/>
    <x v="0"/>
    <n v="93.55"/>
  </r>
  <r>
    <x v="23"/>
    <x v="2"/>
    <x v="0"/>
    <n v="34.28"/>
    <n v="41.14"/>
    <n v="60"/>
    <x v="1"/>
    <x v="0"/>
    <n v="41.14"/>
  </r>
  <r>
    <x v="24"/>
    <x v="0"/>
    <x v="0"/>
    <n v="397.02"/>
    <n v="476.42"/>
    <n v="800"/>
    <x v="1"/>
    <x v="0"/>
    <n v="476.42"/>
  </r>
  <r>
    <x v="24"/>
    <x v="5"/>
    <x v="0"/>
    <n v="197.07"/>
    <n v="236.48"/>
    <s v="400/800"/>
    <x v="1"/>
    <x v="0"/>
    <n v="236.48"/>
  </r>
  <r>
    <x v="24"/>
    <x v="1"/>
    <x v="0"/>
    <n v="169.75"/>
    <n v="203.7"/>
    <n v="400"/>
    <x v="1"/>
    <x v="0"/>
    <n v="203.7"/>
  </r>
  <r>
    <x v="24"/>
    <x v="2"/>
    <x v="0"/>
    <n v="70.83"/>
    <n v="85"/>
    <n v="60"/>
    <x v="1"/>
    <x v="0"/>
    <n v="85"/>
  </r>
  <r>
    <x v="25"/>
    <x v="4"/>
    <x v="10"/>
    <n v="12.79"/>
    <n v="15.35"/>
    <n v="60"/>
    <x v="1"/>
    <x v="0"/>
    <n v="15.35"/>
  </r>
  <r>
    <x v="0"/>
    <x v="0"/>
    <x v="0"/>
    <n v="202.5"/>
    <n v="243"/>
    <n v="800"/>
    <x v="2"/>
    <x v="0"/>
    <n v="243"/>
  </r>
  <r>
    <x v="0"/>
    <x v="0"/>
    <x v="1"/>
    <n v="168.84"/>
    <n v="202.61"/>
    <n v="800"/>
    <x v="2"/>
    <x v="0"/>
    <n v="405.22"/>
  </r>
  <r>
    <x v="0"/>
    <x v="0"/>
    <x v="2"/>
    <n v="132.02000000000001"/>
    <n v="158.41999999999999"/>
    <n v="800"/>
    <x v="2"/>
    <x v="0"/>
    <n v="475.27"/>
  </r>
  <r>
    <x v="0"/>
    <x v="0"/>
    <x v="3"/>
    <n v="114.65"/>
    <n v="137.58000000000001"/>
    <n v="800"/>
    <x v="2"/>
    <x v="0"/>
    <n v="550.32000000000005"/>
  </r>
  <r>
    <x v="0"/>
    <x v="0"/>
    <x v="4"/>
    <n v="99.2"/>
    <n v="119.04"/>
    <n v="800"/>
    <x v="2"/>
    <x v="0"/>
    <n v="595.20000000000005"/>
  </r>
  <r>
    <x v="0"/>
    <x v="1"/>
    <x v="0"/>
    <n v="120.03"/>
    <n v="144.04"/>
    <n v="400"/>
    <x v="2"/>
    <x v="0"/>
    <n v="144.04"/>
  </r>
  <r>
    <x v="0"/>
    <x v="1"/>
    <x v="1"/>
    <n v="99.91"/>
    <n v="119.89"/>
    <n v="400"/>
    <x v="2"/>
    <x v="0"/>
    <n v="239.78"/>
  </r>
  <r>
    <x v="0"/>
    <x v="1"/>
    <x v="2"/>
    <n v="77.900000000000006"/>
    <n v="93.48"/>
    <n v="400"/>
    <x v="2"/>
    <x v="0"/>
    <n v="280.44"/>
  </r>
  <r>
    <x v="0"/>
    <x v="1"/>
    <x v="3"/>
    <n v="67.5"/>
    <n v="81"/>
    <n v="400"/>
    <x v="2"/>
    <x v="0"/>
    <n v="324"/>
  </r>
  <r>
    <x v="0"/>
    <x v="1"/>
    <x v="4"/>
    <n v="58.26"/>
    <n v="69.91"/>
    <n v="400"/>
    <x v="2"/>
    <x v="0"/>
    <n v="349.56"/>
  </r>
  <r>
    <x v="0"/>
    <x v="2"/>
    <x v="0"/>
    <n v="31.28"/>
    <n v="37.54"/>
    <n v="60"/>
    <x v="2"/>
    <x v="0"/>
    <n v="37.54"/>
  </r>
  <r>
    <x v="0"/>
    <x v="2"/>
    <x v="1"/>
    <n v="28.75"/>
    <n v="34.5"/>
    <n v="60"/>
    <x v="2"/>
    <x v="0"/>
    <n v="69"/>
  </r>
  <r>
    <x v="0"/>
    <x v="2"/>
    <x v="2"/>
    <n v="28.56"/>
    <n v="34.270000000000003"/>
    <n v="60"/>
    <x v="2"/>
    <x v="0"/>
    <n v="102.82"/>
  </r>
  <r>
    <x v="1"/>
    <x v="0"/>
    <x v="0"/>
    <n v="250.04"/>
    <n v="300.05"/>
    <n v="800"/>
    <x v="2"/>
    <x v="0"/>
    <n v="300.05"/>
  </r>
  <r>
    <x v="1"/>
    <x v="0"/>
    <x v="1"/>
    <n v="208.54"/>
    <n v="250.25"/>
    <n v="800"/>
    <x v="2"/>
    <x v="0"/>
    <n v="500.5"/>
  </r>
  <r>
    <x v="1"/>
    <x v="0"/>
    <x v="2"/>
    <n v="163.03"/>
    <n v="195.64"/>
    <n v="800"/>
    <x v="2"/>
    <x v="0"/>
    <n v="586.91"/>
  </r>
  <r>
    <x v="1"/>
    <x v="0"/>
    <x v="3"/>
    <n v="141.55000000000001"/>
    <n v="169.86"/>
    <n v="800"/>
    <x v="2"/>
    <x v="0"/>
    <n v="679.44"/>
  </r>
  <r>
    <x v="1"/>
    <x v="0"/>
    <x v="4"/>
    <n v="122.45"/>
    <n v="146.94"/>
    <n v="800"/>
    <x v="2"/>
    <x v="0"/>
    <n v="734.7"/>
  </r>
  <r>
    <x v="1"/>
    <x v="0"/>
    <x v="5"/>
    <n v="121.75"/>
    <n v="146.1"/>
    <n v="800"/>
    <x v="2"/>
    <x v="0"/>
    <n v="876.6"/>
  </r>
  <r>
    <x v="1"/>
    <x v="0"/>
    <x v="6"/>
    <n v="118.72"/>
    <n v="142.46"/>
    <n v="800"/>
    <x v="2"/>
    <x v="0"/>
    <n v="997.25"/>
  </r>
  <r>
    <x v="1"/>
    <x v="0"/>
    <x v="7"/>
    <n v="115.73"/>
    <n v="138.88"/>
    <n v="800"/>
    <x v="2"/>
    <x v="0"/>
    <n v="1111.01"/>
  </r>
  <r>
    <x v="1"/>
    <x v="0"/>
    <x v="8"/>
    <n v="112.84"/>
    <n v="135.41"/>
    <n v="800"/>
    <x v="2"/>
    <x v="0"/>
    <n v="1218.67"/>
  </r>
  <r>
    <x v="1"/>
    <x v="0"/>
    <x v="9"/>
    <n v="110.02"/>
    <n v="132.02000000000001"/>
    <n v="800"/>
    <x v="2"/>
    <x v="0"/>
    <n v="1320.24"/>
  </r>
  <r>
    <x v="1"/>
    <x v="1"/>
    <x v="0"/>
    <n v="137.86000000000001"/>
    <n v="165.43"/>
    <n v="400"/>
    <x v="2"/>
    <x v="0"/>
    <n v="165.43"/>
  </r>
  <r>
    <x v="1"/>
    <x v="1"/>
    <x v="1"/>
    <n v="114.66"/>
    <n v="137.59"/>
    <n v="400"/>
    <x v="2"/>
    <x v="0"/>
    <n v="275.18"/>
  </r>
  <r>
    <x v="1"/>
    <x v="1"/>
    <x v="2"/>
    <n v="89.42"/>
    <n v="107.3"/>
    <n v="400"/>
    <x v="2"/>
    <x v="0"/>
    <n v="321.91000000000003"/>
  </r>
  <r>
    <x v="1"/>
    <x v="1"/>
    <x v="3"/>
    <n v="77.45"/>
    <n v="92.94"/>
    <n v="400"/>
    <x v="2"/>
    <x v="0"/>
    <n v="371.76"/>
  </r>
  <r>
    <x v="1"/>
    <x v="1"/>
    <x v="4"/>
    <n v="66.819999999999993"/>
    <n v="80.180000000000007"/>
    <n v="400"/>
    <x v="2"/>
    <x v="0"/>
    <n v="400.92"/>
  </r>
  <r>
    <x v="1"/>
    <x v="1"/>
    <x v="5"/>
    <n v="66.45"/>
    <n v="79.739999999999995"/>
    <n v="400"/>
    <x v="2"/>
    <x v="0"/>
    <n v="478.44"/>
  </r>
  <r>
    <x v="1"/>
    <x v="1"/>
    <x v="6"/>
    <n v="64.790000000000006"/>
    <n v="77.75"/>
    <n v="400"/>
    <x v="2"/>
    <x v="0"/>
    <n v="544.24"/>
  </r>
  <r>
    <x v="1"/>
    <x v="1"/>
    <x v="7"/>
    <n v="63.18"/>
    <n v="75.819999999999993"/>
    <n v="400"/>
    <x v="2"/>
    <x v="0"/>
    <n v="606.53"/>
  </r>
  <r>
    <x v="1"/>
    <x v="1"/>
    <x v="8"/>
    <n v="61.59"/>
    <n v="73.91"/>
    <n v="400"/>
    <x v="2"/>
    <x v="0"/>
    <n v="665.17"/>
  </r>
  <r>
    <x v="1"/>
    <x v="1"/>
    <x v="9"/>
    <n v="60.07"/>
    <n v="72.08"/>
    <n v="400"/>
    <x v="2"/>
    <x v="0"/>
    <n v="720.84"/>
  </r>
  <r>
    <x v="1"/>
    <x v="3"/>
    <x v="0"/>
    <n v="36.159999999999997"/>
    <n v="43.39"/>
    <n v="60"/>
    <x v="2"/>
    <x v="0"/>
    <n v="43.39"/>
  </r>
  <r>
    <x v="1"/>
    <x v="3"/>
    <x v="1"/>
    <n v="33.21"/>
    <n v="39.85"/>
    <n v="60"/>
    <x v="2"/>
    <x v="0"/>
    <n v="79.7"/>
  </r>
  <r>
    <x v="1"/>
    <x v="3"/>
    <x v="2"/>
    <n v="33.020000000000003"/>
    <n v="39.619999999999997"/>
    <n v="60"/>
    <x v="2"/>
    <x v="0"/>
    <n v="118.87"/>
  </r>
  <r>
    <x v="1"/>
    <x v="3"/>
    <x v="3"/>
    <n v="32.869999999999997"/>
    <n v="39.44"/>
    <n v="60"/>
    <x v="2"/>
    <x v="0"/>
    <n v="157.78"/>
  </r>
  <r>
    <x v="1"/>
    <x v="3"/>
    <x v="4"/>
    <n v="32.65"/>
    <n v="39.18"/>
    <n v="60"/>
    <x v="2"/>
    <x v="0"/>
    <n v="195.9"/>
  </r>
  <r>
    <x v="2"/>
    <x v="0"/>
    <x v="0"/>
    <n v="577.54"/>
    <n v="693.05"/>
    <n v="800"/>
    <x v="2"/>
    <x v="0"/>
    <n v="693.05"/>
  </r>
  <r>
    <x v="2"/>
    <x v="0"/>
    <x v="1"/>
    <n v="481.69"/>
    <n v="578.03"/>
    <n v="800"/>
    <x v="2"/>
    <x v="0"/>
    <n v="1156.06"/>
  </r>
  <r>
    <x v="2"/>
    <x v="0"/>
    <x v="2"/>
    <n v="376.5"/>
    <n v="451.8"/>
    <n v="800"/>
    <x v="2"/>
    <x v="0"/>
    <n v="1355.4"/>
  </r>
  <r>
    <x v="2"/>
    <x v="0"/>
    <x v="3"/>
    <n v="327.06"/>
    <n v="392.47"/>
    <n v="800"/>
    <x v="2"/>
    <x v="0"/>
    <n v="1569.89"/>
  </r>
  <r>
    <x v="2"/>
    <x v="0"/>
    <x v="4"/>
    <n v="282.85000000000002"/>
    <n v="339.42"/>
    <n v="800"/>
    <x v="2"/>
    <x v="0"/>
    <n v="1697.1"/>
  </r>
  <r>
    <x v="2"/>
    <x v="0"/>
    <x v="5"/>
    <n v="250.56"/>
    <n v="300.67"/>
    <n v="800"/>
    <x v="2"/>
    <x v="0"/>
    <n v="1804.03"/>
  </r>
  <r>
    <x v="2"/>
    <x v="0"/>
    <x v="6"/>
    <n v="221.39"/>
    <n v="265.67"/>
    <n v="800"/>
    <x v="2"/>
    <x v="0"/>
    <n v="1859.68"/>
  </r>
  <r>
    <x v="2"/>
    <x v="0"/>
    <x v="7"/>
    <n v="198.05"/>
    <n v="237.66"/>
    <n v="800"/>
    <x v="2"/>
    <x v="0"/>
    <n v="1901.28"/>
  </r>
  <r>
    <x v="2"/>
    <x v="0"/>
    <x v="8"/>
    <n v="180.33"/>
    <n v="216.4"/>
    <n v="800"/>
    <x v="2"/>
    <x v="0"/>
    <n v="1947.56"/>
  </r>
  <r>
    <x v="2"/>
    <x v="0"/>
    <x v="9"/>
    <n v="168.48"/>
    <n v="202.18"/>
    <n v="800"/>
    <x v="2"/>
    <x v="0"/>
    <n v="2021.76"/>
  </r>
  <r>
    <x v="2"/>
    <x v="1"/>
    <x v="0"/>
    <n v="272.77"/>
    <n v="327.32"/>
    <n v="400"/>
    <x v="2"/>
    <x v="0"/>
    <n v="327.32"/>
  </r>
  <r>
    <x v="2"/>
    <x v="1"/>
    <x v="1"/>
    <n v="226.89"/>
    <n v="272.27"/>
    <n v="400"/>
    <x v="2"/>
    <x v="0"/>
    <n v="544.54"/>
  </r>
  <r>
    <x v="2"/>
    <x v="1"/>
    <x v="2"/>
    <n v="176.97"/>
    <n v="212.36"/>
    <n v="400"/>
    <x v="2"/>
    <x v="0"/>
    <n v="637.09"/>
  </r>
  <r>
    <x v="2"/>
    <x v="1"/>
    <x v="3"/>
    <n v="153.38"/>
    <n v="184.06"/>
    <n v="400"/>
    <x v="2"/>
    <x v="0"/>
    <n v="736.22"/>
  </r>
  <r>
    <x v="2"/>
    <x v="1"/>
    <x v="4"/>
    <n v="132.35"/>
    <n v="158.82"/>
    <n v="400"/>
    <x v="2"/>
    <x v="0"/>
    <n v="794.1"/>
  </r>
  <r>
    <x v="2"/>
    <x v="1"/>
    <x v="5"/>
    <n v="116.92"/>
    <n v="140.30000000000001"/>
    <n v="400"/>
    <x v="2"/>
    <x v="0"/>
    <n v="841.82"/>
  </r>
  <r>
    <x v="2"/>
    <x v="1"/>
    <x v="6"/>
    <n v="103.03"/>
    <n v="123.64"/>
    <n v="400"/>
    <x v="2"/>
    <x v="0"/>
    <n v="865.45"/>
  </r>
  <r>
    <x v="2"/>
    <x v="1"/>
    <x v="7"/>
    <n v="91.98"/>
    <n v="110.38"/>
    <n v="400"/>
    <x v="2"/>
    <x v="0"/>
    <n v="883.01"/>
  </r>
  <r>
    <x v="2"/>
    <x v="1"/>
    <x v="8"/>
    <n v="83.51"/>
    <n v="100.21"/>
    <n v="400"/>
    <x v="2"/>
    <x v="0"/>
    <n v="901.91"/>
  </r>
  <r>
    <x v="2"/>
    <x v="1"/>
    <x v="9"/>
    <n v="77.8"/>
    <n v="93.36"/>
    <n v="400"/>
    <x v="2"/>
    <x v="0"/>
    <n v="933.6"/>
  </r>
  <r>
    <x v="2"/>
    <x v="3"/>
    <x v="0"/>
    <n v="47.01"/>
    <n v="56.41"/>
    <n v="60"/>
    <x v="2"/>
    <x v="0"/>
    <n v="56.41"/>
  </r>
  <r>
    <x v="2"/>
    <x v="3"/>
    <x v="1"/>
    <n v="43.16"/>
    <n v="51.79"/>
    <n v="60"/>
    <x v="2"/>
    <x v="0"/>
    <n v="103.58"/>
  </r>
  <r>
    <x v="2"/>
    <x v="3"/>
    <x v="2"/>
    <n v="39.64"/>
    <n v="47.57"/>
    <n v="60"/>
    <x v="2"/>
    <x v="0"/>
    <n v="142.69999999999999"/>
  </r>
  <r>
    <x v="2"/>
    <x v="3"/>
    <x v="3"/>
    <n v="36.33"/>
    <n v="43.6"/>
    <n v="60"/>
    <x v="2"/>
    <x v="0"/>
    <n v="174.38"/>
  </r>
  <r>
    <x v="2"/>
    <x v="3"/>
    <x v="4"/>
    <n v="33.35"/>
    <n v="40.020000000000003"/>
    <n v="60"/>
    <x v="2"/>
    <x v="0"/>
    <n v="200.1"/>
  </r>
  <r>
    <x v="2"/>
    <x v="3"/>
    <x v="5"/>
    <n v="30.63"/>
    <n v="36.76"/>
    <n v="60"/>
    <x v="2"/>
    <x v="0"/>
    <n v="220.54"/>
  </r>
  <r>
    <x v="2"/>
    <x v="3"/>
    <x v="6"/>
    <n v="27.56"/>
    <n v="33.07"/>
    <n v="60"/>
    <x v="2"/>
    <x v="0"/>
    <n v="231.5"/>
  </r>
  <r>
    <x v="2"/>
    <x v="3"/>
    <x v="7"/>
    <n v="24.78"/>
    <n v="29.74"/>
    <n v="60"/>
    <x v="2"/>
    <x v="0"/>
    <n v="237.89"/>
  </r>
  <r>
    <x v="2"/>
    <x v="3"/>
    <x v="8"/>
    <n v="22.34"/>
    <n v="26.81"/>
    <n v="60"/>
    <x v="2"/>
    <x v="0"/>
    <n v="241.27"/>
  </r>
  <r>
    <x v="2"/>
    <x v="3"/>
    <x v="9"/>
    <n v="20.350000000000001"/>
    <n v="24.42"/>
    <n v="60"/>
    <x v="2"/>
    <x v="0"/>
    <n v="244.2"/>
  </r>
  <r>
    <x v="3"/>
    <x v="0"/>
    <x v="0"/>
    <n v="730.84"/>
    <n v="877.01"/>
    <n v="800"/>
    <x v="2"/>
    <x v="0"/>
    <n v="877.01"/>
  </r>
  <r>
    <x v="3"/>
    <x v="0"/>
    <x v="1"/>
    <n v="647.52"/>
    <n v="777.02"/>
    <n v="800"/>
    <x v="2"/>
    <x v="0"/>
    <n v="1554.05"/>
  </r>
  <r>
    <x v="3"/>
    <x v="0"/>
    <x v="2"/>
    <n v="573.70000000000005"/>
    <n v="688.44"/>
    <n v="800"/>
    <x v="2"/>
    <x v="0"/>
    <n v="2065.3200000000002"/>
  </r>
  <r>
    <x v="3"/>
    <x v="0"/>
    <x v="3"/>
    <n v="508.26"/>
    <n v="609.91"/>
    <n v="800"/>
    <x v="2"/>
    <x v="0"/>
    <n v="2439.65"/>
  </r>
  <r>
    <x v="3"/>
    <x v="0"/>
    <x v="4"/>
    <n v="450.22"/>
    <n v="540.26"/>
    <n v="800"/>
    <x v="2"/>
    <x v="0"/>
    <n v="2701.32"/>
  </r>
  <r>
    <x v="3"/>
    <x v="0"/>
    <x v="5"/>
    <n v="398.69"/>
    <n v="478.43"/>
    <n v="800"/>
    <x v="2"/>
    <x v="0"/>
    <n v="2870.57"/>
  </r>
  <r>
    <x v="3"/>
    <x v="0"/>
    <x v="6"/>
    <n v="352.45"/>
    <n v="422.94"/>
    <n v="800"/>
    <x v="2"/>
    <x v="0"/>
    <n v="2960.58"/>
  </r>
  <r>
    <x v="3"/>
    <x v="0"/>
    <x v="7"/>
    <n v="315.33"/>
    <n v="378.4"/>
    <n v="800"/>
    <x v="2"/>
    <x v="0"/>
    <n v="3027.17"/>
  </r>
  <r>
    <x v="3"/>
    <x v="0"/>
    <x v="8"/>
    <n v="286.88"/>
    <n v="344.26"/>
    <n v="800"/>
    <x v="2"/>
    <x v="0"/>
    <n v="3098.3"/>
  </r>
  <r>
    <x v="3"/>
    <x v="0"/>
    <x v="9"/>
    <n v="267.95999999999998"/>
    <n v="321.55"/>
    <n v="800"/>
    <x v="2"/>
    <x v="0"/>
    <n v="3215.52"/>
  </r>
  <r>
    <x v="3"/>
    <x v="1"/>
    <x v="0"/>
    <n v="449.83"/>
    <n v="539.79999999999995"/>
    <n v="400"/>
    <x v="2"/>
    <x v="0"/>
    <n v="539.79999999999995"/>
  </r>
  <r>
    <x v="3"/>
    <x v="1"/>
    <x v="1"/>
    <n v="397.65"/>
    <n v="477.18"/>
    <n v="400"/>
    <x v="2"/>
    <x v="0"/>
    <n v="954.36"/>
  </r>
  <r>
    <x v="3"/>
    <x v="1"/>
    <x v="2"/>
    <n v="351.46"/>
    <n v="421.75"/>
    <n v="400"/>
    <x v="2"/>
    <x v="0"/>
    <n v="1265.26"/>
  </r>
  <r>
    <x v="3"/>
    <x v="1"/>
    <x v="3"/>
    <n v="310.61"/>
    <n v="372.73"/>
    <n v="400"/>
    <x v="2"/>
    <x v="0"/>
    <n v="1490.93"/>
  </r>
  <r>
    <x v="3"/>
    <x v="1"/>
    <x v="4"/>
    <n v="274.45"/>
    <n v="329.34"/>
    <n v="400"/>
    <x v="2"/>
    <x v="0"/>
    <n v="1646.7"/>
  </r>
  <r>
    <x v="3"/>
    <x v="1"/>
    <x v="5"/>
    <n v="242.49"/>
    <n v="290.99"/>
    <n v="400"/>
    <x v="2"/>
    <x v="0"/>
    <n v="1745.93"/>
  </r>
  <r>
    <x v="3"/>
    <x v="1"/>
    <x v="6"/>
    <n v="213.8"/>
    <n v="256.56"/>
    <n v="400"/>
    <x v="2"/>
    <x v="0"/>
    <n v="1795.92"/>
  </r>
  <r>
    <x v="3"/>
    <x v="1"/>
    <x v="7"/>
    <n v="190.81"/>
    <n v="228.97"/>
    <n v="400"/>
    <x v="2"/>
    <x v="0"/>
    <n v="1831.78"/>
  </r>
  <r>
    <x v="3"/>
    <x v="1"/>
    <x v="8"/>
    <n v="173.23"/>
    <n v="207.88"/>
    <n v="400"/>
    <x v="2"/>
    <x v="0"/>
    <n v="1870.88"/>
  </r>
  <r>
    <x v="3"/>
    <x v="1"/>
    <x v="9"/>
    <n v="161.4"/>
    <n v="193.68"/>
    <n v="400"/>
    <x v="2"/>
    <x v="0"/>
    <n v="1936.8"/>
  </r>
  <r>
    <x v="3"/>
    <x v="3"/>
    <x v="0"/>
    <n v="54.73"/>
    <n v="65.680000000000007"/>
    <n v="60"/>
    <x v="2"/>
    <x v="0"/>
    <n v="65.680000000000007"/>
  </r>
  <r>
    <x v="3"/>
    <x v="3"/>
    <x v="1"/>
    <n v="50.23"/>
    <n v="60.28"/>
    <n v="60"/>
    <x v="2"/>
    <x v="0"/>
    <n v="120.55"/>
  </r>
  <r>
    <x v="3"/>
    <x v="3"/>
    <x v="2"/>
    <n v="46.07"/>
    <n v="55.28"/>
    <n v="60"/>
    <x v="2"/>
    <x v="0"/>
    <n v="165.85"/>
  </r>
  <r>
    <x v="3"/>
    <x v="3"/>
    <x v="3"/>
    <n v="42.33"/>
    <n v="50.8"/>
    <n v="60"/>
    <x v="2"/>
    <x v="0"/>
    <n v="203.18"/>
  </r>
  <r>
    <x v="3"/>
    <x v="3"/>
    <x v="4"/>
    <n v="38.83"/>
    <n v="46.6"/>
    <n v="60"/>
    <x v="2"/>
    <x v="0"/>
    <n v="232.98"/>
  </r>
  <r>
    <x v="3"/>
    <x v="3"/>
    <x v="5"/>
    <n v="35.65"/>
    <n v="42.78"/>
    <n v="60"/>
    <x v="2"/>
    <x v="0"/>
    <n v="256.68"/>
  </r>
  <r>
    <x v="3"/>
    <x v="3"/>
    <x v="6"/>
    <n v="32.1"/>
    <n v="38.520000000000003"/>
    <n v="60"/>
    <x v="2"/>
    <x v="0"/>
    <n v="269.64"/>
  </r>
  <r>
    <x v="3"/>
    <x v="3"/>
    <x v="7"/>
    <n v="28.88"/>
    <n v="34.659999999999997"/>
    <n v="60"/>
    <x v="2"/>
    <x v="0"/>
    <n v="277.25"/>
  </r>
  <r>
    <x v="3"/>
    <x v="3"/>
    <x v="8"/>
    <n v="25.99"/>
    <n v="31.19"/>
    <n v="60"/>
    <x v="2"/>
    <x v="0"/>
    <n v="280.69"/>
  </r>
  <r>
    <x v="3"/>
    <x v="3"/>
    <x v="9"/>
    <n v="23.65"/>
    <n v="28.38"/>
    <n v="60"/>
    <x v="2"/>
    <x v="0"/>
    <n v="283.8"/>
  </r>
  <r>
    <x v="4"/>
    <x v="4"/>
    <x v="10"/>
    <n v="13.4"/>
    <n v="16.079999999999998"/>
    <n v="60"/>
    <x v="2"/>
    <x v="0"/>
    <n v="16.079999999999998"/>
  </r>
  <r>
    <x v="5"/>
    <x v="0"/>
    <x v="0"/>
    <n v="400.2"/>
    <n v="480.24"/>
    <n v="800"/>
    <x v="2"/>
    <x v="0"/>
    <n v="480.24"/>
  </r>
  <r>
    <x v="6"/>
    <x v="0"/>
    <x v="0"/>
    <n v="509.28"/>
    <n v="611.14"/>
    <n v="800"/>
    <x v="2"/>
    <x v="0"/>
    <n v="611.14"/>
  </r>
  <r>
    <x v="6"/>
    <x v="1"/>
    <x v="0"/>
    <n v="200.41"/>
    <n v="240.49"/>
    <n v="400"/>
    <x v="2"/>
    <x v="0"/>
    <n v="240.49"/>
  </r>
  <r>
    <x v="6"/>
    <x v="3"/>
    <x v="0"/>
    <n v="83.97"/>
    <n v="100.76"/>
    <n v="60"/>
    <x v="2"/>
    <x v="0"/>
    <n v="100.76"/>
  </r>
  <r>
    <x v="7"/>
    <x v="0"/>
    <x v="0"/>
    <n v="933.92"/>
    <n v="1120.7"/>
    <n v="800"/>
    <x v="2"/>
    <x v="0"/>
    <n v="1120.7"/>
  </r>
  <r>
    <x v="7"/>
    <x v="1"/>
    <x v="0"/>
    <n v="358.62"/>
    <n v="430.34"/>
    <n v="400"/>
    <x v="2"/>
    <x v="0"/>
    <n v="430.34"/>
  </r>
  <r>
    <x v="7"/>
    <x v="3"/>
    <x v="0"/>
    <n v="150.12"/>
    <n v="180.14"/>
    <n v="60"/>
    <x v="2"/>
    <x v="0"/>
    <n v="180.14"/>
  </r>
  <r>
    <x v="8"/>
    <x v="0"/>
    <x v="0"/>
    <n v="1895.57"/>
    <n v="2274.6799999999998"/>
    <n v="800"/>
    <x v="2"/>
    <x v="0"/>
    <n v="2274.6799999999998"/>
  </r>
  <r>
    <x v="8"/>
    <x v="1"/>
    <x v="0"/>
    <n v="735"/>
    <n v="882"/>
    <n v="400"/>
    <x v="2"/>
    <x v="0"/>
    <n v="882"/>
  </r>
  <r>
    <x v="8"/>
    <x v="3"/>
    <x v="0"/>
    <n v="318.81"/>
    <n v="382.57"/>
    <n v="60"/>
    <x v="2"/>
    <x v="0"/>
    <n v="382.57"/>
  </r>
  <r>
    <x v="9"/>
    <x v="4"/>
    <x v="10"/>
    <n v="13.01"/>
    <n v="15.61"/>
    <n v="60"/>
    <x v="2"/>
    <x v="0"/>
    <n v="15.61"/>
  </r>
  <r>
    <x v="10"/>
    <x v="0"/>
    <x v="0"/>
    <n v="202.5"/>
    <n v="243"/>
    <n v="800"/>
    <x v="2"/>
    <x v="0"/>
    <n v="243"/>
  </r>
  <r>
    <x v="10"/>
    <x v="0"/>
    <x v="1"/>
    <n v="168.84"/>
    <n v="202.61"/>
    <n v="800"/>
    <x v="2"/>
    <x v="0"/>
    <n v="405.22"/>
  </r>
  <r>
    <x v="10"/>
    <x v="0"/>
    <x v="2"/>
    <n v="132.02000000000001"/>
    <n v="158.41999999999999"/>
    <n v="800"/>
    <x v="2"/>
    <x v="0"/>
    <n v="475.27"/>
  </r>
  <r>
    <x v="10"/>
    <x v="0"/>
    <x v="3"/>
    <n v="114.65"/>
    <n v="137.58000000000001"/>
    <n v="800"/>
    <x v="2"/>
    <x v="0"/>
    <n v="550.32000000000005"/>
  </r>
  <r>
    <x v="10"/>
    <x v="0"/>
    <x v="4"/>
    <n v="99.2"/>
    <n v="119.04"/>
    <n v="800"/>
    <x v="2"/>
    <x v="0"/>
    <n v="595.20000000000005"/>
  </r>
  <r>
    <x v="10"/>
    <x v="1"/>
    <x v="0"/>
    <n v="120.03"/>
    <n v="144.04"/>
    <n v="400"/>
    <x v="2"/>
    <x v="0"/>
    <n v="144.04"/>
  </r>
  <r>
    <x v="10"/>
    <x v="1"/>
    <x v="1"/>
    <n v="99.91"/>
    <n v="119.89"/>
    <n v="400"/>
    <x v="2"/>
    <x v="0"/>
    <n v="239.78"/>
  </r>
  <r>
    <x v="10"/>
    <x v="1"/>
    <x v="2"/>
    <n v="77.900000000000006"/>
    <n v="93.48"/>
    <n v="400"/>
    <x v="2"/>
    <x v="0"/>
    <n v="280.44"/>
  </r>
  <r>
    <x v="10"/>
    <x v="1"/>
    <x v="3"/>
    <n v="67.5"/>
    <n v="81"/>
    <n v="400"/>
    <x v="2"/>
    <x v="0"/>
    <n v="324"/>
  </r>
  <r>
    <x v="10"/>
    <x v="1"/>
    <x v="4"/>
    <n v="58.26"/>
    <n v="69.91"/>
    <n v="400"/>
    <x v="2"/>
    <x v="0"/>
    <n v="349.56"/>
  </r>
  <r>
    <x v="10"/>
    <x v="2"/>
    <x v="0"/>
    <n v="31.28"/>
    <n v="37.54"/>
    <n v="60"/>
    <x v="2"/>
    <x v="0"/>
    <n v="37.54"/>
  </r>
  <r>
    <x v="10"/>
    <x v="2"/>
    <x v="1"/>
    <n v="28.75"/>
    <n v="34.5"/>
    <n v="60"/>
    <x v="2"/>
    <x v="0"/>
    <n v="69"/>
  </r>
  <r>
    <x v="10"/>
    <x v="2"/>
    <x v="2"/>
    <n v="28.56"/>
    <n v="34.270000000000003"/>
    <n v="60"/>
    <x v="2"/>
    <x v="0"/>
    <n v="102.82"/>
  </r>
  <r>
    <x v="11"/>
    <x v="0"/>
    <x v="0"/>
    <n v="250.04"/>
    <n v="300.05"/>
    <n v="800"/>
    <x v="2"/>
    <x v="0"/>
    <n v="300.05"/>
  </r>
  <r>
    <x v="11"/>
    <x v="0"/>
    <x v="1"/>
    <n v="208.54"/>
    <n v="250.25"/>
    <n v="800"/>
    <x v="2"/>
    <x v="0"/>
    <n v="500.5"/>
  </r>
  <r>
    <x v="11"/>
    <x v="0"/>
    <x v="2"/>
    <n v="163.03"/>
    <n v="195.64"/>
    <n v="800"/>
    <x v="2"/>
    <x v="0"/>
    <n v="586.91"/>
  </r>
  <r>
    <x v="11"/>
    <x v="0"/>
    <x v="3"/>
    <n v="141.55000000000001"/>
    <n v="169.86"/>
    <n v="800"/>
    <x v="2"/>
    <x v="0"/>
    <n v="679.44"/>
  </r>
  <r>
    <x v="11"/>
    <x v="0"/>
    <x v="4"/>
    <n v="122.45"/>
    <n v="146.94"/>
    <n v="800"/>
    <x v="2"/>
    <x v="0"/>
    <n v="734.7"/>
  </r>
  <r>
    <x v="11"/>
    <x v="0"/>
    <x v="5"/>
    <n v="121.75"/>
    <n v="146.1"/>
    <n v="800"/>
    <x v="2"/>
    <x v="0"/>
    <n v="876.6"/>
  </r>
  <r>
    <x v="11"/>
    <x v="0"/>
    <x v="6"/>
    <n v="118.72"/>
    <n v="142.46"/>
    <n v="800"/>
    <x v="2"/>
    <x v="0"/>
    <n v="997.25"/>
  </r>
  <r>
    <x v="11"/>
    <x v="0"/>
    <x v="7"/>
    <n v="115.73"/>
    <n v="138.88"/>
    <n v="800"/>
    <x v="2"/>
    <x v="0"/>
    <n v="1111.01"/>
  </r>
  <r>
    <x v="11"/>
    <x v="0"/>
    <x v="8"/>
    <n v="112.84"/>
    <n v="135.41"/>
    <n v="800"/>
    <x v="2"/>
    <x v="0"/>
    <n v="1218.67"/>
  </r>
  <r>
    <x v="11"/>
    <x v="0"/>
    <x v="9"/>
    <n v="110.02"/>
    <n v="132.02000000000001"/>
    <n v="800"/>
    <x v="2"/>
    <x v="0"/>
    <n v="1320.24"/>
  </r>
  <r>
    <x v="11"/>
    <x v="1"/>
    <x v="0"/>
    <n v="137.86000000000001"/>
    <n v="165.43"/>
    <n v="400"/>
    <x v="2"/>
    <x v="0"/>
    <n v="165.43"/>
  </r>
  <r>
    <x v="11"/>
    <x v="1"/>
    <x v="1"/>
    <n v="114.66"/>
    <n v="137.59"/>
    <n v="400"/>
    <x v="2"/>
    <x v="0"/>
    <n v="275.18"/>
  </r>
  <r>
    <x v="11"/>
    <x v="1"/>
    <x v="2"/>
    <n v="89.42"/>
    <n v="107.3"/>
    <n v="400"/>
    <x v="2"/>
    <x v="0"/>
    <n v="321.91000000000003"/>
  </r>
  <r>
    <x v="11"/>
    <x v="1"/>
    <x v="3"/>
    <n v="77.45"/>
    <n v="92.94"/>
    <n v="400"/>
    <x v="2"/>
    <x v="0"/>
    <n v="371.76"/>
  </r>
  <r>
    <x v="11"/>
    <x v="1"/>
    <x v="4"/>
    <n v="66.819999999999993"/>
    <n v="80.180000000000007"/>
    <n v="400"/>
    <x v="2"/>
    <x v="0"/>
    <n v="400.92"/>
  </r>
  <r>
    <x v="11"/>
    <x v="1"/>
    <x v="5"/>
    <n v="66.45"/>
    <n v="79.739999999999995"/>
    <n v="400"/>
    <x v="2"/>
    <x v="0"/>
    <n v="478.44"/>
  </r>
  <r>
    <x v="11"/>
    <x v="1"/>
    <x v="6"/>
    <n v="64.790000000000006"/>
    <n v="77.75"/>
    <n v="400"/>
    <x v="2"/>
    <x v="0"/>
    <n v="544.24"/>
  </r>
  <r>
    <x v="11"/>
    <x v="1"/>
    <x v="7"/>
    <n v="63.18"/>
    <n v="75.819999999999993"/>
    <n v="400"/>
    <x v="2"/>
    <x v="0"/>
    <n v="606.53"/>
  </r>
  <r>
    <x v="11"/>
    <x v="1"/>
    <x v="8"/>
    <n v="61.59"/>
    <n v="73.91"/>
    <n v="400"/>
    <x v="2"/>
    <x v="0"/>
    <n v="665.17"/>
  </r>
  <r>
    <x v="11"/>
    <x v="1"/>
    <x v="9"/>
    <n v="60.07"/>
    <n v="72.08"/>
    <n v="400"/>
    <x v="2"/>
    <x v="0"/>
    <n v="720.84"/>
  </r>
  <r>
    <x v="11"/>
    <x v="3"/>
    <x v="0"/>
    <n v="36.159999999999997"/>
    <n v="43.39"/>
    <n v="60"/>
    <x v="2"/>
    <x v="0"/>
    <n v="43.39"/>
  </r>
  <r>
    <x v="11"/>
    <x v="3"/>
    <x v="1"/>
    <n v="33.21"/>
    <n v="39.85"/>
    <n v="60"/>
    <x v="2"/>
    <x v="0"/>
    <n v="79.7"/>
  </r>
  <r>
    <x v="11"/>
    <x v="3"/>
    <x v="2"/>
    <n v="33.020000000000003"/>
    <n v="39.619999999999997"/>
    <n v="60"/>
    <x v="2"/>
    <x v="0"/>
    <n v="118.87"/>
  </r>
  <r>
    <x v="11"/>
    <x v="3"/>
    <x v="3"/>
    <n v="32.869999999999997"/>
    <n v="39.44"/>
    <n v="60"/>
    <x v="2"/>
    <x v="0"/>
    <n v="157.78"/>
  </r>
  <r>
    <x v="11"/>
    <x v="3"/>
    <x v="4"/>
    <n v="32.65"/>
    <n v="39.18"/>
    <n v="60"/>
    <x v="2"/>
    <x v="0"/>
    <n v="195.9"/>
  </r>
  <r>
    <x v="12"/>
    <x v="0"/>
    <x v="0"/>
    <n v="577.54"/>
    <n v="693.05"/>
    <n v="800"/>
    <x v="2"/>
    <x v="0"/>
    <n v="693.05"/>
  </r>
  <r>
    <x v="12"/>
    <x v="0"/>
    <x v="1"/>
    <n v="481.69"/>
    <n v="578.03"/>
    <n v="800"/>
    <x v="2"/>
    <x v="0"/>
    <n v="1156.06"/>
  </r>
  <r>
    <x v="12"/>
    <x v="0"/>
    <x v="2"/>
    <n v="376.5"/>
    <n v="451.8"/>
    <n v="800"/>
    <x v="2"/>
    <x v="0"/>
    <n v="1355.4"/>
  </r>
  <r>
    <x v="12"/>
    <x v="0"/>
    <x v="3"/>
    <n v="327.06"/>
    <n v="392.47"/>
    <n v="800"/>
    <x v="2"/>
    <x v="0"/>
    <n v="1569.89"/>
  </r>
  <r>
    <x v="12"/>
    <x v="0"/>
    <x v="4"/>
    <n v="282.85000000000002"/>
    <n v="339.42"/>
    <n v="800"/>
    <x v="2"/>
    <x v="0"/>
    <n v="1697.1"/>
  </r>
  <r>
    <x v="12"/>
    <x v="0"/>
    <x v="5"/>
    <n v="250.56"/>
    <n v="300.67"/>
    <n v="800"/>
    <x v="2"/>
    <x v="0"/>
    <n v="1804.03"/>
  </r>
  <r>
    <x v="12"/>
    <x v="0"/>
    <x v="6"/>
    <n v="221.39"/>
    <n v="265.67"/>
    <n v="800"/>
    <x v="2"/>
    <x v="0"/>
    <n v="1859.68"/>
  </r>
  <r>
    <x v="12"/>
    <x v="0"/>
    <x v="7"/>
    <n v="198.05"/>
    <n v="237.66"/>
    <n v="800"/>
    <x v="2"/>
    <x v="0"/>
    <n v="1901.28"/>
  </r>
  <r>
    <x v="12"/>
    <x v="0"/>
    <x v="8"/>
    <n v="180.33"/>
    <n v="216.4"/>
    <n v="800"/>
    <x v="2"/>
    <x v="0"/>
    <n v="1947.56"/>
  </r>
  <r>
    <x v="12"/>
    <x v="0"/>
    <x v="9"/>
    <n v="168.48"/>
    <n v="202.18"/>
    <n v="800"/>
    <x v="2"/>
    <x v="0"/>
    <n v="2021.76"/>
  </r>
  <r>
    <x v="12"/>
    <x v="1"/>
    <x v="0"/>
    <n v="272.77"/>
    <n v="327.32"/>
    <n v="400"/>
    <x v="2"/>
    <x v="0"/>
    <n v="327.32"/>
  </r>
  <r>
    <x v="12"/>
    <x v="1"/>
    <x v="1"/>
    <n v="226.89"/>
    <n v="272.27"/>
    <n v="400"/>
    <x v="2"/>
    <x v="0"/>
    <n v="544.54"/>
  </r>
  <r>
    <x v="12"/>
    <x v="1"/>
    <x v="2"/>
    <n v="176.97"/>
    <n v="212.36"/>
    <n v="400"/>
    <x v="2"/>
    <x v="0"/>
    <n v="637.09"/>
  </r>
  <r>
    <x v="12"/>
    <x v="1"/>
    <x v="3"/>
    <n v="153.38"/>
    <n v="184.06"/>
    <n v="400"/>
    <x v="2"/>
    <x v="0"/>
    <n v="736.22"/>
  </r>
  <r>
    <x v="12"/>
    <x v="1"/>
    <x v="4"/>
    <n v="132.35"/>
    <n v="158.82"/>
    <n v="400"/>
    <x v="2"/>
    <x v="0"/>
    <n v="794.1"/>
  </r>
  <r>
    <x v="12"/>
    <x v="1"/>
    <x v="5"/>
    <n v="116.92"/>
    <n v="140.30000000000001"/>
    <n v="400"/>
    <x v="2"/>
    <x v="0"/>
    <n v="841.82"/>
  </r>
  <r>
    <x v="12"/>
    <x v="1"/>
    <x v="6"/>
    <n v="103.03"/>
    <n v="123.64"/>
    <n v="400"/>
    <x v="2"/>
    <x v="0"/>
    <n v="865.45"/>
  </r>
  <r>
    <x v="12"/>
    <x v="1"/>
    <x v="7"/>
    <n v="91.98"/>
    <n v="110.38"/>
    <n v="400"/>
    <x v="2"/>
    <x v="0"/>
    <n v="883.01"/>
  </r>
  <r>
    <x v="12"/>
    <x v="1"/>
    <x v="8"/>
    <n v="83.51"/>
    <n v="100.21"/>
    <n v="400"/>
    <x v="2"/>
    <x v="0"/>
    <n v="901.91"/>
  </r>
  <r>
    <x v="12"/>
    <x v="1"/>
    <x v="9"/>
    <n v="77.8"/>
    <n v="93.36"/>
    <n v="400"/>
    <x v="2"/>
    <x v="0"/>
    <n v="933.6"/>
  </r>
  <r>
    <x v="12"/>
    <x v="3"/>
    <x v="0"/>
    <n v="47.01"/>
    <n v="56.41"/>
    <n v="60"/>
    <x v="2"/>
    <x v="0"/>
    <n v="56.41"/>
  </r>
  <r>
    <x v="12"/>
    <x v="3"/>
    <x v="1"/>
    <n v="43.16"/>
    <n v="51.79"/>
    <n v="60"/>
    <x v="2"/>
    <x v="0"/>
    <n v="103.58"/>
  </r>
  <r>
    <x v="12"/>
    <x v="3"/>
    <x v="2"/>
    <n v="39.64"/>
    <n v="47.57"/>
    <n v="60"/>
    <x v="2"/>
    <x v="0"/>
    <n v="142.69999999999999"/>
  </r>
  <r>
    <x v="12"/>
    <x v="3"/>
    <x v="3"/>
    <n v="36.33"/>
    <n v="43.6"/>
    <n v="60"/>
    <x v="2"/>
    <x v="0"/>
    <n v="174.38"/>
  </r>
  <r>
    <x v="12"/>
    <x v="3"/>
    <x v="4"/>
    <n v="33.35"/>
    <n v="40.020000000000003"/>
    <n v="60"/>
    <x v="2"/>
    <x v="0"/>
    <n v="200.1"/>
  </r>
  <r>
    <x v="12"/>
    <x v="3"/>
    <x v="5"/>
    <n v="30.63"/>
    <n v="36.76"/>
    <n v="60"/>
    <x v="2"/>
    <x v="0"/>
    <n v="220.54"/>
  </r>
  <r>
    <x v="12"/>
    <x v="3"/>
    <x v="6"/>
    <n v="27.56"/>
    <n v="33.07"/>
    <n v="60"/>
    <x v="2"/>
    <x v="0"/>
    <n v="231.5"/>
  </r>
  <r>
    <x v="12"/>
    <x v="3"/>
    <x v="7"/>
    <n v="24.78"/>
    <n v="29.74"/>
    <n v="60"/>
    <x v="2"/>
    <x v="0"/>
    <n v="237.89"/>
  </r>
  <r>
    <x v="12"/>
    <x v="3"/>
    <x v="8"/>
    <n v="22.34"/>
    <n v="26.81"/>
    <n v="60"/>
    <x v="2"/>
    <x v="0"/>
    <n v="241.27"/>
  </r>
  <r>
    <x v="12"/>
    <x v="3"/>
    <x v="9"/>
    <n v="20.350000000000001"/>
    <n v="24.42"/>
    <n v="60"/>
    <x v="2"/>
    <x v="0"/>
    <n v="244.2"/>
  </r>
  <r>
    <x v="13"/>
    <x v="0"/>
    <x v="0"/>
    <n v="730.84"/>
    <n v="877.01"/>
    <n v="800"/>
    <x v="2"/>
    <x v="0"/>
    <n v="877.01"/>
  </r>
  <r>
    <x v="13"/>
    <x v="0"/>
    <x v="1"/>
    <n v="647.52"/>
    <n v="777.02"/>
    <n v="800"/>
    <x v="2"/>
    <x v="0"/>
    <n v="1554.05"/>
  </r>
  <r>
    <x v="13"/>
    <x v="0"/>
    <x v="2"/>
    <n v="573.70000000000005"/>
    <n v="688.44"/>
    <n v="800"/>
    <x v="2"/>
    <x v="0"/>
    <n v="2065.3200000000002"/>
  </r>
  <r>
    <x v="13"/>
    <x v="0"/>
    <x v="3"/>
    <n v="508.26"/>
    <n v="609.91"/>
    <n v="800"/>
    <x v="2"/>
    <x v="0"/>
    <n v="2439.65"/>
  </r>
  <r>
    <x v="13"/>
    <x v="0"/>
    <x v="4"/>
    <n v="450.22"/>
    <n v="540.26"/>
    <n v="800"/>
    <x v="2"/>
    <x v="0"/>
    <n v="2701.32"/>
  </r>
  <r>
    <x v="13"/>
    <x v="0"/>
    <x v="5"/>
    <n v="398.69"/>
    <n v="478.43"/>
    <n v="800"/>
    <x v="2"/>
    <x v="0"/>
    <n v="2870.57"/>
  </r>
  <r>
    <x v="13"/>
    <x v="0"/>
    <x v="6"/>
    <n v="352.45"/>
    <n v="422.94"/>
    <n v="800"/>
    <x v="2"/>
    <x v="0"/>
    <n v="2960.58"/>
  </r>
  <r>
    <x v="13"/>
    <x v="0"/>
    <x v="7"/>
    <n v="315.33"/>
    <n v="378.4"/>
    <n v="800"/>
    <x v="2"/>
    <x v="0"/>
    <n v="3027.17"/>
  </r>
  <r>
    <x v="13"/>
    <x v="0"/>
    <x v="8"/>
    <n v="286.88"/>
    <n v="344.26"/>
    <n v="800"/>
    <x v="2"/>
    <x v="0"/>
    <n v="3098.3"/>
  </r>
  <r>
    <x v="13"/>
    <x v="0"/>
    <x v="9"/>
    <n v="267.95999999999998"/>
    <n v="321.55"/>
    <n v="800"/>
    <x v="2"/>
    <x v="0"/>
    <n v="3215.52"/>
  </r>
  <r>
    <x v="13"/>
    <x v="1"/>
    <x v="0"/>
    <n v="449.83"/>
    <n v="539.79999999999995"/>
    <n v="400"/>
    <x v="2"/>
    <x v="0"/>
    <n v="539.79999999999995"/>
  </r>
  <r>
    <x v="13"/>
    <x v="1"/>
    <x v="1"/>
    <n v="397.65"/>
    <n v="477.18"/>
    <n v="400"/>
    <x v="2"/>
    <x v="0"/>
    <n v="954.36"/>
  </r>
  <r>
    <x v="13"/>
    <x v="1"/>
    <x v="2"/>
    <n v="351.46"/>
    <n v="421.75"/>
    <n v="400"/>
    <x v="2"/>
    <x v="0"/>
    <n v="1265.26"/>
  </r>
  <r>
    <x v="13"/>
    <x v="1"/>
    <x v="3"/>
    <n v="310.61"/>
    <n v="372.73"/>
    <n v="400"/>
    <x v="2"/>
    <x v="0"/>
    <n v="1490.93"/>
  </r>
  <r>
    <x v="13"/>
    <x v="1"/>
    <x v="4"/>
    <n v="274.45"/>
    <n v="329.34"/>
    <n v="400"/>
    <x v="2"/>
    <x v="0"/>
    <n v="1646.7"/>
  </r>
  <r>
    <x v="13"/>
    <x v="1"/>
    <x v="5"/>
    <n v="242.49"/>
    <n v="290.99"/>
    <n v="400"/>
    <x v="2"/>
    <x v="0"/>
    <n v="1745.93"/>
  </r>
  <r>
    <x v="13"/>
    <x v="1"/>
    <x v="6"/>
    <n v="213.8"/>
    <n v="256.56"/>
    <n v="400"/>
    <x v="2"/>
    <x v="0"/>
    <n v="1795.92"/>
  </r>
  <r>
    <x v="13"/>
    <x v="1"/>
    <x v="7"/>
    <n v="190.81"/>
    <n v="228.97"/>
    <n v="400"/>
    <x v="2"/>
    <x v="0"/>
    <n v="1831.78"/>
  </r>
  <r>
    <x v="13"/>
    <x v="1"/>
    <x v="8"/>
    <n v="173.23"/>
    <n v="207.88"/>
    <n v="400"/>
    <x v="2"/>
    <x v="0"/>
    <n v="1870.88"/>
  </r>
  <r>
    <x v="13"/>
    <x v="1"/>
    <x v="9"/>
    <n v="161.4"/>
    <n v="193.68"/>
    <n v="400"/>
    <x v="2"/>
    <x v="0"/>
    <n v="1936.8"/>
  </r>
  <r>
    <x v="13"/>
    <x v="3"/>
    <x v="0"/>
    <n v="54.73"/>
    <n v="65.680000000000007"/>
    <n v="60"/>
    <x v="2"/>
    <x v="0"/>
    <n v="65.680000000000007"/>
  </r>
  <r>
    <x v="13"/>
    <x v="3"/>
    <x v="1"/>
    <n v="50.23"/>
    <n v="60.28"/>
    <n v="60"/>
    <x v="2"/>
    <x v="0"/>
    <n v="120.55"/>
  </r>
  <r>
    <x v="13"/>
    <x v="3"/>
    <x v="2"/>
    <n v="46.07"/>
    <n v="55.28"/>
    <n v="60"/>
    <x v="2"/>
    <x v="0"/>
    <n v="165.85"/>
  </r>
  <r>
    <x v="13"/>
    <x v="3"/>
    <x v="3"/>
    <n v="42.33"/>
    <n v="50.8"/>
    <n v="60"/>
    <x v="2"/>
    <x v="0"/>
    <n v="203.18"/>
  </r>
  <r>
    <x v="13"/>
    <x v="3"/>
    <x v="4"/>
    <n v="38.83"/>
    <n v="46.6"/>
    <n v="60"/>
    <x v="2"/>
    <x v="0"/>
    <n v="232.98"/>
  </r>
  <r>
    <x v="13"/>
    <x v="3"/>
    <x v="5"/>
    <n v="35.65"/>
    <n v="42.78"/>
    <n v="60"/>
    <x v="2"/>
    <x v="0"/>
    <n v="256.68"/>
  </r>
  <r>
    <x v="13"/>
    <x v="3"/>
    <x v="6"/>
    <n v="32.1"/>
    <n v="38.520000000000003"/>
    <n v="60"/>
    <x v="2"/>
    <x v="0"/>
    <n v="269.64"/>
  </r>
  <r>
    <x v="13"/>
    <x v="3"/>
    <x v="7"/>
    <n v="28.88"/>
    <n v="34.659999999999997"/>
    <n v="60"/>
    <x v="2"/>
    <x v="0"/>
    <n v="277.25"/>
  </r>
  <r>
    <x v="13"/>
    <x v="3"/>
    <x v="8"/>
    <n v="25.99"/>
    <n v="31.19"/>
    <n v="60"/>
    <x v="2"/>
    <x v="0"/>
    <n v="280.69"/>
  </r>
  <r>
    <x v="13"/>
    <x v="3"/>
    <x v="9"/>
    <n v="23.65"/>
    <n v="28.38"/>
    <n v="60"/>
    <x v="2"/>
    <x v="0"/>
    <n v="283.8"/>
  </r>
  <r>
    <x v="14"/>
    <x v="4"/>
    <x v="10"/>
    <n v="13.4"/>
    <n v="16.079999999999998"/>
    <n v="60"/>
    <x v="2"/>
    <x v="0"/>
    <n v="16.079999999999998"/>
  </r>
  <r>
    <x v="15"/>
    <x v="0"/>
    <x v="0"/>
    <n v="400.2"/>
    <n v="480.24"/>
    <n v="800"/>
    <x v="2"/>
    <x v="0"/>
    <n v="480.24"/>
  </r>
  <r>
    <x v="16"/>
    <x v="0"/>
    <x v="0"/>
    <n v="509.28"/>
    <n v="611.14"/>
    <n v="800"/>
    <x v="2"/>
    <x v="0"/>
    <n v="611.14"/>
  </r>
  <r>
    <x v="16"/>
    <x v="1"/>
    <x v="0"/>
    <n v="200.41"/>
    <n v="240.49"/>
    <n v="400"/>
    <x v="2"/>
    <x v="0"/>
    <n v="240.49"/>
  </r>
  <r>
    <x v="16"/>
    <x v="3"/>
    <x v="0"/>
    <n v="83.97"/>
    <n v="100.76"/>
    <n v="60"/>
    <x v="2"/>
    <x v="0"/>
    <n v="100.76"/>
  </r>
  <r>
    <x v="17"/>
    <x v="0"/>
    <x v="0"/>
    <n v="933.92"/>
    <n v="1120.7"/>
    <n v="800"/>
    <x v="2"/>
    <x v="0"/>
    <n v="1120.7"/>
  </r>
  <r>
    <x v="17"/>
    <x v="1"/>
    <x v="0"/>
    <n v="358.62"/>
    <n v="430.34"/>
    <n v="400"/>
    <x v="2"/>
    <x v="0"/>
    <n v="430.34"/>
  </r>
  <r>
    <x v="17"/>
    <x v="3"/>
    <x v="0"/>
    <n v="150.12"/>
    <n v="180.14"/>
    <n v="60"/>
    <x v="2"/>
    <x v="0"/>
    <n v="180.14"/>
  </r>
  <r>
    <x v="18"/>
    <x v="0"/>
    <x v="0"/>
    <n v="1895.57"/>
    <n v="2274.6799999999998"/>
    <n v="800"/>
    <x v="2"/>
    <x v="0"/>
    <n v="2274.6799999999998"/>
  </r>
  <r>
    <x v="18"/>
    <x v="1"/>
    <x v="0"/>
    <n v="735"/>
    <n v="882"/>
    <n v="400"/>
    <x v="2"/>
    <x v="0"/>
    <n v="882"/>
  </r>
  <r>
    <x v="18"/>
    <x v="3"/>
    <x v="0"/>
    <n v="318.81"/>
    <n v="382.57"/>
    <n v="60"/>
    <x v="2"/>
    <x v="0"/>
    <n v="382.57"/>
  </r>
  <r>
    <x v="19"/>
    <x v="4"/>
    <x v="10"/>
    <n v="13.01"/>
    <n v="15.61"/>
    <n v="60"/>
    <x v="2"/>
    <x v="0"/>
    <n v="15.61"/>
  </r>
  <r>
    <x v="20"/>
    <x v="0"/>
    <x v="0"/>
    <n v="197.11"/>
    <n v="236.53"/>
    <n v="600"/>
    <x v="2"/>
    <x v="0"/>
    <n v="236.53"/>
  </r>
  <r>
    <x v="20"/>
    <x v="5"/>
    <x v="0"/>
    <n v="91.01"/>
    <n v="109.21"/>
    <s v="300/600"/>
    <x v="2"/>
    <x v="0"/>
    <n v="109.21"/>
  </r>
  <r>
    <x v="20"/>
    <x v="1"/>
    <x v="0"/>
    <n v="78.27"/>
    <n v="93.92"/>
    <n v="300"/>
    <x v="2"/>
    <x v="0"/>
    <n v="93.92"/>
  </r>
  <r>
    <x v="20"/>
    <x v="2"/>
    <x v="0"/>
    <n v="34.31"/>
    <n v="41.17"/>
    <n v="60"/>
    <x v="2"/>
    <x v="0"/>
    <n v="41.17"/>
  </r>
  <r>
    <x v="21"/>
    <x v="0"/>
    <x v="0"/>
    <n v="400.2"/>
    <n v="480.24"/>
    <n v="800"/>
    <x v="2"/>
    <x v="0"/>
    <n v="480.24"/>
  </r>
  <r>
    <x v="21"/>
    <x v="5"/>
    <x v="0"/>
    <n v="197.86"/>
    <n v="237.43"/>
    <s v="400/800"/>
    <x v="2"/>
    <x v="0"/>
    <n v="237.43"/>
  </r>
  <r>
    <x v="21"/>
    <x v="1"/>
    <x v="0"/>
    <n v="170.43"/>
    <n v="204.52"/>
    <n v="400"/>
    <x v="2"/>
    <x v="0"/>
    <n v="204.52"/>
  </r>
  <r>
    <x v="21"/>
    <x v="2"/>
    <x v="0"/>
    <n v="70.900000000000006"/>
    <n v="85.08"/>
    <n v="60"/>
    <x v="2"/>
    <x v="0"/>
    <n v="85.08"/>
  </r>
  <r>
    <x v="22"/>
    <x v="4"/>
    <x v="10"/>
    <n v="13.01"/>
    <n v="15.61"/>
    <n v="60"/>
    <x v="2"/>
    <x v="0"/>
    <n v="15.61"/>
  </r>
  <r>
    <x v="23"/>
    <x v="0"/>
    <x v="0"/>
    <n v="197.11"/>
    <n v="236.53"/>
    <n v="600"/>
    <x v="2"/>
    <x v="0"/>
    <n v="236.53"/>
  </r>
  <r>
    <x v="23"/>
    <x v="5"/>
    <x v="0"/>
    <n v="91.01"/>
    <n v="109.21"/>
    <s v="300/600"/>
    <x v="2"/>
    <x v="0"/>
    <n v="109.21"/>
  </r>
  <r>
    <x v="23"/>
    <x v="1"/>
    <x v="0"/>
    <n v="78.27"/>
    <n v="93.92"/>
    <n v="300"/>
    <x v="2"/>
    <x v="0"/>
    <n v="93.92"/>
  </r>
  <r>
    <x v="23"/>
    <x v="2"/>
    <x v="0"/>
    <n v="34.31"/>
    <n v="41.17"/>
    <n v="60"/>
    <x v="2"/>
    <x v="0"/>
    <n v="41.17"/>
  </r>
  <r>
    <x v="24"/>
    <x v="0"/>
    <x v="0"/>
    <n v="400.2"/>
    <n v="480.24"/>
    <n v="800"/>
    <x v="2"/>
    <x v="0"/>
    <n v="480.24"/>
  </r>
  <r>
    <x v="24"/>
    <x v="5"/>
    <x v="0"/>
    <n v="197.86"/>
    <n v="237.43"/>
    <s v="400/800"/>
    <x v="2"/>
    <x v="0"/>
    <n v="237.43"/>
  </r>
  <r>
    <x v="24"/>
    <x v="1"/>
    <x v="0"/>
    <n v="170.43"/>
    <n v="204.52"/>
    <n v="400"/>
    <x v="2"/>
    <x v="0"/>
    <n v="204.52"/>
  </r>
  <r>
    <x v="24"/>
    <x v="2"/>
    <x v="0"/>
    <n v="70.900000000000006"/>
    <n v="85.08"/>
    <n v="60"/>
    <x v="2"/>
    <x v="0"/>
    <n v="85.08"/>
  </r>
  <r>
    <x v="25"/>
    <x v="4"/>
    <x v="10"/>
    <n v="13.01"/>
    <n v="15.61"/>
    <n v="60"/>
    <x v="2"/>
    <x v="0"/>
    <n v="15.61"/>
  </r>
  <r>
    <x v="0"/>
    <x v="0"/>
    <x v="0"/>
    <n v="197.34"/>
    <n v="236.81"/>
    <n v="800"/>
    <x v="3"/>
    <x v="0"/>
    <n v="236.81"/>
  </r>
  <r>
    <x v="0"/>
    <x v="0"/>
    <x v="1"/>
    <n v="164.21"/>
    <n v="197.05"/>
    <n v="800"/>
    <x v="3"/>
    <x v="0"/>
    <n v="394.1"/>
  </r>
  <r>
    <x v="0"/>
    <x v="0"/>
    <x v="2"/>
    <n v="128.15"/>
    <n v="153.78"/>
    <n v="800"/>
    <x v="3"/>
    <x v="0"/>
    <n v="461.34"/>
  </r>
  <r>
    <x v="0"/>
    <x v="0"/>
    <x v="3"/>
    <n v="111.07"/>
    <n v="133.28"/>
    <n v="800"/>
    <x v="3"/>
    <x v="0"/>
    <n v="533.14"/>
  </r>
  <r>
    <x v="0"/>
    <x v="0"/>
    <x v="4"/>
    <n v="95.91"/>
    <n v="115.09"/>
    <n v="800"/>
    <x v="3"/>
    <x v="0"/>
    <n v="575.46"/>
  </r>
  <r>
    <x v="0"/>
    <x v="1"/>
    <x v="0"/>
    <n v="117.9"/>
    <n v="141.47999999999999"/>
    <n v="400"/>
    <x v="3"/>
    <x v="0"/>
    <n v="141.47999999999999"/>
  </r>
  <r>
    <x v="0"/>
    <x v="1"/>
    <x v="1"/>
    <n v="97.94"/>
    <n v="117.53"/>
    <n v="400"/>
    <x v="3"/>
    <x v="0"/>
    <n v="235.06"/>
  </r>
  <r>
    <x v="0"/>
    <x v="1"/>
    <x v="2"/>
    <n v="76.22"/>
    <n v="91.46"/>
    <n v="400"/>
    <x v="3"/>
    <x v="0"/>
    <n v="274.39"/>
  </r>
  <r>
    <x v="0"/>
    <x v="1"/>
    <x v="3"/>
    <n v="65.91"/>
    <n v="79.09"/>
    <n v="400"/>
    <x v="3"/>
    <x v="0"/>
    <n v="316.37"/>
  </r>
  <r>
    <x v="0"/>
    <x v="1"/>
    <x v="4"/>
    <n v="56.78"/>
    <n v="68.14"/>
    <n v="400"/>
    <x v="3"/>
    <x v="0"/>
    <n v="340.68"/>
  </r>
  <r>
    <x v="0"/>
    <x v="2"/>
    <x v="0"/>
    <n v="30.91"/>
    <n v="37.090000000000003"/>
    <n v="60"/>
    <x v="3"/>
    <x v="0"/>
    <n v="37.090000000000003"/>
  </r>
  <r>
    <x v="0"/>
    <x v="2"/>
    <x v="1"/>
    <n v="28.35"/>
    <n v="34.020000000000003"/>
    <n v="60"/>
    <x v="3"/>
    <x v="0"/>
    <n v="68.040000000000006"/>
  </r>
  <r>
    <x v="0"/>
    <x v="2"/>
    <x v="2"/>
    <n v="28.1"/>
    <n v="33.72"/>
    <n v="60"/>
    <x v="3"/>
    <x v="0"/>
    <n v="101.16"/>
  </r>
  <r>
    <x v="1"/>
    <x v="0"/>
    <x v="0"/>
    <n v="242.71"/>
    <n v="291.25"/>
    <n v="800"/>
    <x v="3"/>
    <x v="0"/>
    <n v="291.25"/>
  </r>
  <r>
    <x v="1"/>
    <x v="0"/>
    <x v="1"/>
    <n v="202.03"/>
    <n v="242.44"/>
    <n v="800"/>
    <x v="3"/>
    <x v="0"/>
    <n v="484.87"/>
  </r>
  <r>
    <x v="1"/>
    <x v="0"/>
    <x v="2"/>
    <n v="157.63"/>
    <n v="189.16"/>
    <n v="800"/>
    <x v="3"/>
    <x v="0"/>
    <n v="567.47"/>
  </r>
  <r>
    <x v="1"/>
    <x v="0"/>
    <x v="3"/>
    <n v="136.59"/>
    <n v="163.91"/>
    <n v="800"/>
    <x v="3"/>
    <x v="0"/>
    <n v="655.63"/>
  </r>
  <r>
    <x v="1"/>
    <x v="0"/>
    <x v="4"/>
    <n v="117.93"/>
    <n v="141.52000000000001"/>
    <n v="800"/>
    <x v="3"/>
    <x v="0"/>
    <n v="707.58"/>
  </r>
  <r>
    <x v="1"/>
    <x v="0"/>
    <x v="5"/>
    <n v="117.02"/>
    <n v="140.41999999999999"/>
    <n v="800"/>
    <x v="3"/>
    <x v="0"/>
    <n v="842.54"/>
  </r>
  <r>
    <x v="1"/>
    <x v="0"/>
    <x v="6"/>
    <n v="114.12"/>
    <n v="136.94"/>
    <n v="800"/>
    <x v="3"/>
    <x v="0"/>
    <n v="958.61"/>
  </r>
  <r>
    <x v="1"/>
    <x v="0"/>
    <x v="7"/>
    <n v="111.24"/>
    <n v="133.49"/>
    <n v="800"/>
    <x v="3"/>
    <x v="0"/>
    <n v="1067.9000000000001"/>
  </r>
  <r>
    <x v="1"/>
    <x v="0"/>
    <x v="8"/>
    <n v="108.46"/>
    <n v="130.15"/>
    <n v="800"/>
    <x v="3"/>
    <x v="0"/>
    <n v="1171.3699999999999"/>
  </r>
  <r>
    <x v="1"/>
    <x v="0"/>
    <x v="9"/>
    <n v="105.75"/>
    <n v="126.9"/>
    <n v="800"/>
    <x v="3"/>
    <x v="0"/>
    <n v="1269"/>
  </r>
  <r>
    <x v="1"/>
    <x v="1"/>
    <x v="0"/>
    <n v="134.88"/>
    <n v="161.86000000000001"/>
    <n v="400"/>
    <x v="3"/>
    <x v="0"/>
    <n v="161.86000000000001"/>
  </r>
  <r>
    <x v="1"/>
    <x v="1"/>
    <x v="1"/>
    <n v="111.96"/>
    <n v="134.35"/>
    <n v="400"/>
    <x v="3"/>
    <x v="0"/>
    <n v="268.7"/>
  </r>
  <r>
    <x v="1"/>
    <x v="1"/>
    <x v="2"/>
    <n v="87.14"/>
    <n v="104.57"/>
    <n v="400"/>
    <x v="3"/>
    <x v="0"/>
    <n v="313.7"/>
  </r>
  <r>
    <x v="1"/>
    <x v="1"/>
    <x v="3"/>
    <n v="75.33"/>
    <n v="90.4"/>
    <n v="400"/>
    <x v="3"/>
    <x v="0"/>
    <n v="361.58"/>
  </r>
  <r>
    <x v="1"/>
    <x v="1"/>
    <x v="4"/>
    <n v="64.86"/>
    <n v="77.83"/>
    <n v="400"/>
    <x v="3"/>
    <x v="0"/>
    <n v="389.16"/>
  </r>
  <r>
    <x v="1"/>
    <x v="1"/>
    <x v="5"/>
    <n v="64.38"/>
    <n v="77.260000000000005"/>
    <n v="400"/>
    <x v="3"/>
    <x v="0"/>
    <n v="463.54"/>
  </r>
  <r>
    <x v="1"/>
    <x v="1"/>
    <x v="6"/>
    <n v="62.77"/>
    <n v="75.319999999999993"/>
    <n v="400"/>
    <x v="3"/>
    <x v="0"/>
    <n v="527.27"/>
  </r>
  <r>
    <x v="1"/>
    <x v="1"/>
    <x v="7"/>
    <n v="61.2"/>
    <n v="73.44"/>
    <n v="400"/>
    <x v="3"/>
    <x v="0"/>
    <n v="587.52"/>
  </r>
  <r>
    <x v="1"/>
    <x v="1"/>
    <x v="8"/>
    <n v="59.67"/>
    <n v="71.599999999999994"/>
    <n v="400"/>
    <x v="3"/>
    <x v="0"/>
    <n v="644.44000000000005"/>
  </r>
  <r>
    <x v="1"/>
    <x v="1"/>
    <x v="9"/>
    <n v="58.2"/>
    <n v="69.84"/>
    <n v="400"/>
    <x v="3"/>
    <x v="0"/>
    <n v="698.4"/>
  </r>
  <r>
    <x v="1"/>
    <x v="3"/>
    <x v="0"/>
    <n v="35.659999999999997"/>
    <n v="42.79"/>
    <n v="60"/>
    <x v="3"/>
    <x v="0"/>
    <n v="42.79"/>
  </r>
  <r>
    <x v="1"/>
    <x v="3"/>
    <x v="1"/>
    <n v="32.69"/>
    <n v="39.229999999999997"/>
    <n v="60"/>
    <x v="3"/>
    <x v="0"/>
    <n v="78.459999999999994"/>
  </r>
  <r>
    <x v="1"/>
    <x v="3"/>
    <x v="2"/>
    <n v="32.44"/>
    <n v="38.93"/>
    <n v="60"/>
    <x v="3"/>
    <x v="0"/>
    <n v="116.78"/>
  </r>
  <r>
    <x v="1"/>
    <x v="3"/>
    <x v="3"/>
    <n v="32.229999999999997"/>
    <n v="38.68"/>
    <n v="60"/>
    <x v="3"/>
    <x v="0"/>
    <n v="154.69999999999999"/>
  </r>
  <r>
    <x v="1"/>
    <x v="3"/>
    <x v="4"/>
    <n v="31.95"/>
    <n v="38.340000000000003"/>
    <n v="60"/>
    <x v="3"/>
    <x v="0"/>
    <n v="191.7"/>
  </r>
  <r>
    <x v="2"/>
    <x v="0"/>
    <x v="0"/>
    <n v="558.14"/>
    <n v="669.77"/>
    <n v="800"/>
    <x v="3"/>
    <x v="0"/>
    <n v="669.77"/>
  </r>
  <r>
    <x v="2"/>
    <x v="0"/>
    <x v="1"/>
    <n v="464.6"/>
    <n v="557.52"/>
    <n v="800"/>
    <x v="3"/>
    <x v="0"/>
    <n v="1115.04"/>
  </r>
  <r>
    <x v="2"/>
    <x v="0"/>
    <x v="2"/>
    <n v="362.43"/>
    <n v="434.92"/>
    <n v="800"/>
    <x v="3"/>
    <x v="0"/>
    <n v="1304.75"/>
  </r>
  <r>
    <x v="2"/>
    <x v="0"/>
    <x v="3"/>
    <n v="314.20999999999998"/>
    <n v="377.05"/>
    <n v="800"/>
    <x v="3"/>
    <x v="0"/>
    <n v="1508.21"/>
  </r>
  <r>
    <x v="2"/>
    <x v="0"/>
    <x v="4"/>
    <n v="271.20999999999998"/>
    <n v="325.45"/>
    <n v="800"/>
    <x v="3"/>
    <x v="0"/>
    <n v="1627.26"/>
  </r>
  <r>
    <x v="2"/>
    <x v="0"/>
    <x v="5"/>
    <n v="239.78"/>
    <n v="287.74"/>
    <n v="800"/>
    <x v="3"/>
    <x v="0"/>
    <n v="1726.42"/>
  </r>
  <r>
    <x v="2"/>
    <x v="0"/>
    <x v="6"/>
    <n v="211.86"/>
    <n v="254.23"/>
    <n v="800"/>
    <x v="3"/>
    <x v="0"/>
    <n v="1779.62"/>
  </r>
  <r>
    <x v="2"/>
    <x v="0"/>
    <x v="7"/>
    <n v="189.53"/>
    <n v="227.44"/>
    <n v="800"/>
    <x v="3"/>
    <x v="0"/>
    <n v="1819.49"/>
  </r>
  <r>
    <x v="2"/>
    <x v="0"/>
    <x v="8"/>
    <n v="172.57"/>
    <n v="207.08"/>
    <n v="800"/>
    <x v="3"/>
    <x v="0"/>
    <n v="1863.76"/>
  </r>
  <r>
    <x v="2"/>
    <x v="0"/>
    <x v="9"/>
    <n v="161.22999999999999"/>
    <n v="193.48"/>
    <n v="800"/>
    <x v="3"/>
    <x v="0"/>
    <n v="1934.76"/>
  </r>
  <r>
    <x v="2"/>
    <x v="1"/>
    <x v="0"/>
    <n v="265.69"/>
    <n v="318.83"/>
    <n v="400"/>
    <x v="3"/>
    <x v="0"/>
    <n v="318.83"/>
  </r>
  <r>
    <x v="2"/>
    <x v="1"/>
    <x v="1"/>
    <n v="220.57"/>
    <n v="264.68"/>
    <n v="400"/>
    <x v="3"/>
    <x v="0"/>
    <n v="529.37"/>
  </r>
  <r>
    <x v="2"/>
    <x v="1"/>
    <x v="2"/>
    <n v="171.7"/>
    <n v="206.04"/>
    <n v="400"/>
    <x v="3"/>
    <x v="0"/>
    <n v="618.12"/>
  </r>
  <r>
    <x v="2"/>
    <x v="1"/>
    <x v="3"/>
    <n v="148.52000000000001"/>
    <n v="178.22"/>
    <n v="400"/>
    <x v="3"/>
    <x v="0"/>
    <n v="712.9"/>
  </r>
  <r>
    <x v="2"/>
    <x v="1"/>
    <x v="4"/>
    <n v="127.9"/>
    <n v="153.47999999999999"/>
    <n v="400"/>
    <x v="3"/>
    <x v="0"/>
    <n v="767.4"/>
  </r>
  <r>
    <x v="2"/>
    <x v="1"/>
    <x v="5"/>
    <n v="112.77"/>
    <n v="135.32"/>
    <n v="400"/>
    <x v="3"/>
    <x v="0"/>
    <n v="811.94"/>
  </r>
  <r>
    <x v="2"/>
    <x v="1"/>
    <x v="6"/>
    <n v="99.38"/>
    <n v="119.26"/>
    <n v="400"/>
    <x v="3"/>
    <x v="0"/>
    <n v="834.79"/>
  </r>
  <r>
    <x v="2"/>
    <x v="1"/>
    <x v="7"/>
    <n v="88.72"/>
    <n v="106.46"/>
    <n v="400"/>
    <x v="3"/>
    <x v="0"/>
    <n v="851.71"/>
  </r>
  <r>
    <x v="2"/>
    <x v="1"/>
    <x v="8"/>
    <n v="80.55"/>
    <n v="96.66"/>
    <n v="400"/>
    <x v="3"/>
    <x v="0"/>
    <n v="869.94"/>
  </r>
  <r>
    <x v="2"/>
    <x v="1"/>
    <x v="9"/>
    <n v="75.040000000000006"/>
    <n v="90.05"/>
    <n v="400"/>
    <x v="3"/>
    <x v="0"/>
    <n v="900.48"/>
  </r>
  <r>
    <x v="2"/>
    <x v="3"/>
    <x v="0"/>
    <n v="46.15"/>
    <n v="55.38"/>
    <n v="60"/>
    <x v="3"/>
    <x v="0"/>
    <n v="55.38"/>
  </r>
  <r>
    <x v="2"/>
    <x v="3"/>
    <x v="1"/>
    <n v="42.29"/>
    <n v="50.75"/>
    <n v="60"/>
    <x v="3"/>
    <x v="0"/>
    <n v="101.5"/>
  </r>
  <r>
    <x v="2"/>
    <x v="3"/>
    <x v="2"/>
    <n v="38.76"/>
    <n v="46.51"/>
    <n v="60"/>
    <x v="3"/>
    <x v="0"/>
    <n v="139.54"/>
  </r>
  <r>
    <x v="2"/>
    <x v="3"/>
    <x v="3"/>
    <n v="35.450000000000003"/>
    <n v="42.54"/>
    <n v="60"/>
    <x v="3"/>
    <x v="0"/>
    <n v="170.16"/>
  </r>
  <r>
    <x v="2"/>
    <x v="3"/>
    <x v="4"/>
    <n v="32.49"/>
    <n v="38.99"/>
    <n v="60"/>
    <x v="3"/>
    <x v="0"/>
    <n v="194.94"/>
  </r>
  <r>
    <x v="2"/>
    <x v="3"/>
    <x v="5"/>
    <n v="29.78"/>
    <n v="35.74"/>
    <n v="60"/>
    <x v="3"/>
    <x v="0"/>
    <n v="214.42"/>
  </r>
  <r>
    <x v="2"/>
    <x v="3"/>
    <x v="6"/>
    <n v="26.79"/>
    <n v="32.15"/>
    <n v="60"/>
    <x v="3"/>
    <x v="0"/>
    <n v="225.04"/>
  </r>
  <r>
    <x v="2"/>
    <x v="3"/>
    <x v="7"/>
    <n v="24.09"/>
    <n v="28.91"/>
    <n v="60"/>
    <x v="3"/>
    <x v="0"/>
    <n v="231.26"/>
  </r>
  <r>
    <x v="2"/>
    <x v="3"/>
    <x v="8"/>
    <n v="21.71"/>
    <n v="26.05"/>
    <n v="60"/>
    <x v="3"/>
    <x v="0"/>
    <n v="234.47"/>
  </r>
  <r>
    <x v="2"/>
    <x v="3"/>
    <x v="9"/>
    <n v="19.78"/>
    <n v="23.74"/>
    <n v="60"/>
    <x v="3"/>
    <x v="0"/>
    <n v="237.36"/>
  </r>
  <r>
    <x v="3"/>
    <x v="0"/>
    <x v="0"/>
    <n v="704.9"/>
    <n v="845.88"/>
    <n v="800"/>
    <x v="3"/>
    <x v="0"/>
    <n v="845.88"/>
  </r>
  <r>
    <x v="3"/>
    <x v="0"/>
    <x v="1"/>
    <n v="623.32000000000005"/>
    <n v="747.98"/>
    <n v="800"/>
    <x v="3"/>
    <x v="0"/>
    <n v="1495.97"/>
  </r>
  <r>
    <x v="3"/>
    <x v="0"/>
    <x v="2"/>
    <n v="551.16999999999996"/>
    <n v="661.4"/>
    <n v="800"/>
    <x v="3"/>
    <x v="0"/>
    <n v="1984.21"/>
  </r>
  <r>
    <x v="3"/>
    <x v="0"/>
    <x v="3"/>
    <n v="487.35"/>
    <n v="584.82000000000005"/>
    <n v="800"/>
    <x v="3"/>
    <x v="0"/>
    <n v="2339.2800000000002"/>
  </r>
  <r>
    <x v="3"/>
    <x v="0"/>
    <x v="4"/>
    <n v="430.85"/>
    <n v="517.02"/>
    <n v="800"/>
    <x v="3"/>
    <x v="0"/>
    <n v="2585.1"/>
  </r>
  <r>
    <x v="3"/>
    <x v="0"/>
    <x v="5"/>
    <n v="380.8"/>
    <n v="456.96"/>
    <n v="800"/>
    <x v="3"/>
    <x v="0"/>
    <n v="2741.76"/>
  </r>
  <r>
    <x v="3"/>
    <x v="0"/>
    <x v="6"/>
    <n v="336.63"/>
    <n v="403.96"/>
    <n v="800"/>
    <x v="3"/>
    <x v="0"/>
    <n v="2827.69"/>
  </r>
  <r>
    <x v="3"/>
    <x v="0"/>
    <x v="7"/>
    <n v="301.18"/>
    <n v="361.42"/>
    <n v="800"/>
    <x v="3"/>
    <x v="0"/>
    <n v="2891.33"/>
  </r>
  <r>
    <x v="3"/>
    <x v="0"/>
    <x v="8"/>
    <n v="274"/>
    <n v="328.8"/>
    <n v="800"/>
    <x v="3"/>
    <x v="0"/>
    <n v="2959.2"/>
  </r>
  <r>
    <x v="3"/>
    <x v="0"/>
    <x v="9"/>
    <n v="255.93"/>
    <n v="307.12"/>
    <n v="800"/>
    <x v="3"/>
    <x v="0"/>
    <n v="3071.16"/>
  </r>
  <r>
    <x v="3"/>
    <x v="1"/>
    <x v="0"/>
    <n v="437.3"/>
    <n v="524.76"/>
    <n v="400"/>
    <x v="3"/>
    <x v="0"/>
    <n v="524.76"/>
  </r>
  <r>
    <x v="3"/>
    <x v="1"/>
    <x v="1"/>
    <n v="385.81"/>
    <n v="462.97"/>
    <n v="400"/>
    <x v="3"/>
    <x v="0"/>
    <n v="925.94"/>
  </r>
  <r>
    <x v="3"/>
    <x v="1"/>
    <x v="2"/>
    <n v="340.32"/>
    <n v="408.38"/>
    <n v="400"/>
    <x v="3"/>
    <x v="0"/>
    <n v="1225.1500000000001"/>
  </r>
  <r>
    <x v="3"/>
    <x v="1"/>
    <x v="3"/>
    <n v="300.18"/>
    <n v="360.22"/>
    <n v="400"/>
    <x v="3"/>
    <x v="0"/>
    <n v="1440.86"/>
  </r>
  <r>
    <x v="3"/>
    <x v="1"/>
    <x v="4"/>
    <n v="264.70999999999998"/>
    <n v="317.64999999999998"/>
    <n v="400"/>
    <x v="3"/>
    <x v="0"/>
    <n v="1588.26"/>
  </r>
  <r>
    <x v="3"/>
    <x v="1"/>
    <x v="5"/>
    <n v="233.43"/>
    <n v="280.12"/>
    <n v="400"/>
    <x v="3"/>
    <x v="0"/>
    <n v="1680.7"/>
  </r>
  <r>
    <x v="3"/>
    <x v="1"/>
    <x v="6"/>
    <n v="205.81"/>
    <n v="246.97"/>
    <n v="400"/>
    <x v="3"/>
    <x v="0"/>
    <n v="1728.8"/>
  </r>
  <r>
    <x v="3"/>
    <x v="1"/>
    <x v="7"/>
    <n v="183.68"/>
    <n v="220.42"/>
    <n v="400"/>
    <x v="3"/>
    <x v="0"/>
    <n v="1763.33"/>
  </r>
  <r>
    <x v="3"/>
    <x v="1"/>
    <x v="8"/>
    <n v="166.76"/>
    <n v="200.11"/>
    <n v="400"/>
    <x v="3"/>
    <x v="0"/>
    <n v="1801.01"/>
  </r>
  <r>
    <x v="3"/>
    <x v="1"/>
    <x v="9"/>
    <n v="155.37"/>
    <n v="186.44"/>
    <n v="400"/>
    <x v="3"/>
    <x v="0"/>
    <n v="1864.44"/>
  </r>
  <r>
    <x v="3"/>
    <x v="3"/>
    <x v="0"/>
    <n v="53.63"/>
    <n v="64.36"/>
    <n v="60"/>
    <x v="3"/>
    <x v="0"/>
    <n v="64.36"/>
  </r>
  <r>
    <x v="3"/>
    <x v="3"/>
    <x v="1"/>
    <n v="49.12"/>
    <n v="58.94"/>
    <n v="60"/>
    <x v="3"/>
    <x v="0"/>
    <n v="117.89"/>
  </r>
  <r>
    <x v="3"/>
    <x v="3"/>
    <x v="2"/>
    <n v="44.97"/>
    <n v="53.96"/>
    <n v="60"/>
    <x v="3"/>
    <x v="0"/>
    <n v="161.88999999999999"/>
  </r>
  <r>
    <x v="3"/>
    <x v="3"/>
    <x v="3"/>
    <n v="41.24"/>
    <n v="49.49"/>
    <n v="60"/>
    <x v="3"/>
    <x v="0"/>
    <n v="197.95"/>
  </r>
  <r>
    <x v="3"/>
    <x v="3"/>
    <x v="4"/>
    <n v="37.75"/>
    <n v="45.3"/>
    <n v="60"/>
    <x v="3"/>
    <x v="0"/>
    <n v="226.5"/>
  </r>
  <r>
    <x v="3"/>
    <x v="3"/>
    <x v="5"/>
    <n v="34.590000000000003"/>
    <n v="41.51"/>
    <n v="60"/>
    <x v="3"/>
    <x v="0"/>
    <n v="249.05"/>
  </r>
  <r>
    <x v="3"/>
    <x v="3"/>
    <x v="6"/>
    <n v="31.14"/>
    <n v="37.369999999999997"/>
    <n v="60"/>
    <x v="3"/>
    <x v="0"/>
    <n v="261.58"/>
  </r>
  <r>
    <x v="3"/>
    <x v="3"/>
    <x v="7"/>
    <n v="28.02"/>
    <n v="33.619999999999997"/>
    <n v="60"/>
    <x v="3"/>
    <x v="0"/>
    <n v="268.99"/>
  </r>
  <r>
    <x v="3"/>
    <x v="3"/>
    <x v="8"/>
    <n v="25.22"/>
    <n v="30.26"/>
    <n v="60"/>
    <x v="3"/>
    <x v="0"/>
    <n v="272.38"/>
  </r>
  <r>
    <x v="3"/>
    <x v="3"/>
    <x v="9"/>
    <n v="22.95"/>
    <n v="27.54"/>
    <n v="60"/>
    <x v="3"/>
    <x v="0"/>
    <n v="275.39999999999998"/>
  </r>
  <r>
    <x v="4"/>
    <x v="4"/>
    <x v="10"/>
    <n v="12.8"/>
    <n v="15.36"/>
    <n v="60"/>
    <x v="3"/>
    <x v="0"/>
    <n v="15.36"/>
  </r>
  <r>
    <x v="5"/>
    <x v="0"/>
    <x v="0"/>
    <n v="390"/>
    <n v="468"/>
    <n v="800"/>
    <x v="3"/>
    <x v="0"/>
    <n v="468"/>
  </r>
  <r>
    <x v="6"/>
    <x v="0"/>
    <x v="0"/>
    <n v="494.35"/>
    <n v="593.22"/>
    <n v="800"/>
    <x v="3"/>
    <x v="0"/>
    <n v="593.22"/>
  </r>
  <r>
    <x v="6"/>
    <x v="1"/>
    <x v="0"/>
    <n v="196.07"/>
    <n v="235.28"/>
    <n v="400"/>
    <x v="3"/>
    <x v="0"/>
    <n v="235.28"/>
  </r>
  <r>
    <x v="6"/>
    <x v="3"/>
    <x v="0"/>
    <n v="82.81"/>
    <n v="99.37"/>
    <n v="60"/>
    <x v="3"/>
    <x v="0"/>
    <n v="99.37"/>
  </r>
  <r>
    <x v="7"/>
    <x v="0"/>
    <x v="0"/>
    <n v="902.55"/>
    <n v="1083.06"/>
    <n v="800"/>
    <x v="3"/>
    <x v="0"/>
    <n v="1083.06"/>
  </r>
  <r>
    <x v="7"/>
    <x v="1"/>
    <x v="0"/>
    <n v="349.32"/>
    <n v="419.18"/>
    <n v="400"/>
    <x v="3"/>
    <x v="0"/>
    <n v="419.18"/>
  </r>
  <r>
    <x v="7"/>
    <x v="3"/>
    <x v="0"/>
    <n v="147.38999999999999"/>
    <n v="176.87"/>
    <n v="60"/>
    <x v="3"/>
    <x v="0"/>
    <n v="176.87"/>
  </r>
  <r>
    <x v="8"/>
    <x v="0"/>
    <x v="0"/>
    <n v="1828.3"/>
    <n v="2193.96"/>
    <n v="800"/>
    <x v="3"/>
    <x v="0"/>
    <n v="2193.96"/>
  </r>
  <r>
    <x v="8"/>
    <x v="1"/>
    <x v="0"/>
    <n v="714.52"/>
    <n v="857.42"/>
    <n v="400"/>
    <x v="3"/>
    <x v="0"/>
    <n v="857.42"/>
  </r>
  <r>
    <x v="8"/>
    <x v="3"/>
    <x v="0"/>
    <n v="312.39"/>
    <n v="374.87"/>
    <n v="60"/>
    <x v="3"/>
    <x v="0"/>
    <n v="374.87"/>
  </r>
  <r>
    <x v="9"/>
    <x v="4"/>
    <x v="10"/>
    <n v="12.42"/>
    <n v="14.9"/>
    <n v="60"/>
    <x v="3"/>
    <x v="0"/>
    <n v="14.9"/>
  </r>
  <r>
    <x v="10"/>
    <x v="0"/>
    <x v="0"/>
    <n v="197.34"/>
    <n v="236.81"/>
    <n v="800"/>
    <x v="3"/>
    <x v="0"/>
    <n v="236.81"/>
  </r>
  <r>
    <x v="10"/>
    <x v="0"/>
    <x v="1"/>
    <n v="164.21"/>
    <n v="197.05"/>
    <n v="800"/>
    <x v="3"/>
    <x v="0"/>
    <n v="394.1"/>
  </r>
  <r>
    <x v="10"/>
    <x v="0"/>
    <x v="2"/>
    <n v="128.15"/>
    <n v="153.78"/>
    <n v="800"/>
    <x v="3"/>
    <x v="0"/>
    <n v="461.34"/>
  </r>
  <r>
    <x v="10"/>
    <x v="0"/>
    <x v="3"/>
    <n v="111.07"/>
    <n v="133.28"/>
    <n v="800"/>
    <x v="3"/>
    <x v="0"/>
    <n v="533.14"/>
  </r>
  <r>
    <x v="10"/>
    <x v="0"/>
    <x v="4"/>
    <n v="95.91"/>
    <n v="115.09"/>
    <n v="800"/>
    <x v="3"/>
    <x v="0"/>
    <n v="575.46"/>
  </r>
  <r>
    <x v="10"/>
    <x v="1"/>
    <x v="0"/>
    <n v="117.9"/>
    <n v="141.47999999999999"/>
    <n v="400"/>
    <x v="3"/>
    <x v="0"/>
    <n v="141.47999999999999"/>
  </r>
  <r>
    <x v="10"/>
    <x v="1"/>
    <x v="1"/>
    <n v="97.94"/>
    <n v="117.53"/>
    <n v="400"/>
    <x v="3"/>
    <x v="0"/>
    <n v="235.06"/>
  </r>
  <r>
    <x v="10"/>
    <x v="1"/>
    <x v="2"/>
    <n v="76.22"/>
    <n v="91.46"/>
    <n v="400"/>
    <x v="3"/>
    <x v="0"/>
    <n v="274.39"/>
  </r>
  <r>
    <x v="10"/>
    <x v="1"/>
    <x v="3"/>
    <n v="65.91"/>
    <n v="79.09"/>
    <n v="400"/>
    <x v="3"/>
    <x v="0"/>
    <n v="316.37"/>
  </r>
  <r>
    <x v="10"/>
    <x v="1"/>
    <x v="4"/>
    <n v="56.78"/>
    <n v="68.14"/>
    <n v="400"/>
    <x v="3"/>
    <x v="0"/>
    <n v="340.68"/>
  </r>
  <r>
    <x v="10"/>
    <x v="2"/>
    <x v="0"/>
    <n v="30.91"/>
    <n v="37.090000000000003"/>
    <n v="60"/>
    <x v="3"/>
    <x v="0"/>
    <n v="37.090000000000003"/>
  </r>
  <r>
    <x v="10"/>
    <x v="2"/>
    <x v="1"/>
    <n v="28.35"/>
    <n v="34.020000000000003"/>
    <n v="60"/>
    <x v="3"/>
    <x v="0"/>
    <n v="68.040000000000006"/>
  </r>
  <r>
    <x v="10"/>
    <x v="2"/>
    <x v="2"/>
    <n v="28.1"/>
    <n v="33.72"/>
    <n v="60"/>
    <x v="3"/>
    <x v="0"/>
    <n v="101.16"/>
  </r>
  <r>
    <x v="11"/>
    <x v="0"/>
    <x v="0"/>
    <n v="242.71"/>
    <n v="291.25"/>
    <n v="800"/>
    <x v="3"/>
    <x v="0"/>
    <n v="291.25"/>
  </r>
  <r>
    <x v="11"/>
    <x v="0"/>
    <x v="1"/>
    <n v="202.03"/>
    <n v="242.44"/>
    <n v="800"/>
    <x v="3"/>
    <x v="0"/>
    <n v="484.87"/>
  </r>
  <r>
    <x v="11"/>
    <x v="0"/>
    <x v="2"/>
    <n v="157.63"/>
    <n v="189.16"/>
    <n v="800"/>
    <x v="3"/>
    <x v="0"/>
    <n v="567.47"/>
  </r>
  <r>
    <x v="11"/>
    <x v="0"/>
    <x v="3"/>
    <n v="136.59"/>
    <n v="163.91"/>
    <n v="800"/>
    <x v="3"/>
    <x v="0"/>
    <n v="655.63"/>
  </r>
  <r>
    <x v="11"/>
    <x v="0"/>
    <x v="4"/>
    <n v="117.93"/>
    <n v="141.52000000000001"/>
    <n v="800"/>
    <x v="3"/>
    <x v="0"/>
    <n v="707.58"/>
  </r>
  <r>
    <x v="11"/>
    <x v="0"/>
    <x v="5"/>
    <n v="117.02"/>
    <n v="140.41999999999999"/>
    <n v="800"/>
    <x v="3"/>
    <x v="0"/>
    <n v="842.54"/>
  </r>
  <r>
    <x v="11"/>
    <x v="0"/>
    <x v="6"/>
    <n v="114.12"/>
    <n v="136.94"/>
    <n v="800"/>
    <x v="3"/>
    <x v="0"/>
    <n v="958.61"/>
  </r>
  <r>
    <x v="11"/>
    <x v="0"/>
    <x v="7"/>
    <n v="111.24"/>
    <n v="133.49"/>
    <n v="800"/>
    <x v="3"/>
    <x v="0"/>
    <n v="1067.9000000000001"/>
  </r>
  <r>
    <x v="11"/>
    <x v="0"/>
    <x v="8"/>
    <n v="108.46"/>
    <n v="130.15"/>
    <n v="800"/>
    <x v="3"/>
    <x v="0"/>
    <n v="1171.3699999999999"/>
  </r>
  <r>
    <x v="11"/>
    <x v="0"/>
    <x v="9"/>
    <n v="105.75"/>
    <n v="126.9"/>
    <n v="800"/>
    <x v="3"/>
    <x v="0"/>
    <n v="1269"/>
  </r>
  <r>
    <x v="11"/>
    <x v="1"/>
    <x v="0"/>
    <n v="134.88"/>
    <n v="161.86000000000001"/>
    <n v="400"/>
    <x v="3"/>
    <x v="0"/>
    <n v="161.86000000000001"/>
  </r>
  <r>
    <x v="11"/>
    <x v="1"/>
    <x v="1"/>
    <n v="111.96"/>
    <n v="134.35"/>
    <n v="400"/>
    <x v="3"/>
    <x v="0"/>
    <n v="268.7"/>
  </r>
  <r>
    <x v="11"/>
    <x v="1"/>
    <x v="2"/>
    <n v="87.14"/>
    <n v="104.57"/>
    <n v="400"/>
    <x v="3"/>
    <x v="0"/>
    <n v="313.7"/>
  </r>
  <r>
    <x v="11"/>
    <x v="1"/>
    <x v="3"/>
    <n v="75.33"/>
    <n v="90.4"/>
    <n v="400"/>
    <x v="3"/>
    <x v="0"/>
    <n v="361.58"/>
  </r>
  <r>
    <x v="11"/>
    <x v="1"/>
    <x v="4"/>
    <n v="64.86"/>
    <n v="77.83"/>
    <n v="400"/>
    <x v="3"/>
    <x v="0"/>
    <n v="389.16"/>
  </r>
  <r>
    <x v="11"/>
    <x v="1"/>
    <x v="5"/>
    <n v="64.38"/>
    <n v="77.260000000000005"/>
    <n v="400"/>
    <x v="3"/>
    <x v="0"/>
    <n v="463.54"/>
  </r>
  <r>
    <x v="11"/>
    <x v="1"/>
    <x v="6"/>
    <n v="62.77"/>
    <n v="75.319999999999993"/>
    <n v="400"/>
    <x v="3"/>
    <x v="0"/>
    <n v="527.27"/>
  </r>
  <r>
    <x v="11"/>
    <x v="1"/>
    <x v="7"/>
    <n v="61.2"/>
    <n v="73.44"/>
    <n v="400"/>
    <x v="3"/>
    <x v="0"/>
    <n v="587.52"/>
  </r>
  <r>
    <x v="11"/>
    <x v="1"/>
    <x v="8"/>
    <n v="59.67"/>
    <n v="71.599999999999994"/>
    <n v="400"/>
    <x v="3"/>
    <x v="0"/>
    <n v="644.44000000000005"/>
  </r>
  <r>
    <x v="11"/>
    <x v="1"/>
    <x v="9"/>
    <n v="58.2"/>
    <n v="69.84"/>
    <n v="400"/>
    <x v="3"/>
    <x v="0"/>
    <n v="698.4"/>
  </r>
  <r>
    <x v="11"/>
    <x v="3"/>
    <x v="0"/>
    <n v="35.659999999999997"/>
    <n v="42.79"/>
    <n v="60"/>
    <x v="3"/>
    <x v="0"/>
    <n v="42.79"/>
  </r>
  <r>
    <x v="11"/>
    <x v="3"/>
    <x v="1"/>
    <n v="32.69"/>
    <n v="39.229999999999997"/>
    <n v="60"/>
    <x v="3"/>
    <x v="0"/>
    <n v="78.459999999999994"/>
  </r>
  <r>
    <x v="11"/>
    <x v="3"/>
    <x v="2"/>
    <n v="32.44"/>
    <n v="38.93"/>
    <n v="60"/>
    <x v="3"/>
    <x v="0"/>
    <n v="116.78"/>
  </r>
  <r>
    <x v="11"/>
    <x v="3"/>
    <x v="3"/>
    <n v="32.229999999999997"/>
    <n v="38.68"/>
    <n v="60"/>
    <x v="3"/>
    <x v="0"/>
    <n v="154.69999999999999"/>
  </r>
  <r>
    <x v="11"/>
    <x v="3"/>
    <x v="4"/>
    <n v="31.95"/>
    <n v="38.340000000000003"/>
    <n v="60"/>
    <x v="3"/>
    <x v="0"/>
    <n v="191.7"/>
  </r>
  <r>
    <x v="12"/>
    <x v="0"/>
    <x v="0"/>
    <n v="558.14"/>
    <n v="669.77"/>
    <n v="800"/>
    <x v="3"/>
    <x v="0"/>
    <n v="669.77"/>
  </r>
  <r>
    <x v="12"/>
    <x v="0"/>
    <x v="1"/>
    <n v="464.6"/>
    <n v="557.52"/>
    <n v="800"/>
    <x v="3"/>
    <x v="0"/>
    <n v="1115.04"/>
  </r>
  <r>
    <x v="12"/>
    <x v="0"/>
    <x v="2"/>
    <n v="362.43"/>
    <n v="434.92"/>
    <n v="800"/>
    <x v="3"/>
    <x v="0"/>
    <n v="1304.75"/>
  </r>
  <r>
    <x v="12"/>
    <x v="0"/>
    <x v="3"/>
    <n v="314.20999999999998"/>
    <n v="377.05"/>
    <n v="800"/>
    <x v="3"/>
    <x v="0"/>
    <n v="1508.21"/>
  </r>
  <r>
    <x v="12"/>
    <x v="0"/>
    <x v="4"/>
    <n v="271.20999999999998"/>
    <n v="325.45"/>
    <n v="800"/>
    <x v="3"/>
    <x v="0"/>
    <n v="1627.26"/>
  </r>
  <r>
    <x v="12"/>
    <x v="0"/>
    <x v="5"/>
    <n v="239.78"/>
    <n v="287.74"/>
    <n v="800"/>
    <x v="3"/>
    <x v="0"/>
    <n v="1726.42"/>
  </r>
  <r>
    <x v="12"/>
    <x v="0"/>
    <x v="6"/>
    <n v="211.86"/>
    <n v="254.23"/>
    <n v="800"/>
    <x v="3"/>
    <x v="0"/>
    <n v="1779.62"/>
  </r>
  <r>
    <x v="12"/>
    <x v="0"/>
    <x v="7"/>
    <n v="189.53"/>
    <n v="227.44"/>
    <n v="800"/>
    <x v="3"/>
    <x v="0"/>
    <n v="1819.49"/>
  </r>
  <r>
    <x v="12"/>
    <x v="0"/>
    <x v="8"/>
    <n v="172.57"/>
    <n v="207.08"/>
    <n v="800"/>
    <x v="3"/>
    <x v="0"/>
    <n v="1863.76"/>
  </r>
  <r>
    <x v="12"/>
    <x v="0"/>
    <x v="9"/>
    <n v="161.22999999999999"/>
    <n v="193.48"/>
    <n v="800"/>
    <x v="3"/>
    <x v="0"/>
    <n v="1934.76"/>
  </r>
  <r>
    <x v="12"/>
    <x v="1"/>
    <x v="0"/>
    <n v="265.69"/>
    <n v="318.83"/>
    <n v="400"/>
    <x v="3"/>
    <x v="0"/>
    <n v="318.83"/>
  </r>
  <r>
    <x v="12"/>
    <x v="1"/>
    <x v="1"/>
    <n v="220.57"/>
    <n v="264.68"/>
    <n v="400"/>
    <x v="3"/>
    <x v="0"/>
    <n v="529.37"/>
  </r>
  <r>
    <x v="12"/>
    <x v="1"/>
    <x v="2"/>
    <n v="171.7"/>
    <n v="206.04"/>
    <n v="400"/>
    <x v="3"/>
    <x v="0"/>
    <n v="618.12"/>
  </r>
  <r>
    <x v="12"/>
    <x v="1"/>
    <x v="3"/>
    <n v="148.52000000000001"/>
    <n v="178.22"/>
    <n v="400"/>
    <x v="3"/>
    <x v="0"/>
    <n v="712.9"/>
  </r>
  <r>
    <x v="12"/>
    <x v="1"/>
    <x v="4"/>
    <n v="127.9"/>
    <n v="153.47999999999999"/>
    <n v="400"/>
    <x v="3"/>
    <x v="0"/>
    <n v="767.4"/>
  </r>
  <r>
    <x v="12"/>
    <x v="1"/>
    <x v="5"/>
    <n v="112.77"/>
    <n v="135.32"/>
    <n v="400"/>
    <x v="3"/>
    <x v="0"/>
    <n v="811.94"/>
  </r>
  <r>
    <x v="12"/>
    <x v="1"/>
    <x v="6"/>
    <n v="99.38"/>
    <n v="119.26"/>
    <n v="400"/>
    <x v="3"/>
    <x v="0"/>
    <n v="834.79"/>
  </r>
  <r>
    <x v="12"/>
    <x v="1"/>
    <x v="7"/>
    <n v="88.72"/>
    <n v="106.46"/>
    <n v="400"/>
    <x v="3"/>
    <x v="0"/>
    <n v="851.71"/>
  </r>
  <r>
    <x v="12"/>
    <x v="1"/>
    <x v="8"/>
    <n v="80.55"/>
    <n v="96.66"/>
    <n v="400"/>
    <x v="3"/>
    <x v="0"/>
    <n v="869.94"/>
  </r>
  <r>
    <x v="12"/>
    <x v="1"/>
    <x v="9"/>
    <n v="75.040000000000006"/>
    <n v="90.05"/>
    <n v="400"/>
    <x v="3"/>
    <x v="0"/>
    <n v="900.48"/>
  </r>
  <r>
    <x v="12"/>
    <x v="3"/>
    <x v="0"/>
    <n v="46.15"/>
    <n v="55.38"/>
    <n v="60"/>
    <x v="3"/>
    <x v="0"/>
    <n v="55.38"/>
  </r>
  <r>
    <x v="12"/>
    <x v="3"/>
    <x v="1"/>
    <n v="42.29"/>
    <n v="50.75"/>
    <n v="60"/>
    <x v="3"/>
    <x v="0"/>
    <n v="101.5"/>
  </r>
  <r>
    <x v="12"/>
    <x v="3"/>
    <x v="2"/>
    <n v="38.76"/>
    <n v="46.51"/>
    <n v="60"/>
    <x v="3"/>
    <x v="0"/>
    <n v="139.54"/>
  </r>
  <r>
    <x v="12"/>
    <x v="3"/>
    <x v="3"/>
    <n v="35.450000000000003"/>
    <n v="42.54"/>
    <n v="60"/>
    <x v="3"/>
    <x v="0"/>
    <n v="170.16"/>
  </r>
  <r>
    <x v="12"/>
    <x v="3"/>
    <x v="4"/>
    <n v="32.49"/>
    <n v="38.99"/>
    <n v="60"/>
    <x v="3"/>
    <x v="0"/>
    <n v="194.94"/>
  </r>
  <r>
    <x v="12"/>
    <x v="3"/>
    <x v="5"/>
    <n v="29.78"/>
    <n v="35.74"/>
    <n v="60"/>
    <x v="3"/>
    <x v="0"/>
    <n v="214.42"/>
  </r>
  <r>
    <x v="12"/>
    <x v="3"/>
    <x v="6"/>
    <n v="26.79"/>
    <n v="32.15"/>
    <n v="60"/>
    <x v="3"/>
    <x v="0"/>
    <n v="225.04"/>
  </r>
  <r>
    <x v="12"/>
    <x v="3"/>
    <x v="7"/>
    <n v="24.09"/>
    <n v="28.91"/>
    <n v="60"/>
    <x v="3"/>
    <x v="0"/>
    <n v="231.26"/>
  </r>
  <r>
    <x v="12"/>
    <x v="3"/>
    <x v="8"/>
    <n v="21.71"/>
    <n v="26.05"/>
    <n v="60"/>
    <x v="3"/>
    <x v="0"/>
    <n v="234.47"/>
  </r>
  <r>
    <x v="12"/>
    <x v="3"/>
    <x v="9"/>
    <n v="19.78"/>
    <n v="23.74"/>
    <n v="60"/>
    <x v="3"/>
    <x v="0"/>
    <n v="237.36"/>
  </r>
  <r>
    <x v="13"/>
    <x v="0"/>
    <x v="0"/>
    <n v="704.9"/>
    <n v="845.88"/>
    <n v="800"/>
    <x v="3"/>
    <x v="0"/>
    <n v="845.88"/>
  </r>
  <r>
    <x v="13"/>
    <x v="0"/>
    <x v="1"/>
    <n v="623.32000000000005"/>
    <n v="747.98"/>
    <n v="800"/>
    <x v="3"/>
    <x v="0"/>
    <n v="1495.97"/>
  </r>
  <r>
    <x v="13"/>
    <x v="0"/>
    <x v="2"/>
    <n v="551.16999999999996"/>
    <n v="661.4"/>
    <n v="800"/>
    <x v="3"/>
    <x v="0"/>
    <n v="1984.21"/>
  </r>
  <r>
    <x v="13"/>
    <x v="0"/>
    <x v="3"/>
    <n v="487.35"/>
    <n v="584.82000000000005"/>
    <n v="800"/>
    <x v="3"/>
    <x v="0"/>
    <n v="2339.2800000000002"/>
  </r>
  <r>
    <x v="13"/>
    <x v="0"/>
    <x v="4"/>
    <n v="430.85"/>
    <n v="517.02"/>
    <n v="800"/>
    <x v="3"/>
    <x v="0"/>
    <n v="2585.1"/>
  </r>
  <r>
    <x v="13"/>
    <x v="0"/>
    <x v="5"/>
    <n v="380.8"/>
    <n v="456.96"/>
    <n v="800"/>
    <x v="3"/>
    <x v="0"/>
    <n v="2741.76"/>
  </r>
  <r>
    <x v="13"/>
    <x v="0"/>
    <x v="6"/>
    <n v="336.63"/>
    <n v="403.96"/>
    <n v="800"/>
    <x v="3"/>
    <x v="0"/>
    <n v="2827.69"/>
  </r>
  <r>
    <x v="13"/>
    <x v="0"/>
    <x v="7"/>
    <n v="301.18"/>
    <n v="361.42"/>
    <n v="800"/>
    <x v="3"/>
    <x v="0"/>
    <n v="2891.33"/>
  </r>
  <r>
    <x v="13"/>
    <x v="0"/>
    <x v="8"/>
    <n v="274"/>
    <n v="328.8"/>
    <n v="800"/>
    <x v="3"/>
    <x v="0"/>
    <n v="2959.2"/>
  </r>
  <r>
    <x v="13"/>
    <x v="0"/>
    <x v="9"/>
    <n v="255.93"/>
    <n v="307.12"/>
    <n v="800"/>
    <x v="3"/>
    <x v="0"/>
    <n v="3071.16"/>
  </r>
  <r>
    <x v="13"/>
    <x v="1"/>
    <x v="0"/>
    <n v="437.3"/>
    <n v="524.76"/>
    <n v="400"/>
    <x v="3"/>
    <x v="0"/>
    <n v="524.76"/>
  </r>
  <r>
    <x v="13"/>
    <x v="1"/>
    <x v="1"/>
    <n v="385.81"/>
    <n v="462.97"/>
    <n v="400"/>
    <x v="3"/>
    <x v="0"/>
    <n v="925.94"/>
  </r>
  <r>
    <x v="13"/>
    <x v="1"/>
    <x v="2"/>
    <n v="340.32"/>
    <n v="408.38"/>
    <n v="400"/>
    <x v="3"/>
    <x v="0"/>
    <n v="1225.1500000000001"/>
  </r>
  <r>
    <x v="13"/>
    <x v="1"/>
    <x v="3"/>
    <n v="300.18"/>
    <n v="360.22"/>
    <n v="400"/>
    <x v="3"/>
    <x v="0"/>
    <n v="1440.86"/>
  </r>
  <r>
    <x v="13"/>
    <x v="1"/>
    <x v="4"/>
    <n v="264.70999999999998"/>
    <n v="317.64999999999998"/>
    <n v="400"/>
    <x v="3"/>
    <x v="0"/>
    <n v="1588.26"/>
  </r>
  <r>
    <x v="13"/>
    <x v="1"/>
    <x v="5"/>
    <n v="233.43"/>
    <n v="280.12"/>
    <n v="400"/>
    <x v="3"/>
    <x v="0"/>
    <n v="1680.7"/>
  </r>
  <r>
    <x v="13"/>
    <x v="1"/>
    <x v="6"/>
    <n v="205.81"/>
    <n v="246.97"/>
    <n v="400"/>
    <x v="3"/>
    <x v="0"/>
    <n v="1728.8"/>
  </r>
  <r>
    <x v="13"/>
    <x v="1"/>
    <x v="7"/>
    <n v="183.68"/>
    <n v="220.42"/>
    <n v="400"/>
    <x v="3"/>
    <x v="0"/>
    <n v="1763.33"/>
  </r>
  <r>
    <x v="13"/>
    <x v="1"/>
    <x v="8"/>
    <n v="166.76"/>
    <n v="200.11"/>
    <n v="400"/>
    <x v="3"/>
    <x v="0"/>
    <n v="1801.01"/>
  </r>
  <r>
    <x v="13"/>
    <x v="1"/>
    <x v="9"/>
    <n v="155.37"/>
    <n v="186.44"/>
    <n v="400"/>
    <x v="3"/>
    <x v="0"/>
    <n v="1864.44"/>
  </r>
  <r>
    <x v="13"/>
    <x v="3"/>
    <x v="0"/>
    <n v="53.63"/>
    <n v="64.36"/>
    <n v="60"/>
    <x v="3"/>
    <x v="0"/>
    <n v="64.36"/>
  </r>
  <r>
    <x v="13"/>
    <x v="3"/>
    <x v="1"/>
    <n v="49.12"/>
    <n v="58.94"/>
    <n v="60"/>
    <x v="3"/>
    <x v="0"/>
    <n v="117.89"/>
  </r>
  <r>
    <x v="13"/>
    <x v="3"/>
    <x v="2"/>
    <n v="44.97"/>
    <n v="53.96"/>
    <n v="60"/>
    <x v="3"/>
    <x v="0"/>
    <n v="161.88999999999999"/>
  </r>
  <r>
    <x v="13"/>
    <x v="3"/>
    <x v="3"/>
    <n v="41.24"/>
    <n v="49.49"/>
    <n v="60"/>
    <x v="3"/>
    <x v="0"/>
    <n v="197.95"/>
  </r>
  <r>
    <x v="13"/>
    <x v="3"/>
    <x v="4"/>
    <n v="37.75"/>
    <n v="45.3"/>
    <n v="60"/>
    <x v="3"/>
    <x v="0"/>
    <n v="226.5"/>
  </r>
  <r>
    <x v="13"/>
    <x v="3"/>
    <x v="5"/>
    <n v="34.590000000000003"/>
    <n v="41.51"/>
    <n v="60"/>
    <x v="3"/>
    <x v="0"/>
    <n v="249.05"/>
  </r>
  <r>
    <x v="13"/>
    <x v="3"/>
    <x v="6"/>
    <n v="31.14"/>
    <n v="37.369999999999997"/>
    <n v="60"/>
    <x v="3"/>
    <x v="0"/>
    <n v="261.58"/>
  </r>
  <r>
    <x v="13"/>
    <x v="3"/>
    <x v="7"/>
    <n v="28.02"/>
    <n v="33.619999999999997"/>
    <n v="60"/>
    <x v="3"/>
    <x v="0"/>
    <n v="268.99"/>
  </r>
  <r>
    <x v="13"/>
    <x v="3"/>
    <x v="8"/>
    <n v="25.22"/>
    <n v="30.26"/>
    <n v="60"/>
    <x v="3"/>
    <x v="0"/>
    <n v="272.38"/>
  </r>
  <r>
    <x v="13"/>
    <x v="3"/>
    <x v="9"/>
    <n v="22.95"/>
    <n v="27.54"/>
    <n v="60"/>
    <x v="3"/>
    <x v="0"/>
    <n v="275.39999999999998"/>
  </r>
  <r>
    <x v="14"/>
    <x v="4"/>
    <x v="10"/>
    <n v="12.8"/>
    <n v="15.36"/>
    <n v="60"/>
    <x v="3"/>
    <x v="0"/>
    <n v="15.36"/>
  </r>
  <r>
    <x v="15"/>
    <x v="0"/>
    <x v="0"/>
    <n v="390"/>
    <n v="468"/>
    <n v="800"/>
    <x v="3"/>
    <x v="0"/>
    <n v="468"/>
  </r>
  <r>
    <x v="16"/>
    <x v="0"/>
    <x v="0"/>
    <n v="494.35"/>
    <n v="593.22"/>
    <n v="800"/>
    <x v="3"/>
    <x v="0"/>
    <n v="593.22"/>
  </r>
  <r>
    <x v="16"/>
    <x v="1"/>
    <x v="0"/>
    <n v="196.07"/>
    <n v="235.28"/>
    <n v="400"/>
    <x v="3"/>
    <x v="0"/>
    <n v="235.28"/>
  </r>
  <r>
    <x v="16"/>
    <x v="3"/>
    <x v="0"/>
    <n v="82.81"/>
    <n v="99.37"/>
    <n v="60"/>
    <x v="3"/>
    <x v="0"/>
    <n v="99.37"/>
  </r>
  <r>
    <x v="17"/>
    <x v="0"/>
    <x v="0"/>
    <n v="902.55"/>
    <n v="1083.06"/>
    <n v="800"/>
    <x v="3"/>
    <x v="0"/>
    <n v="1083.06"/>
  </r>
  <r>
    <x v="17"/>
    <x v="1"/>
    <x v="0"/>
    <n v="349.32"/>
    <n v="419.18"/>
    <n v="400"/>
    <x v="3"/>
    <x v="0"/>
    <n v="419.18"/>
  </r>
  <r>
    <x v="17"/>
    <x v="3"/>
    <x v="0"/>
    <n v="147.38999999999999"/>
    <n v="176.87"/>
    <n v="60"/>
    <x v="3"/>
    <x v="0"/>
    <n v="176.87"/>
  </r>
  <r>
    <x v="18"/>
    <x v="0"/>
    <x v="0"/>
    <n v="1828.3"/>
    <n v="2193.96"/>
    <n v="800"/>
    <x v="3"/>
    <x v="0"/>
    <n v="2193.96"/>
  </r>
  <r>
    <x v="18"/>
    <x v="1"/>
    <x v="0"/>
    <n v="714.52"/>
    <n v="857.42"/>
    <n v="400"/>
    <x v="3"/>
    <x v="0"/>
    <n v="857.42"/>
  </r>
  <r>
    <x v="18"/>
    <x v="3"/>
    <x v="0"/>
    <n v="312.39"/>
    <n v="374.87"/>
    <n v="60"/>
    <x v="3"/>
    <x v="0"/>
    <n v="374.87"/>
  </r>
  <r>
    <x v="19"/>
    <x v="4"/>
    <x v="10"/>
    <n v="12.42"/>
    <n v="14.9"/>
    <n v="60"/>
    <x v="3"/>
    <x v="0"/>
    <n v="14.9"/>
  </r>
  <r>
    <x v="20"/>
    <x v="0"/>
    <x v="0"/>
    <n v="197.11"/>
    <n v="236.53"/>
    <n v="600"/>
    <x v="3"/>
    <x v="0"/>
    <n v="236.53"/>
  </r>
  <r>
    <x v="20"/>
    <x v="5"/>
    <x v="0"/>
    <n v="89.4"/>
    <n v="107.28"/>
    <s v="300/600"/>
    <x v="3"/>
    <x v="0"/>
    <n v="107.28"/>
  </r>
  <r>
    <x v="20"/>
    <x v="1"/>
    <x v="0"/>
    <n v="76.88"/>
    <n v="92.26"/>
    <n v="300"/>
    <x v="3"/>
    <x v="0"/>
    <n v="92.26"/>
  </r>
  <r>
    <x v="20"/>
    <x v="2"/>
    <x v="0"/>
    <n v="33.909999999999997"/>
    <n v="40.69"/>
    <n v="60"/>
    <x v="3"/>
    <x v="0"/>
    <n v="40.69"/>
  </r>
  <r>
    <x v="21"/>
    <x v="0"/>
    <x v="0"/>
    <n v="390"/>
    <n v="468"/>
    <n v="800"/>
    <x v="3"/>
    <x v="0"/>
    <n v="468"/>
  </r>
  <r>
    <x v="21"/>
    <x v="5"/>
    <x v="0"/>
    <n v="194.35"/>
    <n v="233.22"/>
    <s v="400/800"/>
    <x v="3"/>
    <x v="0"/>
    <n v="233.22"/>
  </r>
  <r>
    <x v="21"/>
    <x v="1"/>
    <x v="0"/>
    <n v="167.41"/>
    <n v="200.89"/>
    <n v="400"/>
    <x v="3"/>
    <x v="0"/>
    <n v="200.89"/>
  </r>
  <r>
    <x v="21"/>
    <x v="2"/>
    <x v="0"/>
    <n v="70.06"/>
    <n v="84.07"/>
    <n v="60"/>
    <x v="3"/>
    <x v="0"/>
    <n v="84.07"/>
  </r>
  <r>
    <x v="22"/>
    <x v="4"/>
    <x v="10"/>
    <n v="12.42"/>
    <n v="14.9"/>
    <n v="60"/>
    <x v="3"/>
    <x v="0"/>
    <n v="14.9"/>
  </r>
  <r>
    <x v="23"/>
    <x v="0"/>
    <x v="0"/>
    <n v="197.11"/>
    <n v="236.53"/>
    <n v="600"/>
    <x v="3"/>
    <x v="0"/>
    <n v="236.53"/>
  </r>
  <r>
    <x v="23"/>
    <x v="5"/>
    <x v="0"/>
    <n v="89.4"/>
    <n v="107.28"/>
    <s v="300/600"/>
    <x v="3"/>
    <x v="0"/>
    <n v="107.28"/>
  </r>
  <r>
    <x v="23"/>
    <x v="1"/>
    <x v="0"/>
    <n v="76.88"/>
    <n v="92.26"/>
    <n v="300"/>
    <x v="3"/>
    <x v="0"/>
    <n v="92.26"/>
  </r>
  <r>
    <x v="23"/>
    <x v="2"/>
    <x v="0"/>
    <n v="33.909999999999997"/>
    <n v="40.69"/>
    <n v="60"/>
    <x v="3"/>
    <x v="0"/>
    <n v="40.69"/>
  </r>
  <r>
    <x v="24"/>
    <x v="0"/>
    <x v="0"/>
    <n v="390"/>
    <n v="468"/>
    <n v="800"/>
    <x v="3"/>
    <x v="0"/>
    <n v="468"/>
  </r>
  <r>
    <x v="24"/>
    <x v="5"/>
    <x v="0"/>
    <n v="194.35"/>
    <n v="233.22"/>
    <s v="400/800"/>
    <x v="3"/>
    <x v="0"/>
    <n v="233.22"/>
  </r>
  <r>
    <x v="24"/>
    <x v="1"/>
    <x v="0"/>
    <n v="167.41"/>
    <n v="200.89"/>
    <n v="400"/>
    <x v="3"/>
    <x v="0"/>
    <n v="200.89"/>
  </r>
  <r>
    <x v="24"/>
    <x v="2"/>
    <x v="0"/>
    <n v="70.06"/>
    <n v="84.07"/>
    <n v="60"/>
    <x v="3"/>
    <x v="0"/>
    <n v="84.07"/>
  </r>
  <r>
    <x v="25"/>
    <x v="4"/>
    <x v="10"/>
    <n v="12.42"/>
    <n v="14.9"/>
    <n v="60"/>
    <x v="3"/>
    <x v="0"/>
    <n v="14.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96D0CF-FF07-4844-9297-1BFA6E90CCFB}" name="Сводная таблица4" cacheId="7" applyNumberFormats="0" applyBorderFormats="0" applyFontFormats="0" applyPatternFormats="0" applyAlignmentFormats="0" applyWidthHeightFormats="1" dataCaption="Значения" updatedVersion="6" minRefreshableVersion="3" itemPrintTitles="1" createdVersion="6" indent="0" compact="0" compactData="0" gridDropZones="1" multipleFieldFilters="0">
  <location ref="AI1:AQ69" firstHeaderRow="2" firstDataRow="2" firstDataCol="3"/>
  <pivotFields count="9">
    <pivotField axis="axisRow" compact="0" outline="0" showAll="0" defaultSubtotal="0">
      <items count="61">
        <item x="3"/>
        <item m="1" x="41"/>
        <item m="1" x="31"/>
        <item m="1" x="30"/>
        <item m="1" x="55"/>
        <item m="1" x="35"/>
        <item m="1" x="53"/>
        <item m="1" x="45"/>
        <item m="1" x="32"/>
        <item m="1" x="57"/>
        <item m="1" x="33"/>
        <item m="1" x="37"/>
        <item m="1" x="56"/>
        <item m="1" x="44"/>
        <item m="1" x="42"/>
        <item m="1" x="59"/>
        <item m="1" x="46"/>
        <item m="1" x="39"/>
        <item m="1" x="51"/>
        <item x="0"/>
        <item x="5"/>
        <item m="1" x="58"/>
        <item x="1"/>
        <item x="6"/>
        <item m="1" x="28"/>
        <item x="2"/>
        <item x="7"/>
        <item m="1" x="49"/>
        <item x="8"/>
        <item m="1" x="60"/>
        <item m="1" x="34"/>
        <item x="4"/>
        <item x="9"/>
        <item m="1" x="48"/>
        <item m="1" x="43"/>
        <item m="1" x="52"/>
        <item m="1" x="50"/>
        <item m="1" x="54"/>
        <item m="1" x="40"/>
        <item m="1" x="26"/>
        <item x="14"/>
        <item m="1" x="29"/>
        <item m="1" x="38"/>
        <item m="1" x="36"/>
        <item m="1" x="27"/>
        <item x="19"/>
        <item x="10"/>
        <item x="11"/>
        <item x="12"/>
        <item x="13"/>
        <item x="15"/>
        <item x="16"/>
        <item x="17"/>
        <item x="18"/>
        <item x="23"/>
        <item x="24"/>
        <item m="1" x="47"/>
        <item x="20"/>
        <item x="21"/>
        <item x="22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3"/>
        <item x="1"/>
        <item x="0"/>
        <item m="1" x="8"/>
        <item m="1" x="7"/>
        <item m="1" x="6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30">
        <item m="1" x="28"/>
        <item m="1" x="14"/>
        <item m="1" x="15"/>
        <item n="-" x="0"/>
        <item m="1" x="11"/>
        <item m="1" x="12"/>
        <item m="1" x="10"/>
        <item m="1" x="17"/>
        <item m="1" x="9"/>
        <item m="1" x="16"/>
        <item m="1" x="8"/>
        <item m="1" x="21"/>
        <item m="1" x="25"/>
        <item m="1" x="5"/>
        <item m="1" x="23"/>
        <item m="1" x="20"/>
        <item m="1" x="22"/>
        <item m="1" x="27"/>
        <item m="1" x="18"/>
        <item m="1" x="4"/>
        <item m="1" x="26"/>
        <item m="1" x="3"/>
        <item m="1" x="19"/>
        <item m="1" x="13"/>
        <item m="1" x="2"/>
        <item m="1" x="24"/>
        <item m="1" x="6"/>
        <item m="1" x="7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0"/>
    <field x="7"/>
  </rowFields>
  <rowItems count="67">
    <i>
      <x/>
      <x v="19"/>
      <x v="3"/>
    </i>
    <i r="1">
      <x v="46"/>
      <x v="3"/>
    </i>
    <i r="1">
      <x v="54"/>
      <x v="3"/>
    </i>
    <i r="1">
      <x v="55"/>
      <x v="3"/>
    </i>
    <i r="1">
      <x v="57"/>
      <x v="3"/>
    </i>
    <i r="1">
      <x v="58"/>
      <x v="3"/>
    </i>
    <i>
      <x v="1"/>
      <x/>
      <x v="3"/>
    </i>
    <i r="1">
      <x v="22"/>
      <x v="3"/>
    </i>
    <i r="1">
      <x v="23"/>
      <x v="3"/>
    </i>
    <i r="1">
      <x v="25"/>
      <x v="3"/>
    </i>
    <i r="1">
      <x v="26"/>
      <x v="3"/>
    </i>
    <i r="1">
      <x v="28"/>
      <x v="3"/>
    </i>
    <i r="1">
      <x v="47"/>
      <x v="3"/>
    </i>
    <i r="1">
      <x v="48"/>
      <x v="3"/>
    </i>
    <i r="1">
      <x v="49"/>
      <x v="3"/>
    </i>
    <i r="1">
      <x v="51"/>
      <x v="3"/>
    </i>
    <i r="1">
      <x v="52"/>
      <x v="3"/>
    </i>
    <i r="1">
      <x v="53"/>
      <x v="3"/>
    </i>
    <i>
      <x v="2"/>
      <x/>
      <x v="3"/>
    </i>
    <i r="1">
      <x v="19"/>
      <x v="3"/>
    </i>
    <i r="1">
      <x v="22"/>
      <x v="3"/>
    </i>
    <i r="1">
      <x v="23"/>
      <x v="3"/>
    </i>
    <i r="1">
      <x v="25"/>
      <x v="3"/>
    </i>
    <i r="1">
      <x v="26"/>
      <x v="3"/>
    </i>
    <i r="1">
      <x v="28"/>
      <x v="3"/>
    </i>
    <i r="1">
      <x v="46"/>
      <x v="3"/>
    </i>
    <i r="1">
      <x v="47"/>
      <x v="3"/>
    </i>
    <i r="1">
      <x v="48"/>
      <x v="3"/>
    </i>
    <i r="1">
      <x v="49"/>
      <x v="3"/>
    </i>
    <i r="1">
      <x v="51"/>
      <x v="3"/>
    </i>
    <i r="1">
      <x v="52"/>
      <x v="3"/>
    </i>
    <i r="1">
      <x v="53"/>
      <x v="3"/>
    </i>
    <i r="1">
      <x v="54"/>
      <x v="3"/>
    </i>
    <i r="1">
      <x v="55"/>
      <x v="3"/>
    </i>
    <i r="1">
      <x v="57"/>
      <x v="3"/>
    </i>
    <i r="1">
      <x v="58"/>
      <x v="3"/>
    </i>
    <i>
      <x v="3"/>
      <x/>
      <x v="3"/>
    </i>
    <i r="1">
      <x v="19"/>
      <x v="3"/>
    </i>
    <i r="1">
      <x v="20"/>
      <x v="3"/>
    </i>
    <i r="1">
      <x v="22"/>
      <x v="3"/>
    </i>
    <i r="1">
      <x v="23"/>
      <x v="3"/>
    </i>
    <i r="1">
      <x v="25"/>
      <x v="3"/>
    </i>
    <i r="1">
      <x v="26"/>
      <x v="3"/>
    </i>
    <i r="1">
      <x v="28"/>
      <x v="3"/>
    </i>
    <i r="1">
      <x v="46"/>
      <x v="3"/>
    </i>
    <i r="1">
      <x v="47"/>
      <x v="3"/>
    </i>
    <i r="1">
      <x v="48"/>
      <x v="3"/>
    </i>
    <i r="1">
      <x v="49"/>
      <x v="3"/>
    </i>
    <i r="1">
      <x v="50"/>
      <x v="3"/>
    </i>
    <i r="1">
      <x v="51"/>
      <x v="3"/>
    </i>
    <i r="1">
      <x v="52"/>
      <x v="3"/>
    </i>
    <i r="1">
      <x v="53"/>
      <x v="3"/>
    </i>
    <i r="1">
      <x v="54"/>
      <x v="3"/>
    </i>
    <i r="1">
      <x v="55"/>
      <x v="3"/>
    </i>
    <i r="1">
      <x v="57"/>
      <x v="3"/>
    </i>
    <i r="1">
      <x v="58"/>
      <x v="3"/>
    </i>
    <i>
      <x v="7"/>
      <x v="54"/>
      <x v="3"/>
    </i>
    <i r="1">
      <x v="55"/>
      <x v="3"/>
    </i>
    <i r="1">
      <x v="57"/>
      <x v="3"/>
    </i>
    <i r="1">
      <x v="58"/>
      <x v="3"/>
    </i>
    <i>
      <x v="8"/>
      <x v="31"/>
      <x v="3"/>
    </i>
    <i r="1">
      <x v="32"/>
      <x v="3"/>
    </i>
    <i r="1">
      <x v="40"/>
      <x v="3"/>
    </i>
    <i r="1">
      <x v="45"/>
      <x v="3"/>
    </i>
    <i r="1">
      <x v="59"/>
      <x v="3"/>
    </i>
    <i r="1">
      <x v="60"/>
      <x v="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4C9A0-812F-4667-A97A-8FD64E0851C2}" name="Сводная таблица2" cacheId="7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compact="0" compactData="0" gridDropZones="1" multipleFieldFilters="0">
  <location ref="Z1:AG106" firstHeaderRow="1" firstDataRow="2" firstDataCol="2"/>
  <pivotFields count="9">
    <pivotField axis="axisRow" compact="0" outline="0" showAll="0">
      <items count="62">
        <item x="3"/>
        <item m="1" x="41"/>
        <item m="1" x="31"/>
        <item m="1" x="30"/>
        <item m="1" x="35"/>
        <item m="1" x="53"/>
        <item m="1" x="45"/>
        <item m="1" x="32"/>
        <item m="1" x="57"/>
        <item m="1" x="33"/>
        <item m="1" x="37"/>
        <item m="1" x="56"/>
        <item m="1" x="44"/>
        <item m="1" x="42"/>
        <item m="1" x="59"/>
        <item m="1" x="46"/>
        <item m="1" x="39"/>
        <item m="1" x="51"/>
        <item x="0"/>
        <item x="5"/>
        <item m="1" x="58"/>
        <item x="1"/>
        <item x="6"/>
        <item m="1" x="28"/>
        <item x="2"/>
        <item x="7"/>
        <item m="1" x="49"/>
        <item m="1" x="55"/>
        <item x="8"/>
        <item m="1" x="60"/>
        <item m="1" x="34"/>
        <item x="4"/>
        <item x="9"/>
        <item m="1" x="48"/>
        <item m="1" x="43"/>
        <item m="1" x="52"/>
        <item m="1" x="50"/>
        <item m="1" x="54"/>
        <item m="1" x="40"/>
        <item m="1" x="26"/>
        <item x="14"/>
        <item m="1" x="29"/>
        <item m="1" x="38"/>
        <item m="1" x="36"/>
        <item m="1" x="27"/>
        <item x="19"/>
        <item x="10"/>
        <item x="11"/>
        <item x="12"/>
        <item x="13"/>
        <item x="15"/>
        <item x="16"/>
        <item x="17"/>
        <item x="18"/>
        <item x="23"/>
        <item x="24"/>
        <item m="1" x="47"/>
        <item x="20"/>
        <item x="21"/>
        <item x="22"/>
        <item x="25"/>
        <item t="default"/>
      </items>
    </pivotField>
    <pivotField axis="axisCol" compact="0" outline="0" showAll="0" defaultSubtotal="0">
      <items count="9">
        <item x="3"/>
        <item x="1"/>
        <item x="0"/>
        <item x="2"/>
        <item m="1" x="8"/>
        <item m="1" x="7"/>
        <item m="1" x="6"/>
        <item x="5"/>
        <item x="4"/>
      </items>
    </pivotField>
    <pivotField dataField="1" compact="0" outline="0" showAll="0"/>
    <pivotField compact="0" outline="0" subtotalTop="0" showAll="0"/>
    <pivotField compact="0" outline="0" showAll="0"/>
    <pivotField compact="0" outline="0" showAll="0"/>
    <pivotField axis="axisRow" compact="0" numFmtId="17" outline="0" subtotalTop="0" showAll="0" defaultSubtotal="0">
      <items count="43">
        <item m="1" x="21"/>
        <item m="1" x="17"/>
        <item m="1" x="13"/>
        <item m="1" x="10"/>
        <item m="1" x="7"/>
        <item m="1" x="4"/>
        <item m="1" x="40"/>
        <item m="1" x="34"/>
        <item m="1" x="28"/>
        <item m="1" x="35"/>
        <item m="1" x="29"/>
        <item m="1" x="25"/>
        <item m="1" x="22"/>
        <item m="1" x="18"/>
        <item m="1" x="14"/>
        <item m="1" x="11"/>
        <item m="1" x="8"/>
        <item m="1" x="5"/>
        <item m="1" x="41"/>
        <item m="1" x="36"/>
        <item m="1" x="30"/>
        <item m="1" x="37"/>
        <item m="1" x="31"/>
        <item m="1" x="26"/>
        <item m="1" x="23"/>
        <item m="1" x="19"/>
        <item m="1" x="15"/>
        <item m="1" x="12"/>
        <item m="1" x="9"/>
        <item m="1" x="6"/>
        <item m="1" x="42"/>
        <item m="1" x="38"/>
        <item m="1" x="32"/>
        <item m="1" x="39"/>
        <item m="1" x="33"/>
        <item m="1" x="27"/>
        <item m="1" x="24"/>
        <item m="1" x="20"/>
        <item m="1" x="16"/>
        <item x="3"/>
        <item x="1"/>
        <item x="2"/>
        <item x="0"/>
      </items>
    </pivotField>
    <pivotField compact="0" outline="0" subtotalTop="0" showAll="0"/>
    <pivotField compact="0" numFmtId="2" outline="0" subtotalTop="0" showAll="0"/>
  </pivotFields>
  <rowFields count="2">
    <field x="6"/>
    <field x="0"/>
  </rowFields>
  <rowItems count="104">
    <i>
      <x v="39"/>
      <x/>
    </i>
    <i r="1">
      <x v="18"/>
    </i>
    <i r="1">
      <x v="19"/>
    </i>
    <i r="1">
      <x v="21"/>
    </i>
    <i r="1">
      <x v="22"/>
    </i>
    <i r="1">
      <x v="24"/>
    </i>
    <i r="1">
      <x v="25"/>
    </i>
    <i r="1">
      <x v="28"/>
    </i>
    <i r="1">
      <x v="31"/>
    </i>
    <i r="1">
      <x v="32"/>
    </i>
    <i r="1">
      <x v="40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7"/>
    </i>
    <i r="1">
      <x v="58"/>
    </i>
    <i r="1">
      <x v="59"/>
    </i>
    <i r="1">
      <x v="60"/>
    </i>
    <i>
      <x v="40"/>
      <x/>
    </i>
    <i r="1">
      <x v="18"/>
    </i>
    <i r="1">
      <x v="19"/>
    </i>
    <i r="1">
      <x v="21"/>
    </i>
    <i r="1">
      <x v="22"/>
    </i>
    <i r="1">
      <x v="24"/>
    </i>
    <i r="1">
      <x v="25"/>
    </i>
    <i r="1">
      <x v="28"/>
    </i>
    <i r="1">
      <x v="31"/>
    </i>
    <i r="1">
      <x v="32"/>
    </i>
    <i r="1">
      <x v="40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7"/>
    </i>
    <i r="1">
      <x v="58"/>
    </i>
    <i r="1">
      <x v="59"/>
    </i>
    <i r="1">
      <x v="60"/>
    </i>
    <i>
      <x v="41"/>
      <x/>
    </i>
    <i r="1">
      <x v="18"/>
    </i>
    <i r="1">
      <x v="19"/>
    </i>
    <i r="1">
      <x v="21"/>
    </i>
    <i r="1">
      <x v="22"/>
    </i>
    <i r="1">
      <x v="24"/>
    </i>
    <i r="1">
      <x v="25"/>
    </i>
    <i r="1">
      <x v="28"/>
    </i>
    <i r="1">
      <x v="31"/>
    </i>
    <i r="1">
      <x v="32"/>
    </i>
    <i r="1">
      <x v="40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7"/>
    </i>
    <i r="1">
      <x v="58"/>
    </i>
    <i r="1">
      <x v="59"/>
    </i>
    <i r="1">
      <x v="60"/>
    </i>
    <i>
      <x v="42"/>
      <x/>
    </i>
    <i r="1">
      <x v="18"/>
    </i>
    <i r="1">
      <x v="19"/>
    </i>
    <i r="1">
      <x v="21"/>
    </i>
    <i r="1">
      <x v="22"/>
    </i>
    <i r="1">
      <x v="24"/>
    </i>
    <i r="1">
      <x v="25"/>
    </i>
    <i r="1">
      <x v="28"/>
    </i>
    <i r="1">
      <x v="31"/>
    </i>
    <i r="1">
      <x v="32"/>
    </i>
    <i r="1">
      <x v="40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7"/>
    </i>
    <i r="1">
      <x v="58"/>
    </i>
    <i r="1">
      <x v="59"/>
    </i>
    <i r="1">
      <x v="60"/>
    </i>
  </rowItems>
  <colFields count="1">
    <field x="1"/>
  </colFields>
  <colItems count="6">
    <i>
      <x/>
    </i>
    <i>
      <x v="1"/>
    </i>
    <i>
      <x v="2"/>
    </i>
    <i>
      <x v="3"/>
    </i>
    <i>
      <x v="7"/>
    </i>
    <i>
      <x v="8"/>
    </i>
  </colItems>
  <dataFields count="1">
    <dataField name="Пользователей" fld="2" subtotal="count" baseField="0" baseItem="1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3DF74-E587-435F-B3E8-26D0A7B4BBDC}" name="Сводная таблица3" cacheId="7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compact="0" compactData="0" gridDropZones="1" multipleFieldFilters="0">
  <location ref="AU1:BH266" firstHeaderRow="1" firstDataRow="2" firstDataCol="3"/>
  <pivotFields count="9">
    <pivotField axis="axisRow" compact="0" outline="0" showAll="0" defaultSubtotal="0">
      <items count="61">
        <item x="3"/>
        <item m="1" x="41"/>
        <item m="1" x="30"/>
        <item m="1" x="53"/>
        <item m="1" x="33"/>
        <item m="1" x="51"/>
        <item x="0"/>
        <item m="1" x="58"/>
        <item x="1"/>
        <item m="1" x="28"/>
        <item x="2"/>
        <item m="1" x="49"/>
        <item x="6"/>
        <item x="7"/>
        <item m="1" x="32"/>
        <item m="1" x="31"/>
        <item x="5"/>
        <item m="1" x="39"/>
        <item m="1" x="45"/>
        <item m="1" x="59"/>
        <item m="1" x="37"/>
        <item m="1" x="44"/>
        <item m="1" x="35"/>
        <item m="1" x="46"/>
        <item m="1" x="42"/>
        <item m="1" x="56"/>
        <item m="1" x="57"/>
        <item m="1" x="55"/>
        <item x="8"/>
        <item m="1" x="60"/>
        <item m="1" x="34"/>
        <item x="4"/>
        <item x="9"/>
        <item m="1" x="48"/>
        <item m="1" x="43"/>
        <item m="1" x="52"/>
        <item m="1" x="50"/>
        <item m="1" x="54"/>
        <item m="1" x="40"/>
        <item m="1" x="26"/>
        <item x="14"/>
        <item m="1" x="29"/>
        <item m="1" x="38"/>
        <item m="1" x="36"/>
        <item m="1" x="27"/>
        <item x="19"/>
        <item x="10"/>
        <item x="11"/>
        <item x="12"/>
        <item x="13"/>
        <item x="15"/>
        <item x="16"/>
        <item x="17"/>
        <item x="18"/>
        <item x="23"/>
        <item x="24"/>
        <item m="1" x="47"/>
        <item x="20"/>
        <item x="21"/>
        <item x="22"/>
        <item x="25"/>
      </items>
    </pivotField>
    <pivotField axis="axisRow" compact="0" outline="0" showAll="0" defaultSubtotal="0">
      <items count="9">
        <item x="3"/>
        <item x="1"/>
        <item x="0"/>
        <item x="2"/>
        <item m="1" x="8"/>
        <item m="1" x="7"/>
        <item m="1" x="6"/>
        <item x="5"/>
        <item x="4"/>
      </items>
    </pivotField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outline="0" subtotalTop="0" showAll="0"/>
    <pivotField compact="0" numFmtId="2" outline="0" showAll="0"/>
    <pivotField compact="0" outline="0" subtotalTop="0" showAll="0"/>
    <pivotField axis="axisRow" compact="0" numFmtId="17" outline="0" subtotalTop="0" showAll="0" defaultSubtotal="0">
      <items count="43">
        <item m="1" x="21"/>
        <item m="1" x="17"/>
        <item m="1" x="13"/>
        <item m="1" x="10"/>
        <item m="1" x="7"/>
        <item m="1" x="4"/>
        <item m="1" x="40"/>
        <item m="1" x="34"/>
        <item m="1" x="28"/>
        <item m="1" x="35"/>
        <item m="1" x="29"/>
        <item m="1" x="25"/>
        <item m="1" x="22"/>
        <item m="1" x="18"/>
        <item m="1" x="14"/>
        <item m="1" x="11"/>
        <item m="1" x="8"/>
        <item m="1" x="5"/>
        <item m="1" x="41"/>
        <item m="1" x="36"/>
        <item m="1" x="30"/>
        <item m="1" x="37"/>
        <item m="1" x="31"/>
        <item m="1" x="26"/>
        <item m="1" x="23"/>
        <item m="1" x="19"/>
        <item m="1" x="15"/>
        <item m="1" x="12"/>
        <item m="1" x="9"/>
        <item m="1" x="6"/>
        <item m="1" x="42"/>
        <item m="1" x="38"/>
        <item m="1" x="32"/>
        <item m="1" x="39"/>
        <item m="1" x="33"/>
        <item m="1" x="27"/>
        <item m="1" x="24"/>
        <item m="1" x="20"/>
        <item m="1" x="16"/>
        <item x="3"/>
        <item x="1"/>
        <item x="2"/>
        <item x="0"/>
      </items>
    </pivotField>
    <pivotField compact="0" outline="0" subtotalTop="0" showAll="0"/>
    <pivotField compact="0" numFmtId="2" outline="0" subtotalTop="0" showAll="0"/>
  </pivotFields>
  <rowFields count="3">
    <field x="6"/>
    <field x="0"/>
    <field x="1"/>
  </rowFields>
  <rowItems count="264">
    <i>
      <x v="39"/>
      <x/>
      <x/>
    </i>
    <i r="2">
      <x v="1"/>
    </i>
    <i r="2">
      <x v="2"/>
    </i>
    <i r="1">
      <x v="6"/>
      <x v="1"/>
    </i>
    <i r="2">
      <x v="2"/>
    </i>
    <i r="2">
      <x v="3"/>
    </i>
    <i r="1">
      <x v="8"/>
      <x/>
    </i>
    <i r="2">
      <x v="1"/>
    </i>
    <i r="2">
      <x v="2"/>
    </i>
    <i r="1">
      <x v="10"/>
      <x/>
    </i>
    <i r="2">
      <x v="1"/>
    </i>
    <i r="2">
      <x v="2"/>
    </i>
    <i r="1">
      <x v="12"/>
      <x/>
    </i>
    <i r="2">
      <x v="1"/>
    </i>
    <i r="2">
      <x v="2"/>
    </i>
    <i r="1">
      <x v="13"/>
      <x/>
    </i>
    <i r="2">
      <x v="1"/>
    </i>
    <i r="2">
      <x v="2"/>
    </i>
    <i r="1">
      <x v="16"/>
      <x v="2"/>
    </i>
    <i r="1">
      <x v="28"/>
      <x/>
    </i>
    <i r="2">
      <x v="1"/>
    </i>
    <i r="2">
      <x v="2"/>
    </i>
    <i r="1">
      <x v="31"/>
      <x v="8"/>
    </i>
    <i r="1">
      <x v="32"/>
      <x v="8"/>
    </i>
    <i r="1">
      <x v="40"/>
      <x v="8"/>
    </i>
    <i r="1">
      <x v="45"/>
      <x v="8"/>
    </i>
    <i r="1">
      <x v="46"/>
      <x v="1"/>
    </i>
    <i r="2">
      <x v="2"/>
    </i>
    <i r="2">
      <x v="3"/>
    </i>
    <i r="1">
      <x v="47"/>
      <x/>
    </i>
    <i r="2">
      <x v="1"/>
    </i>
    <i r="2">
      <x v="2"/>
    </i>
    <i r="1">
      <x v="48"/>
      <x/>
    </i>
    <i r="2">
      <x v="1"/>
    </i>
    <i r="2">
      <x v="2"/>
    </i>
    <i r="1">
      <x v="49"/>
      <x/>
    </i>
    <i r="2">
      <x v="1"/>
    </i>
    <i r="2">
      <x v="2"/>
    </i>
    <i r="1">
      <x v="50"/>
      <x v="2"/>
    </i>
    <i r="1">
      <x v="51"/>
      <x/>
    </i>
    <i r="2">
      <x v="1"/>
    </i>
    <i r="2">
      <x v="2"/>
    </i>
    <i r="1">
      <x v="52"/>
      <x/>
    </i>
    <i r="2">
      <x v="1"/>
    </i>
    <i r="2">
      <x v="2"/>
    </i>
    <i r="1">
      <x v="53"/>
      <x/>
    </i>
    <i r="2">
      <x v="1"/>
    </i>
    <i r="2">
      <x v="2"/>
    </i>
    <i r="1">
      <x v="54"/>
      <x v="1"/>
    </i>
    <i r="2">
      <x v="2"/>
    </i>
    <i r="2">
      <x v="3"/>
    </i>
    <i r="2">
      <x v="7"/>
    </i>
    <i r="1">
      <x v="55"/>
      <x v="1"/>
    </i>
    <i r="2">
      <x v="2"/>
    </i>
    <i r="2">
      <x v="3"/>
    </i>
    <i r="2">
      <x v="7"/>
    </i>
    <i r="1">
      <x v="57"/>
      <x v="1"/>
    </i>
    <i r="2">
      <x v="2"/>
    </i>
    <i r="2">
      <x v="3"/>
    </i>
    <i r="2">
      <x v="7"/>
    </i>
    <i r="1">
      <x v="58"/>
      <x v="1"/>
    </i>
    <i r="2">
      <x v="2"/>
    </i>
    <i r="2">
      <x v="3"/>
    </i>
    <i r="2">
      <x v="7"/>
    </i>
    <i r="1">
      <x v="59"/>
      <x v="8"/>
    </i>
    <i r="1">
      <x v="60"/>
      <x v="8"/>
    </i>
    <i>
      <x v="40"/>
      <x/>
      <x/>
    </i>
    <i r="2">
      <x v="1"/>
    </i>
    <i r="2">
      <x v="2"/>
    </i>
    <i r="1">
      <x v="6"/>
      <x v="1"/>
    </i>
    <i r="2">
      <x v="2"/>
    </i>
    <i r="2">
      <x v="3"/>
    </i>
    <i r="1">
      <x v="8"/>
      <x/>
    </i>
    <i r="2">
      <x v="1"/>
    </i>
    <i r="2">
      <x v="2"/>
    </i>
    <i r="1">
      <x v="10"/>
      <x/>
    </i>
    <i r="2">
      <x v="1"/>
    </i>
    <i r="2">
      <x v="2"/>
    </i>
    <i r="1">
      <x v="12"/>
      <x/>
    </i>
    <i r="2">
      <x v="1"/>
    </i>
    <i r="2">
      <x v="2"/>
    </i>
    <i r="1">
      <x v="13"/>
      <x/>
    </i>
    <i r="2">
      <x v="1"/>
    </i>
    <i r="2">
      <x v="2"/>
    </i>
    <i r="1">
      <x v="16"/>
      <x v="2"/>
    </i>
    <i r="1">
      <x v="28"/>
      <x/>
    </i>
    <i r="2">
      <x v="1"/>
    </i>
    <i r="2">
      <x v="2"/>
    </i>
    <i r="1">
      <x v="31"/>
      <x v="8"/>
    </i>
    <i r="1">
      <x v="32"/>
      <x v="8"/>
    </i>
    <i r="1">
      <x v="40"/>
      <x v="8"/>
    </i>
    <i r="1">
      <x v="45"/>
      <x v="8"/>
    </i>
    <i r="1">
      <x v="46"/>
      <x v="1"/>
    </i>
    <i r="2">
      <x v="2"/>
    </i>
    <i r="2">
      <x v="3"/>
    </i>
    <i r="1">
      <x v="47"/>
      <x/>
    </i>
    <i r="2">
      <x v="1"/>
    </i>
    <i r="2">
      <x v="2"/>
    </i>
    <i r="1">
      <x v="48"/>
      <x/>
    </i>
    <i r="2">
      <x v="1"/>
    </i>
    <i r="2">
      <x v="2"/>
    </i>
    <i r="1">
      <x v="49"/>
      <x/>
    </i>
    <i r="2">
      <x v="1"/>
    </i>
    <i r="2">
      <x v="2"/>
    </i>
    <i r="1">
      <x v="50"/>
      <x v="2"/>
    </i>
    <i r="1">
      <x v="51"/>
      <x/>
    </i>
    <i r="2">
      <x v="1"/>
    </i>
    <i r="2">
      <x v="2"/>
    </i>
    <i r="1">
      <x v="52"/>
      <x/>
    </i>
    <i r="2">
      <x v="1"/>
    </i>
    <i r="2">
      <x v="2"/>
    </i>
    <i r="1">
      <x v="53"/>
      <x/>
    </i>
    <i r="2">
      <x v="1"/>
    </i>
    <i r="2">
      <x v="2"/>
    </i>
    <i r="1">
      <x v="54"/>
      <x v="1"/>
    </i>
    <i r="2">
      <x v="2"/>
    </i>
    <i r="2">
      <x v="3"/>
    </i>
    <i r="2">
      <x v="7"/>
    </i>
    <i r="1">
      <x v="55"/>
      <x v="1"/>
    </i>
    <i r="2">
      <x v="2"/>
    </i>
    <i r="2">
      <x v="3"/>
    </i>
    <i r="2">
      <x v="7"/>
    </i>
    <i r="1">
      <x v="57"/>
      <x v="1"/>
    </i>
    <i r="2">
      <x v="2"/>
    </i>
    <i r="2">
      <x v="3"/>
    </i>
    <i r="2">
      <x v="7"/>
    </i>
    <i r="1">
      <x v="58"/>
      <x v="1"/>
    </i>
    <i r="2">
      <x v="2"/>
    </i>
    <i r="2">
      <x v="3"/>
    </i>
    <i r="2">
      <x v="7"/>
    </i>
    <i r="1">
      <x v="59"/>
      <x v="8"/>
    </i>
    <i r="1">
      <x v="60"/>
      <x v="8"/>
    </i>
    <i>
      <x v="41"/>
      <x/>
      <x/>
    </i>
    <i r="2">
      <x v="1"/>
    </i>
    <i r="2">
      <x v="2"/>
    </i>
    <i r="1">
      <x v="6"/>
      <x v="1"/>
    </i>
    <i r="2">
      <x v="2"/>
    </i>
    <i r="2">
      <x v="3"/>
    </i>
    <i r="1">
      <x v="8"/>
      <x/>
    </i>
    <i r="2">
      <x v="1"/>
    </i>
    <i r="2">
      <x v="2"/>
    </i>
    <i r="1">
      <x v="10"/>
      <x/>
    </i>
    <i r="2">
      <x v="1"/>
    </i>
    <i r="2">
      <x v="2"/>
    </i>
    <i r="1">
      <x v="12"/>
      <x/>
    </i>
    <i r="2">
      <x v="1"/>
    </i>
    <i r="2">
      <x v="2"/>
    </i>
    <i r="1">
      <x v="13"/>
      <x/>
    </i>
    <i r="2">
      <x v="1"/>
    </i>
    <i r="2">
      <x v="2"/>
    </i>
    <i r="1">
      <x v="16"/>
      <x v="2"/>
    </i>
    <i r="1">
      <x v="28"/>
      <x/>
    </i>
    <i r="2">
      <x v="1"/>
    </i>
    <i r="2">
      <x v="2"/>
    </i>
    <i r="1">
      <x v="31"/>
      <x v="8"/>
    </i>
    <i r="1">
      <x v="32"/>
      <x v="8"/>
    </i>
    <i r="1">
      <x v="40"/>
      <x v="8"/>
    </i>
    <i r="1">
      <x v="45"/>
      <x v="8"/>
    </i>
    <i r="1">
      <x v="46"/>
      <x v="1"/>
    </i>
    <i r="2">
      <x v="2"/>
    </i>
    <i r="2">
      <x v="3"/>
    </i>
    <i r="1">
      <x v="47"/>
      <x/>
    </i>
    <i r="2">
      <x v="1"/>
    </i>
    <i r="2">
      <x v="2"/>
    </i>
    <i r="1">
      <x v="48"/>
      <x/>
    </i>
    <i r="2">
      <x v="1"/>
    </i>
    <i r="2">
      <x v="2"/>
    </i>
    <i r="1">
      <x v="49"/>
      <x/>
    </i>
    <i r="2">
      <x v="1"/>
    </i>
    <i r="2">
      <x v="2"/>
    </i>
    <i r="1">
      <x v="50"/>
      <x v="2"/>
    </i>
    <i r="1">
      <x v="51"/>
      <x/>
    </i>
    <i r="2">
      <x v="1"/>
    </i>
    <i r="2">
      <x v="2"/>
    </i>
    <i r="1">
      <x v="52"/>
      <x/>
    </i>
    <i r="2">
      <x v="1"/>
    </i>
    <i r="2">
      <x v="2"/>
    </i>
    <i r="1">
      <x v="53"/>
      <x/>
    </i>
    <i r="2">
      <x v="1"/>
    </i>
    <i r="2">
      <x v="2"/>
    </i>
    <i r="1">
      <x v="54"/>
      <x v="1"/>
    </i>
    <i r="2">
      <x v="2"/>
    </i>
    <i r="2">
      <x v="3"/>
    </i>
    <i r="2">
      <x v="7"/>
    </i>
    <i r="1">
      <x v="55"/>
      <x v="1"/>
    </i>
    <i r="2">
      <x v="2"/>
    </i>
    <i r="2">
      <x v="3"/>
    </i>
    <i r="2">
      <x v="7"/>
    </i>
    <i r="1">
      <x v="57"/>
      <x v="1"/>
    </i>
    <i r="2">
      <x v="2"/>
    </i>
    <i r="2">
      <x v="3"/>
    </i>
    <i r="2">
      <x v="7"/>
    </i>
    <i r="1">
      <x v="58"/>
      <x v="1"/>
    </i>
    <i r="2">
      <x v="2"/>
    </i>
    <i r="2">
      <x v="3"/>
    </i>
    <i r="2">
      <x v="7"/>
    </i>
    <i r="1">
      <x v="59"/>
      <x v="8"/>
    </i>
    <i r="1">
      <x v="60"/>
      <x v="8"/>
    </i>
    <i>
      <x v="42"/>
      <x/>
      <x/>
    </i>
    <i r="2">
      <x v="1"/>
    </i>
    <i r="2">
      <x v="2"/>
    </i>
    <i r="1">
      <x v="6"/>
      <x v="1"/>
    </i>
    <i r="2">
      <x v="2"/>
    </i>
    <i r="2">
      <x v="3"/>
    </i>
    <i r="1">
      <x v="8"/>
      <x/>
    </i>
    <i r="2">
      <x v="1"/>
    </i>
    <i r="2">
      <x v="2"/>
    </i>
    <i r="1">
      <x v="10"/>
      <x/>
    </i>
    <i r="2">
      <x v="1"/>
    </i>
    <i r="2">
      <x v="2"/>
    </i>
    <i r="1">
      <x v="12"/>
      <x/>
    </i>
    <i r="2">
      <x v="1"/>
    </i>
    <i r="2">
      <x v="2"/>
    </i>
    <i r="1">
      <x v="13"/>
      <x/>
    </i>
    <i r="2">
      <x v="1"/>
    </i>
    <i r="2">
      <x v="2"/>
    </i>
    <i r="1">
      <x v="16"/>
      <x v="2"/>
    </i>
    <i r="1">
      <x v="28"/>
      <x/>
    </i>
    <i r="2">
      <x v="1"/>
    </i>
    <i r="2">
      <x v="2"/>
    </i>
    <i r="1">
      <x v="31"/>
      <x v="8"/>
    </i>
    <i r="1">
      <x v="32"/>
      <x v="8"/>
    </i>
    <i r="1">
      <x v="40"/>
      <x v="8"/>
    </i>
    <i r="1">
      <x v="45"/>
      <x v="8"/>
    </i>
    <i r="1">
      <x v="46"/>
      <x v="1"/>
    </i>
    <i r="2">
      <x v="2"/>
    </i>
    <i r="2">
      <x v="3"/>
    </i>
    <i r="1">
      <x v="47"/>
      <x/>
    </i>
    <i r="2">
      <x v="1"/>
    </i>
    <i r="2">
      <x v="2"/>
    </i>
    <i r="1">
      <x v="48"/>
      <x/>
    </i>
    <i r="2">
      <x v="1"/>
    </i>
    <i r="2">
      <x v="2"/>
    </i>
    <i r="1">
      <x v="49"/>
      <x/>
    </i>
    <i r="2">
      <x v="1"/>
    </i>
    <i r="2">
      <x v="2"/>
    </i>
    <i r="1">
      <x v="50"/>
      <x v="2"/>
    </i>
    <i r="1">
      <x v="51"/>
      <x/>
    </i>
    <i r="2">
      <x v="1"/>
    </i>
    <i r="2">
      <x v="2"/>
    </i>
    <i r="1">
      <x v="52"/>
      <x/>
    </i>
    <i r="2">
      <x v="1"/>
    </i>
    <i r="2">
      <x v="2"/>
    </i>
    <i r="1">
      <x v="53"/>
      <x/>
    </i>
    <i r="2">
      <x v="1"/>
    </i>
    <i r="2">
      <x v="2"/>
    </i>
    <i r="1">
      <x v="54"/>
      <x v="1"/>
    </i>
    <i r="2">
      <x v="2"/>
    </i>
    <i r="2">
      <x v="3"/>
    </i>
    <i r="2">
      <x v="7"/>
    </i>
    <i r="1">
      <x v="55"/>
      <x v="1"/>
    </i>
    <i r="2">
      <x v="2"/>
    </i>
    <i r="2">
      <x v="3"/>
    </i>
    <i r="2">
      <x v="7"/>
    </i>
    <i r="1">
      <x v="57"/>
      <x v="1"/>
    </i>
    <i r="2">
      <x v="2"/>
    </i>
    <i r="2">
      <x v="3"/>
    </i>
    <i r="2">
      <x v="7"/>
    </i>
    <i r="1">
      <x v="58"/>
      <x v="1"/>
    </i>
    <i r="2">
      <x v="2"/>
    </i>
    <i r="2">
      <x v="3"/>
    </i>
    <i r="2">
      <x v="7"/>
    </i>
    <i r="1">
      <x v="59"/>
      <x v="8"/>
    </i>
    <i r="1">
      <x v="60"/>
      <x v="8"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dataFields count="1">
    <dataField name="цена1" fld="3" baseField="1" baseItem="0"/>
  </dataFields>
  <formats count="1">
    <format dxfId="20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066E95-B014-4834-9D6B-8F52847D1267}" name="Сводная_НМВ" cacheId="7" applyNumberFormats="0" applyBorderFormats="0" applyFontFormats="0" applyPatternFormats="0" applyAlignmentFormats="0" applyWidthHeightFormats="1" dataCaption="Значения" updatedVersion="6" minRefreshableVersion="3" rowGrandTotals="0" colGrandTotals="0" itemPrintTitles="1" createdVersion="6" indent="0" compact="0" compactData="0" gridDropZones="1" multipleFieldFilters="0">
  <location ref="J1:W266" firstHeaderRow="1" firstDataRow="2" firstDataCol="3"/>
  <pivotFields count="9">
    <pivotField axis="axisRow" compact="0" outline="0" showAll="0" defaultSubtotal="0">
      <items count="61">
        <item x="3"/>
        <item m="1" x="41"/>
        <item m="1" x="30"/>
        <item m="1" x="53"/>
        <item m="1" x="33"/>
        <item m="1" x="51"/>
        <item x="0"/>
        <item m="1" x="58"/>
        <item x="1"/>
        <item m="1" x="28"/>
        <item x="2"/>
        <item m="1" x="49"/>
        <item x="6"/>
        <item x="7"/>
        <item m="1" x="32"/>
        <item m="1" x="31"/>
        <item x="5"/>
        <item m="1" x="39"/>
        <item m="1" x="45"/>
        <item m="1" x="59"/>
        <item m="1" x="37"/>
        <item m="1" x="44"/>
        <item m="1" x="35"/>
        <item m="1" x="46"/>
        <item m="1" x="42"/>
        <item m="1" x="56"/>
        <item m="1" x="57"/>
        <item m="1" x="55"/>
        <item x="8"/>
        <item m="1" x="60"/>
        <item m="1" x="34"/>
        <item x="4"/>
        <item x="9"/>
        <item m="1" x="48"/>
        <item m="1" x="43"/>
        <item m="1" x="52"/>
        <item m="1" x="50"/>
        <item m="1" x="54"/>
        <item m="1" x="40"/>
        <item m="1" x="26"/>
        <item x="14"/>
        <item m="1" x="29"/>
        <item m="1" x="38"/>
        <item m="1" x="36"/>
        <item m="1" x="27"/>
        <item x="19"/>
        <item x="10"/>
        <item x="11"/>
        <item x="12"/>
        <item x="13"/>
        <item x="15"/>
        <item x="16"/>
        <item x="17"/>
        <item x="18"/>
        <item x="23"/>
        <item x="24"/>
        <item m="1" x="47"/>
        <item x="20"/>
        <item x="21"/>
        <item x="22"/>
        <item x="25"/>
      </items>
    </pivotField>
    <pivotField axis="axisRow" compact="0" outline="0" showAll="0" defaultSubtotal="0">
      <items count="9">
        <item x="3"/>
        <item x="1"/>
        <item x="0"/>
        <item x="2"/>
        <item m="1" x="8"/>
        <item m="1" x="7"/>
        <item m="1" x="6"/>
        <item x="5"/>
        <item x="4"/>
      </items>
    </pivotField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compact="0" outline="0" subtotalTop="0" showAll="0"/>
    <pivotField dataField="1" compact="0" numFmtId="2" outline="0" showAll="0"/>
    <pivotField compact="0" outline="0" subtotalTop="0" showAll="0"/>
    <pivotField axis="axisRow" compact="0" numFmtId="17" outline="0" subtotalTop="0" showAll="0" defaultSubtotal="0">
      <items count="43">
        <item m="1" x="21"/>
        <item m="1" x="17"/>
        <item m="1" x="13"/>
        <item m="1" x="10"/>
        <item m="1" x="7"/>
        <item m="1" x="4"/>
        <item m="1" x="40"/>
        <item m="1" x="34"/>
        <item m="1" x="28"/>
        <item m="1" x="35"/>
        <item m="1" x="29"/>
        <item m="1" x="25"/>
        <item m="1" x="22"/>
        <item m="1" x="18"/>
        <item m="1" x="14"/>
        <item m="1" x="11"/>
        <item m="1" x="8"/>
        <item m="1" x="5"/>
        <item m="1" x="41"/>
        <item m="1" x="36"/>
        <item m="1" x="30"/>
        <item m="1" x="37"/>
        <item m="1" x="31"/>
        <item m="1" x="26"/>
        <item m="1" x="23"/>
        <item m="1" x="19"/>
        <item m="1" x="15"/>
        <item m="1" x="12"/>
        <item m="1" x="9"/>
        <item m="1" x="6"/>
        <item m="1" x="42"/>
        <item m="1" x="38"/>
        <item m="1" x="32"/>
        <item m="1" x="39"/>
        <item m="1" x="33"/>
        <item m="1" x="27"/>
        <item m="1" x="24"/>
        <item m="1" x="20"/>
        <item m="1" x="16"/>
        <item x="3"/>
        <item x="1"/>
        <item x="2"/>
        <item x="0"/>
      </items>
    </pivotField>
    <pivotField compact="0" outline="0" subtotalTop="0" showAll="0"/>
    <pivotField compact="0" numFmtId="2" outline="0" subtotalTop="0" showAll="0"/>
  </pivotFields>
  <rowFields count="3">
    <field x="6"/>
    <field x="0"/>
    <field x="1"/>
  </rowFields>
  <rowItems count="264">
    <i>
      <x v="39"/>
      <x/>
      <x/>
    </i>
    <i r="2">
      <x v="1"/>
    </i>
    <i r="2">
      <x v="2"/>
    </i>
    <i r="1">
      <x v="6"/>
      <x v="1"/>
    </i>
    <i r="2">
      <x v="2"/>
    </i>
    <i r="2">
      <x v="3"/>
    </i>
    <i r="1">
      <x v="8"/>
      <x/>
    </i>
    <i r="2">
      <x v="1"/>
    </i>
    <i r="2">
      <x v="2"/>
    </i>
    <i r="1">
      <x v="10"/>
      <x/>
    </i>
    <i r="2">
      <x v="1"/>
    </i>
    <i r="2">
      <x v="2"/>
    </i>
    <i r="1">
      <x v="12"/>
      <x/>
    </i>
    <i r="2">
      <x v="1"/>
    </i>
    <i r="2">
      <x v="2"/>
    </i>
    <i r="1">
      <x v="13"/>
      <x/>
    </i>
    <i r="2">
      <x v="1"/>
    </i>
    <i r="2">
      <x v="2"/>
    </i>
    <i r="1">
      <x v="16"/>
      <x v="2"/>
    </i>
    <i r="1">
      <x v="28"/>
      <x/>
    </i>
    <i r="2">
      <x v="1"/>
    </i>
    <i r="2">
      <x v="2"/>
    </i>
    <i r="1">
      <x v="31"/>
      <x v="8"/>
    </i>
    <i r="1">
      <x v="32"/>
      <x v="8"/>
    </i>
    <i r="1">
      <x v="40"/>
      <x v="8"/>
    </i>
    <i r="1">
      <x v="45"/>
      <x v="8"/>
    </i>
    <i r="1">
      <x v="46"/>
      <x v="1"/>
    </i>
    <i r="2">
      <x v="2"/>
    </i>
    <i r="2">
      <x v="3"/>
    </i>
    <i r="1">
      <x v="47"/>
      <x/>
    </i>
    <i r="2">
      <x v="1"/>
    </i>
    <i r="2">
      <x v="2"/>
    </i>
    <i r="1">
      <x v="48"/>
      <x/>
    </i>
    <i r="2">
      <x v="1"/>
    </i>
    <i r="2">
      <x v="2"/>
    </i>
    <i r="1">
      <x v="49"/>
      <x/>
    </i>
    <i r="2">
      <x v="1"/>
    </i>
    <i r="2">
      <x v="2"/>
    </i>
    <i r="1">
      <x v="50"/>
      <x v="2"/>
    </i>
    <i r="1">
      <x v="51"/>
      <x/>
    </i>
    <i r="2">
      <x v="1"/>
    </i>
    <i r="2">
      <x v="2"/>
    </i>
    <i r="1">
      <x v="52"/>
      <x/>
    </i>
    <i r="2">
      <x v="1"/>
    </i>
    <i r="2">
      <x v="2"/>
    </i>
    <i r="1">
      <x v="53"/>
      <x/>
    </i>
    <i r="2">
      <x v="1"/>
    </i>
    <i r="2">
      <x v="2"/>
    </i>
    <i r="1">
      <x v="54"/>
      <x v="1"/>
    </i>
    <i r="2">
      <x v="2"/>
    </i>
    <i r="2">
      <x v="3"/>
    </i>
    <i r="2">
      <x v="7"/>
    </i>
    <i r="1">
      <x v="55"/>
      <x v="1"/>
    </i>
    <i r="2">
      <x v="2"/>
    </i>
    <i r="2">
      <x v="3"/>
    </i>
    <i r="2">
      <x v="7"/>
    </i>
    <i r="1">
      <x v="57"/>
      <x v="1"/>
    </i>
    <i r="2">
      <x v="2"/>
    </i>
    <i r="2">
      <x v="3"/>
    </i>
    <i r="2">
      <x v="7"/>
    </i>
    <i r="1">
      <x v="58"/>
      <x v="1"/>
    </i>
    <i r="2">
      <x v="2"/>
    </i>
    <i r="2">
      <x v="3"/>
    </i>
    <i r="2">
      <x v="7"/>
    </i>
    <i r="1">
      <x v="59"/>
      <x v="8"/>
    </i>
    <i r="1">
      <x v="60"/>
      <x v="8"/>
    </i>
    <i>
      <x v="40"/>
      <x/>
      <x/>
    </i>
    <i r="2">
      <x v="1"/>
    </i>
    <i r="2">
      <x v="2"/>
    </i>
    <i r="1">
      <x v="6"/>
      <x v="1"/>
    </i>
    <i r="2">
      <x v="2"/>
    </i>
    <i r="2">
      <x v="3"/>
    </i>
    <i r="1">
      <x v="8"/>
      <x/>
    </i>
    <i r="2">
      <x v="1"/>
    </i>
    <i r="2">
      <x v="2"/>
    </i>
    <i r="1">
      <x v="10"/>
      <x/>
    </i>
    <i r="2">
      <x v="1"/>
    </i>
    <i r="2">
      <x v="2"/>
    </i>
    <i r="1">
      <x v="12"/>
      <x/>
    </i>
    <i r="2">
      <x v="1"/>
    </i>
    <i r="2">
      <x v="2"/>
    </i>
    <i r="1">
      <x v="13"/>
      <x/>
    </i>
    <i r="2">
      <x v="1"/>
    </i>
    <i r="2">
      <x v="2"/>
    </i>
    <i r="1">
      <x v="16"/>
      <x v="2"/>
    </i>
    <i r="1">
      <x v="28"/>
      <x/>
    </i>
    <i r="2">
      <x v="1"/>
    </i>
    <i r="2">
      <x v="2"/>
    </i>
    <i r="1">
      <x v="31"/>
      <x v="8"/>
    </i>
    <i r="1">
      <x v="32"/>
      <x v="8"/>
    </i>
    <i r="1">
      <x v="40"/>
      <x v="8"/>
    </i>
    <i r="1">
      <x v="45"/>
      <x v="8"/>
    </i>
    <i r="1">
      <x v="46"/>
      <x v="1"/>
    </i>
    <i r="2">
      <x v="2"/>
    </i>
    <i r="2">
      <x v="3"/>
    </i>
    <i r="1">
      <x v="47"/>
      <x/>
    </i>
    <i r="2">
      <x v="1"/>
    </i>
    <i r="2">
      <x v="2"/>
    </i>
    <i r="1">
      <x v="48"/>
      <x/>
    </i>
    <i r="2">
      <x v="1"/>
    </i>
    <i r="2">
      <x v="2"/>
    </i>
    <i r="1">
      <x v="49"/>
      <x/>
    </i>
    <i r="2">
      <x v="1"/>
    </i>
    <i r="2">
      <x v="2"/>
    </i>
    <i r="1">
      <x v="50"/>
      <x v="2"/>
    </i>
    <i r="1">
      <x v="51"/>
      <x/>
    </i>
    <i r="2">
      <x v="1"/>
    </i>
    <i r="2">
      <x v="2"/>
    </i>
    <i r="1">
      <x v="52"/>
      <x/>
    </i>
    <i r="2">
      <x v="1"/>
    </i>
    <i r="2">
      <x v="2"/>
    </i>
    <i r="1">
      <x v="53"/>
      <x/>
    </i>
    <i r="2">
      <x v="1"/>
    </i>
    <i r="2">
      <x v="2"/>
    </i>
    <i r="1">
      <x v="54"/>
      <x v="1"/>
    </i>
    <i r="2">
      <x v="2"/>
    </i>
    <i r="2">
      <x v="3"/>
    </i>
    <i r="2">
      <x v="7"/>
    </i>
    <i r="1">
      <x v="55"/>
      <x v="1"/>
    </i>
    <i r="2">
      <x v="2"/>
    </i>
    <i r="2">
      <x v="3"/>
    </i>
    <i r="2">
      <x v="7"/>
    </i>
    <i r="1">
      <x v="57"/>
      <x v="1"/>
    </i>
    <i r="2">
      <x v="2"/>
    </i>
    <i r="2">
      <x v="3"/>
    </i>
    <i r="2">
      <x v="7"/>
    </i>
    <i r="1">
      <x v="58"/>
      <x v="1"/>
    </i>
    <i r="2">
      <x v="2"/>
    </i>
    <i r="2">
      <x v="3"/>
    </i>
    <i r="2">
      <x v="7"/>
    </i>
    <i r="1">
      <x v="59"/>
      <x v="8"/>
    </i>
    <i r="1">
      <x v="60"/>
      <x v="8"/>
    </i>
    <i>
      <x v="41"/>
      <x/>
      <x/>
    </i>
    <i r="2">
      <x v="1"/>
    </i>
    <i r="2">
      <x v="2"/>
    </i>
    <i r="1">
      <x v="6"/>
      <x v="1"/>
    </i>
    <i r="2">
      <x v="2"/>
    </i>
    <i r="2">
      <x v="3"/>
    </i>
    <i r="1">
      <x v="8"/>
      <x/>
    </i>
    <i r="2">
      <x v="1"/>
    </i>
    <i r="2">
      <x v="2"/>
    </i>
    <i r="1">
      <x v="10"/>
      <x/>
    </i>
    <i r="2">
      <x v="1"/>
    </i>
    <i r="2">
      <x v="2"/>
    </i>
    <i r="1">
      <x v="12"/>
      <x/>
    </i>
    <i r="2">
      <x v="1"/>
    </i>
    <i r="2">
      <x v="2"/>
    </i>
    <i r="1">
      <x v="13"/>
      <x/>
    </i>
    <i r="2">
      <x v="1"/>
    </i>
    <i r="2">
      <x v="2"/>
    </i>
    <i r="1">
      <x v="16"/>
      <x v="2"/>
    </i>
    <i r="1">
      <x v="28"/>
      <x/>
    </i>
    <i r="2">
      <x v="1"/>
    </i>
    <i r="2">
      <x v="2"/>
    </i>
    <i r="1">
      <x v="31"/>
      <x v="8"/>
    </i>
    <i r="1">
      <x v="32"/>
      <x v="8"/>
    </i>
    <i r="1">
      <x v="40"/>
      <x v="8"/>
    </i>
    <i r="1">
      <x v="45"/>
      <x v="8"/>
    </i>
    <i r="1">
      <x v="46"/>
      <x v="1"/>
    </i>
    <i r="2">
      <x v="2"/>
    </i>
    <i r="2">
      <x v="3"/>
    </i>
    <i r="1">
      <x v="47"/>
      <x/>
    </i>
    <i r="2">
      <x v="1"/>
    </i>
    <i r="2">
      <x v="2"/>
    </i>
    <i r="1">
      <x v="48"/>
      <x/>
    </i>
    <i r="2">
      <x v="1"/>
    </i>
    <i r="2">
      <x v="2"/>
    </i>
    <i r="1">
      <x v="49"/>
      <x/>
    </i>
    <i r="2">
      <x v="1"/>
    </i>
    <i r="2">
      <x v="2"/>
    </i>
    <i r="1">
      <x v="50"/>
      <x v="2"/>
    </i>
    <i r="1">
      <x v="51"/>
      <x/>
    </i>
    <i r="2">
      <x v="1"/>
    </i>
    <i r="2">
      <x v="2"/>
    </i>
    <i r="1">
      <x v="52"/>
      <x/>
    </i>
    <i r="2">
      <x v="1"/>
    </i>
    <i r="2">
      <x v="2"/>
    </i>
    <i r="1">
      <x v="53"/>
      <x/>
    </i>
    <i r="2">
      <x v="1"/>
    </i>
    <i r="2">
      <x v="2"/>
    </i>
    <i r="1">
      <x v="54"/>
      <x v="1"/>
    </i>
    <i r="2">
      <x v="2"/>
    </i>
    <i r="2">
      <x v="3"/>
    </i>
    <i r="2">
      <x v="7"/>
    </i>
    <i r="1">
      <x v="55"/>
      <x v="1"/>
    </i>
    <i r="2">
      <x v="2"/>
    </i>
    <i r="2">
      <x v="3"/>
    </i>
    <i r="2">
      <x v="7"/>
    </i>
    <i r="1">
      <x v="57"/>
      <x v="1"/>
    </i>
    <i r="2">
      <x v="2"/>
    </i>
    <i r="2">
      <x v="3"/>
    </i>
    <i r="2">
      <x v="7"/>
    </i>
    <i r="1">
      <x v="58"/>
      <x v="1"/>
    </i>
    <i r="2">
      <x v="2"/>
    </i>
    <i r="2">
      <x v="3"/>
    </i>
    <i r="2">
      <x v="7"/>
    </i>
    <i r="1">
      <x v="59"/>
      <x v="8"/>
    </i>
    <i r="1">
      <x v="60"/>
      <x v="8"/>
    </i>
    <i>
      <x v="42"/>
      <x/>
      <x/>
    </i>
    <i r="2">
      <x v="1"/>
    </i>
    <i r="2">
      <x v="2"/>
    </i>
    <i r="1">
      <x v="6"/>
      <x v="1"/>
    </i>
    <i r="2">
      <x v="2"/>
    </i>
    <i r="2">
      <x v="3"/>
    </i>
    <i r="1">
      <x v="8"/>
      <x/>
    </i>
    <i r="2">
      <x v="1"/>
    </i>
    <i r="2">
      <x v="2"/>
    </i>
    <i r="1">
      <x v="10"/>
      <x/>
    </i>
    <i r="2">
      <x v="1"/>
    </i>
    <i r="2">
      <x v="2"/>
    </i>
    <i r="1">
      <x v="12"/>
      <x/>
    </i>
    <i r="2">
      <x v="1"/>
    </i>
    <i r="2">
      <x v="2"/>
    </i>
    <i r="1">
      <x v="13"/>
      <x/>
    </i>
    <i r="2">
      <x v="1"/>
    </i>
    <i r="2">
      <x v="2"/>
    </i>
    <i r="1">
      <x v="16"/>
      <x v="2"/>
    </i>
    <i r="1">
      <x v="28"/>
      <x/>
    </i>
    <i r="2">
      <x v="1"/>
    </i>
    <i r="2">
      <x v="2"/>
    </i>
    <i r="1">
      <x v="31"/>
      <x v="8"/>
    </i>
    <i r="1">
      <x v="32"/>
      <x v="8"/>
    </i>
    <i r="1">
      <x v="40"/>
      <x v="8"/>
    </i>
    <i r="1">
      <x v="45"/>
      <x v="8"/>
    </i>
    <i r="1">
      <x v="46"/>
      <x v="1"/>
    </i>
    <i r="2">
      <x v="2"/>
    </i>
    <i r="2">
      <x v="3"/>
    </i>
    <i r="1">
      <x v="47"/>
      <x/>
    </i>
    <i r="2">
      <x v="1"/>
    </i>
    <i r="2">
      <x v="2"/>
    </i>
    <i r="1">
      <x v="48"/>
      <x/>
    </i>
    <i r="2">
      <x v="1"/>
    </i>
    <i r="2">
      <x v="2"/>
    </i>
    <i r="1">
      <x v="49"/>
      <x/>
    </i>
    <i r="2">
      <x v="1"/>
    </i>
    <i r="2">
      <x v="2"/>
    </i>
    <i r="1">
      <x v="50"/>
      <x v="2"/>
    </i>
    <i r="1">
      <x v="51"/>
      <x/>
    </i>
    <i r="2">
      <x v="1"/>
    </i>
    <i r="2">
      <x v="2"/>
    </i>
    <i r="1">
      <x v="52"/>
      <x/>
    </i>
    <i r="2">
      <x v="1"/>
    </i>
    <i r="2">
      <x v="2"/>
    </i>
    <i r="1">
      <x v="53"/>
      <x/>
    </i>
    <i r="2">
      <x v="1"/>
    </i>
    <i r="2">
      <x v="2"/>
    </i>
    <i r="1">
      <x v="54"/>
      <x v="1"/>
    </i>
    <i r="2">
      <x v="2"/>
    </i>
    <i r="2">
      <x v="3"/>
    </i>
    <i r="2">
      <x v="7"/>
    </i>
    <i r="1">
      <x v="55"/>
      <x v="1"/>
    </i>
    <i r="2">
      <x v="2"/>
    </i>
    <i r="2">
      <x v="3"/>
    </i>
    <i r="2">
      <x v="7"/>
    </i>
    <i r="1">
      <x v="57"/>
      <x v="1"/>
    </i>
    <i r="2">
      <x v="2"/>
    </i>
    <i r="2">
      <x v="3"/>
    </i>
    <i r="2">
      <x v="7"/>
    </i>
    <i r="1">
      <x v="58"/>
      <x v="1"/>
    </i>
    <i r="2">
      <x v="2"/>
    </i>
    <i r="2">
      <x v="3"/>
    </i>
    <i r="2">
      <x v="7"/>
    </i>
    <i r="1">
      <x v="59"/>
      <x v="8"/>
    </i>
    <i r="1">
      <x v="60"/>
      <x v="8"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dataFields count="1">
    <dataField name="цена" fld="4" baseField="1" baseItem="1" numFmtId="2"/>
  </dataFields>
  <formats count="1">
    <format dxfId="20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1227E4-ABED-4AA4-A4EE-5A73AABE6CBE}" name="Таблица7" displayName="Таблица7" ref="A1:I953" totalsRowShown="0" headerRowDxfId="204" tableBorderDxfId="203">
  <autoFilter ref="A1:I953" xr:uid="{F11FDD74-5472-4ADF-BF52-01C99CF3136D}"/>
  <tableColumns count="9">
    <tableColumn id="1" xr3:uid="{27E2AC75-C6DF-4E15-B588-37C56A71FC46}" name="Сервис" dataDxfId="202"/>
    <tableColumn id="2" xr3:uid="{98E2F5B8-C41F-4285-BF3D-0C038DE14091}" name="Уровень" dataDxfId="201"/>
    <tableColumn id="5" xr3:uid="{C75423B2-DCC2-4792-BC5E-AEC2FFFA304D}" name="Аккаунтов" dataDxfId="200"/>
    <tableColumn id="4" xr3:uid="{12015821-25FD-4E2C-9BB1-852AF447BF5F}" name="Стоимость без НДС" dataDxfId="199"/>
    <tableColumn id="6" xr3:uid="{C644CD61-9189-423C-98F4-3114DE9EEC28}" name="Стоимость 1 аккаунта" dataDxfId="198"/>
    <tableColumn id="3" xr3:uid="{F10BA519-E024-4217-88F0-97FFA33ED880}" name="Минут" dataDxfId="197"/>
    <tableColumn id="7" xr3:uid="{64558A4A-4380-43D5-AA26-51E4F614A3F1}" name="Период" dataDxfId="196"/>
    <tableColumn id="8" xr3:uid="{F24B97E1-E63D-420E-A555-8E481EACF770}" name="Примечание" dataDxfId="195">
      <calculatedColumnFormula>TRIM(Таблица7[[#This Row],[Сервис]])</calculatedColumnFormula>
    </tableColumn>
    <tableColumn id="9" xr3:uid="{6E178468-1234-4F85-9797-3BC0FA2B6AE3}" name="Итого стоимость с НДС с учетом количества аккаунтов" dataDxfId="194">
      <calculatedColumnFormula>IF(Таблица7[[#This Row],[Аккаунтов]]&gt;=1,ROUND(Таблица7[[#This Row],[Стоимость без НДС]]*Таблица7[[#This Row],[Аккаунтов]]*1.2,2),Таблица7[[#This Row],[Стоимость 1 аккаунта]])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1F872C-6140-435C-9231-7D3763B11C9C}" name="Таблица3" displayName="Таблица3" ref="B3:G23" totalsRowShown="0">
  <tableColumns count="6">
    <tableColumn id="1" xr3:uid="{567FB4ED-077B-4FA1-99A1-ABAB901B59F4}" name="Сервис"/>
    <tableColumn id="2" xr3:uid="{76D69337-0340-4E00-A4E8-196E28788028}" name="Минимальный"/>
    <tableColumn id="3" xr3:uid="{A8C02BBC-D679-4D45-BB8D-E36769DF4679}" name="Оптимальный"/>
    <tableColumn id="4" xr3:uid="{55B1A33F-4DBF-4291-B180-4664197ED456}" name="Эксперт"/>
    <tableColumn id="5" xr3:uid="{A31853A0-3932-44E9-B5B7-D51AE6230484}" name="Базовый"/>
    <tableColumn id="6" xr3:uid="{11D35994-86F9-427C-AE56-2114B1DDC33B}" name="Оптимальный Плю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ilex.by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iki.ilex.by/pages/viewpage.action?pageId=495995064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01106-E4B2-4F0C-A116-0A0A2690A367}">
  <sheetPr codeName="Лист1">
    <tabColor theme="7" tint="0.39997558519241921"/>
    <outlinePr summaryRight="0"/>
  </sheetPr>
  <dimension ref="A1:AR41"/>
  <sheetViews>
    <sheetView showGridLines="0" tabSelected="1" zoomScale="85" zoomScaleNormal="85" workbookViewId="0">
      <pane xSplit="1" topLeftCell="B1" activePane="topRight" state="frozen"/>
      <selection pane="topRight" activeCell="A3" sqref="A3"/>
    </sheetView>
  </sheetViews>
  <sheetFormatPr defaultColWidth="8.88671875" defaultRowHeight="13.2" outlineLevelCol="1" x14ac:dyDescent="0.25"/>
  <cols>
    <col min="1" max="1" width="37.6640625" style="2" customWidth="1"/>
    <col min="2" max="2" width="4.33203125" style="2" customWidth="1"/>
    <col min="3" max="3" width="1.5546875" style="2" customWidth="1"/>
    <col min="4" max="4" width="25.6640625" style="2" customWidth="1"/>
    <col min="5" max="5" width="23.33203125" style="2" customWidth="1"/>
    <col min="6" max="6" width="12.77734375" style="2" customWidth="1"/>
    <col min="7" max="7" width="27.6640625" style="2" customWidth="1"/>
    <col min="8" max="8" width="1.6640625" style="2" customWidth="1"/>
    <col min="9" max="9" width="3.6640625" style="2" hidden="1" customWidth="1"/>
    <col min="10" max="10" width="9.6640625" style="2" hidden="1" customWidth="1"/>
    <col min="11" max="11" width="7.33203125" style="2" hidden="1" customWidth="1"/>
    <col min="12" max="12" width="4" style="2" customWidth="1" collapsed="1"/>
    <col min="13" max="13" width="1.5546875" style="2" hidden="1" customWidth="1" outlineLevel="1"/>
    <col min="14" max="14" width="25.6640625" style="2" hidden="1" customWidth="1" outlineLevel="1"/>
    <col min="15" max="15" width="23.33203125" style="2" hidden="1" customWidth="1" outlineLevel="1"/>
    <col min="16" max="16" width="12.77734375" style="2" hidden="1" customWidth="1" outlineLevel="1"/>
    <col min="17" max="17" width="27.6640625" style="2" hidden="1" customWidth="1" outlineLevel="1"/>
    <col min="18" max="18" width="1.6640625" style="2" hidden="1" customWidth="1" outlineLevel="1"/>
    <col min="19" max="19" width="3.6640625" style="2" hidden="1" customWidth="1"/>
    <col min="20" max="20" width="9.6640625" style="2" hidden="1" customWidth="1"/>
    <col min="21" max="21" width="7.33203125" style="2" hidden="1" customWidth="1"/>
    <col min="22" max="22" width="3.88671875" style="2" customWidth="1" collapsed="1"/>
    <col min="23" max="23" width="1.5546875" style="2" hidden="1" customWidth="1" outlineLevel="1"/>
    <col min="24" max="24" width="25.6640625" style="2" hidden="1" customWidth="1" outlineLevel="1"/>
    <col min="25" max="25" width="23.33203125" style="2" hidden="1" customWidth="1" outlineLevel="1"/>
    <col min="26" max="26" width="12.77734375" style="2" hidden="1" customWidth="1" outlineLevel="1"/>
    <col min="27" max="27" width="27.6640625" style="2" hidden="1" customWidth="1" outlineLevel="1"/>
    <col min="28" max="28" width="1.6640625" style="2" hidden="1" customWidth="1" outlineLevel="1"/>
    <col min="29" max="29" width="3.6640625" style="2" hidden="1" customWidth="1"/>
    <col min="30" max="30" width="9.6640625" style="2" hidden="1" customWidth="1"/>
    <col min="31" max="31" width="7.33203125" style="2" hidden="1" customWidth="1"/>
    <col min="32" max="32" width="5.6640625" style="2" customWidth="1"/>
    <col min="33" max="33" width="4.5546875" style="2" customWidth="1"/>
    <col min="34" max="34" width="5.44140625" style="2" customWidth="1"/>
    <col min="35" max="35" width="4.5546875" style="2" customWidth="1"/>
    <col min="36" max="36" width="12.6640625" style="2" hidden="1" customWidth="1"/>
    <col min="37" max="37" width="5.44140625" style="2" customWidth="1"/>
    <col min="38" max="39" width="5.33203125" style="2" customWidth="1"/>
    <col min="40" max="16384" width="8.88671875" style="2"/>
  </cols>
  <sheetData>
    <row r="1" spans="1:44" ht="18" customHeight="1" x14ac:dyDescent="0.3">
      <c r="A1" s="102"/>
      <c r="B1" s="40" t="s">
        <v>68</v>
      </c>
      <c r="C1" s="18"/>
      <c r="D1" s="345" t="s">
        <v>56</v>
      </c>
      <c r="E1" s="345"/>
      <c r="F1" s="345"/>
      <c r="G1" s="345"/>
      <c r="H1" s="18"/>
      <c r="I1" s="36"/>
      <c r="J1" s="36"/>
      <c r="K1" s="36"/>
      <c r="L1" s="94" t="s">
        <v>121</v>
      </c>
      <c r="M1" s="38"/>
      <c r="N1" s="359"/>
      <c r="O1" s="359"/>
      <c r="P1" s="359"/>
      <c r="Q1" s="359"/>
      <c r="R1" s="38"/>
      <c r="S1" s="39"/>
      <c r="T1" s="39"/>
      <c r="U1" s="39"/>
      <c r="V1" s="94" t="s">
        <v>122</v>
      </c>
      <c r="W1" s="38"/>
      <c r="X1" s="359"/>
      <c r="Y1" s="359"/>
      <c r="Z1" s="359"/>
      <c r="AA1" s="359"/>
      <c r="AB1" s="38"/>
      <c r="AC1" s="39"/>
      <c r="AD1" s="39"/>
      <c r="AE1" s="39"/>
      <c r="AJ1" s="37"/>
    </row>
    <row r="2" spans="1:44" ht="22.2" customHeight="1" x14ac:dyDescent="0.25">
      <c r="C2" s="19"/>
      <c r="D2" s="357" t="str">
        <f>IF(AND(OR(E4="Пакет Программ Главный Бухгалтер ПРОФ, Podpis (1 пользователь, ЛД)",E4="Пакет Программ Главный Бухгалтер ПРОФ, Podpis, ilex.Накладные (1 пользователь, ЛД)",E4="Пакет Программ Главный Бухгалтер, Podpis (1 пользователь, ЛД)",E4="Пакет Программ Главный Бухгалтер, Podpis, ilex.Накладные (1 пользователь, ЛД)"),E18&lt;4),"Внимание! Указано неверное количество месяцев предоплаты","")</f>
        <v/>
      </c>
      <c r="E2" s="357"/>
      <c r="F2" s="357"/>
      <c r="G2" s="357"/>
      <c r="H2" s="19"/>
      <c r="I2" s="36"/>
      <c r="J2" s="36"/>
      <c r="K2" s="36"/>
      <c r="M2" s="19"/>
      <c r="N2" s="357" t="str">
        <f>IF(AND(OR(O4="Пакет Программ Главный Бухгалтер ПРОФ, Podpis (1 пользователь, ЛД)",O4="Пакет Программ Главный Бухгалтер ПРОФ, Podpis, ilex.Накладные (1 пользователь, ЛД)",O4="Пакет Программ Главный Бухгалтер, Podpis (1 пользователь, ЛД)",O4="Пакет Программ Главный Бухгалтер, Podpis, ilex.Накладные (1 пользователь, ЛД)"),O18&lt;4),"Внимание! Указано неверное количество месяцев предоплаты","")</f>
        <v/>
      </c>
      <c r="O2" s="357"/>
      <c r="P2" s="357"/>
      <c r="Q2" s="357"/>
      <c r="R2" s="19"/>
      <c r="S2" s="36"/>
      <c r="T2" s="36"/>
      <c r="U2" s="36"/>
      <c r="W2" s="19"/>
      <c r="X2" s="357" t="str">
        <f>IF(AND(OR(Y4="Пакет Программ Главный Бухгалтер ПРОФ, Podpis (1 пользователь, ЛД)",Y4="Пакет Программ Главный Бухгалтер ПРОФ, Podpis, ilex.Накладные (1 пользователь, ЛД)",Y4="Пакет Программ Главный Бухгалтер, Podpis (1 пользователь, ЛД)",Y4="Пакет Программ Главный Бухгалтер, Podpis, ilex.Накладные (1 пользователь, ЛД)"),Y18&lt;4),"Внимание! Указано неверное количество месяцев предоплаты","")</f>
        <v/>
      </c>
      <c r="Y2" s="357"/>
      <c r="Z2" s="357"/>
      <c r="AA2" s="357"/>
      <c r="AB2" s="19"/>
      <c r="AC2" s="36"/>
      <c r="AD2" s="36"/>
      <c r="AE2" s="36"/>
      <c r="AJ2" s="37"/>
    </row>
    <row r="3" spans="1:44" ht="16.95" customHeight="1" x14ac:dyDescent="0.25">
      <c r="A3" s="323" t="s">
        <v>396</v>
      </c>
      <c r="C3" s="19"/>
      <c r="D3" s="15" t="s">
        <v>57</v>
      </c>
      <c r="E3" s="346">
        <v>45901</v>
      </c>
      <c r="F3" s="347"/>
      <c r="G3" s="348"/>
      <c r="H3" s="19"/>
      <c r="I3" s="36"/>
      <c r="J3" s="3"/>
      <c r="M3" s="19"/>
      <c r="N3" s="15" t="s">
        <v>57</v>
      </c>
      <c r="O3" s="346">
        <v>45901</v>
      </c>
      <c r="P3" s="347"/>
      <c r="Q3" s="348"/>
      <c r="R3" s="19"/>
      <c r="S3" s="36"/>
      <c r="T3" s="3"/>
      <c r="V3" s="28"/>
      <c r="W3" s="19"/>
      <c r="X3" s="15" t="s">
        <v>57</v>
      </c>
      <c r="Y3" s="346">
        <v>45901</v>
      </c>
      <c r="Z3" s="347"/>
      <c r="AA3" s="348"/>
      <c r="AB3" s="19"/>
      <c r="AD3" s="3"/>
      <c r="AJ3" s="37">
        <v>45839</v>
      </c>
    </row>
    <row r="4" spans="1:44" ht="25.95" customHeight="1" x14ac:dyDescent="0.25">
      <c r="C4" s="19"/>
      <c r="D4" s="16" t="s">
        <v>327</v>
      </c>
      <c r="E4" s="349" t="s">
        <v>4</v>
      </c>
      <c r="F4" s="350"/>
      <c r="G4" s="351"/>
      <c r="H4" s="19"/>
      <c r="I4" s="36"/>
      <c r="J4" s="3" t="str">
        <f>VLOOKUP(E4,списки!$J$3:$K$22,2,FALSE)</f>
        <v>Предприятие</v>
      </c>
      <c r="K4" s="3"/>
      <c r="M4" s="19"/>
      <c r="N4" s="16" t="s">
        <v>327</v>
      </c>
      <c r="O4" s="349" t="s">
        <v>4</v>
      </c>
      <c r="P4" s="350"/>
      <c r="Q4" s="351"/>
      <c r="R4" s="19"/>
      <c r="S4" s="36"/>
      <c r="T4" s="3" t="str">
        <f>VLOOKUP(O4,списки!$J$3:$K$22,2,FALSE)</f>
        <v>Предприятие</v>
      </c>
      <c r="U4" s="3"/>
      <c r="V4" s="29"/>
      <c r="W4" s="19"/>
      <c r="X4" s="16" t="s">
        <v>327</v>
      </c>
      <c r="Y4" s="349" t="s">
        <v>4</v>
      </c>
      <c r="Z4" s="350"/>
      <c r="AA4" s="351"/>
      <c r="AB4" s="19"/>
      <c r="AD4" s="3" t="str">
        <f>VLOOKUP(Y4,списки!$J$3:$K$22,2,FALSE)</f>
        <v>Предприятие</v>
      </c>
      <c r="AE4" s="3"/>
      <c r="AJ4" s="240">
        <f>DATE(YEAR(AJ3),MONTH(AJ3)+1,DAY(AJ3))</f>
        <v>45870</v>
      </c>
    </row>
    <row r="5" spans="1:44" ht="15" customHeight="1" x14ac:dyDescent="0.3">
      <c r="A5" s="96" t="s">
        <v>163</v>
      </c>
      <c r="C5" s="19"/>
      <c r="G5" s="14"/>
      <c r="H5" s="19"/>
      <c r="I5" s="36"/>
      <c r="M5" s="19"/>
      <c r="Q5" s="14"/>
      <c r="R5" s="19"/>
      <c r="S5" s="36"/>
      <c r="V5" s="29"/>
      <c r="W5" s="19"/>
      <c r="AA5" s="14"/>
      <c r="AB5" s="19"/>
      <c r="AJ5" s="240">
        <f>DATE(YEAR(AJ4),MONTH(AJ4)+1,DAY(AJ4))</f>
        <v>45901</v>
      </c>
      <c r="AK5" s="108"/>
      <c r="AL5" s="108"/>
      <c r="AM5" s="108"/>
      <c r="AN5" s="108"/>
      <c r="AO5" s="108"/>
      <c r="AP5" s="108"/>
      <c r="AQ5" s="108"/>
      <c r="AR5" s="108"/>
    </row>
    <row r="6" spans="1:44" x14ac:dyDescent="0.25">
      <c r="A6" s="95"/>
      <c r="C6" s="19"/>
      <c r="D6" s="203" t="s">
        <v>15</v>
      </c>
      <c r="E6" s="354" t="s">
        <v>358</v>
      </c>
      <c r="F6" s="355"/>
      <c r="G6" s="31" t="s">
        <v>359</v>
      </c>
      <c r="H6" s="19"/>
      <c r="I6" s="36"/>
      <c r="J6" s="58" t="s">
        <v>306</v>
      </c>
      <c r="K6" s="36"/>
      <c r="M6" s="19"/>
      <c r="N6" s="203" t="s">
        <v>15</v>
      </c>
      <c r="O6" s="354" t="s">
        <v>358</v>
      </c>
      <c r="P6" s="355"/>
      <c r="Q6" s="31" t="s">
        <v>359</v>
      </c>
      <c r="R6" s="19"/>
      <c r="S6" s="36"/>
      <c r="T6" s="58" t="s">
        <v>306</v>
      </c>
      <c r="U6" s="3"/>
      <c r="V6" s="29"/>
      <c r="W6" s="19"/>
      <c r="X6" s="203" t="s">
        <v>15</v>
      </c>
      <c r="Y6" s="354" t="s">
        <v>358</v>
      </c>
      <c r="Z6" s="355"/>
      <c r="AA6" s="31" t="s">
        <v>359</v>
      </c>
      <c r="AB6" s="19"/>
      <c r="AD6" s="58" t="s">
        <v>306</v>
      </c>
      <c r="AE6" s="36"/>
      <c r="AJ6" s="240">
        <f>DATE(YEAR(AJ5),MONTH(AJ5)+1,DAY(AJ5))</f>
        <v>45931</v>
      </c>
    </row>
    <row r="7" spans="1:44" ht="13.95" customHeight="1" x14ac:dyDescent="0.3">
      <c r="B7" s="35"/>
      <c r="C7" s="19"/>
      <c r="D7" s="17" t="s">
        <v>20</v>
      </c>
      <c r="E7" s="352"/>
      <c r="F7" s="353"/>
      <c r="G7" s="173" t="str">
        <f>IF(E7&gt;0,VLOOKUP(E4,списки!$B$4:$G$23,4,FALSE)*Калькулятор!E7,"")</f>
        <v/>
      </c>
      <c r="H7" s="19"/>
      <c r="I7" s="36" t="str">
        <f>IF(E7&gt;0,D7,"")</f>
        <v/>
      </c>
      <c r="J7" s="59">
        <f>IFERROR(ROUND(IF($E$7&lt;K7,(GETPIVOTDATA("цена1",НМВ_безНДС,"Период",$E$3,"Сервис",$E$4,"Уровень",$D$7,"Аккаунтов",$E$7)),(GETPIVOTDATA("цена1",НМВ_безНДС,"Период",$E$3,"Сервис",$E$4,"Уровень",$D$7,"Аккаунтов",K7)))*$E$7*1.2,2),0)</f>
        <v>0</v>
      </c>
      <c r="K7" s="60">
        <f>GETPIVOTDATA("Пользователей",НМВ_Пользователей,"Период",$E$3,"Сервис",$E$4,"Уровень",D7)</f>
        <v>10</v>
      </c>
      <c r="M7" s="19"/>
      <c r="N7" s="17" t="s">
        <v>20</v>
      </c>
      <c r="O7" s="352"/>
      <c r="P7" s="353"/>
      <c r="Q7" s="173" t="str">
        <f>IF(O7&gt;0,VLOOKUP(O4,списки!$B$4:$G$23,4,FALSE)*Калькулятор!O7,"")</f>
        <v/>
      </c>
      <c r="R7" s="19"/>
      <c r="S7" s="36" t="str">
        <f>IF(O7&gt;0,N7,"")</f>
        <v/>
      </c>
      <c r="T7" s="59">
        <f>IFERROR(ROUND(IF($O$7&lt;U7,(GETPIVOTDATA("цена1",НМВ_безНДС,"Период",$O$3,"Сервис",$O$4,"Уровень",$N$7,"Аккаунтов",$O$7)),(GETPIVOTDATA("цена1",НМВ_безНДС,"Период",$O$3,"Сервис",$O$4,"Уровень",$N$7,"Аккаунтов",U7)))*$O$7*1.2,2),0)</f>
        <v>0</v>
      </c>
      <c r="U7" s="60">
        <f>GETPIVOTDATA("Пользователей",НМВ_Пользователей,"Период",$O$3,"Сервис",$O$4,"Уровень",N7)</f>
        <v>10</v>
      </c>
      <c r="V7" s="34"/>
      <c r="W7" s="19"/>
      <c r="X7" s="17" t="s">
        <v>20</v>
      </c>
      <c r="Y7" s="352"/>
      <c r="Z7" s="353"/>
      <c r="AA7" s="173" t="str">
        <f>IF(Y7&gt;0,VLOOKUP(Y4,списки!$B$4:$G$23,4,FALSE)*Калькулятор!Y7,"")</f>
        <v/>
      </c>
      <c r="AB7" s="19"/>
      <c r="AC7" s="36" t="str">
        <f>IF(Y7&gt;0,X7,"")</f>
        <v/>
      </c>
      <c r="AD7" s="59">
        <f>IFERROR(ROUND(IF($Y$7&lt;AE7,(GETPIVOTDATA("цена1",НМВ_безНДС,"Период",$Y$3,"Сервис",$Y$4,"Уровень",$X$7,"Аккаунтов",$Y$7)),(GETPIVOTDATA("цена1",НМВ_безНДС,"Период",$Y$3,"Сервис",$Y$4,"Уровень",$X$7,"Аккаунтов",AE7)))*$Y$7*1.2,2),0)</f>
        <v>0</v>
      </c>
      <c r="AE7" s="60">
        <f>GETPIVOTDATA("Пользователей",НМВ_Пользователей,"Период",$Y$3,"Сервис",$Y$4,"Уровень",X7)</f>
        <v>10</v>
      </c>
      <c r="AJ7" s="37"/>
    </row>
    <row r="8" spans="1:44" ht="13.95" customHeight="1" x14ac:dyDescent="0.3">
      <c r="A8" s="97" t="s">
        <v>77</v>
      </c>
      <c r="B8" s="35"/>
      <c r="C8" s="19"/>
      <c r="D8" s="17" t="s">
        <v>21</v>
      </c>
      <c r="E8" s="352"/>
      <c r="F8" s="353"/>
      <c r="G8" s="173" t="str">
        <f>IF(AND(E8&gt;0,D8="Оптимальный Плюс"),VLOOKUP(E4,списки!$B$4:$G$23,6,FALSE),IF(AND(E8&gt;0,D8="Оптимальный"),VLOOKUP(E4,списки!$B$4:$G$23,3,FALSE)*Калькулятор!E8,""))</f>
        <v/>
      </c>
      <c r="H8" s="19"/>
      <c r="I8" s="36" t="str">
        <f>IF(E8&gt;0,D8,"")</f>
        <v/>
      </c>
      <c r="J8" s="59">
        <f>IFERROR(ROUND(IF($E$8&lt;K8,(GETPIVOTDATA("цена1",НМВ_безНДС,"Период",$E$3,"Сервис",$E$4,"Уровень",$D$8,"Аккаунтов",$E$8)),(GETPIVOTDATA("цена1",НМВ_безНДС,"Период",$E$3,"Сервис",$E$4,"Уровень",$D$8,"Аккаунтов",K8)))*$E$8*1.2,2),0)</f>
        <v>0</v>
      </c>
      <c r="K8" s="60">
        <f>GETPIVOTDATA("Пользователей",НМВ_Пользователей,"Период",$E$3,"Сервис",$E$4,"Уровень",D8)</f>
        <v>10</v>
      </c>
      <c r="M8" s="19"/>
      <c r="N8" s="17" t="s">
        <v>21</v>
      </c>
      <c r="O8" s="352"/>
      <c r="P8" s="353"/>
      <c r="Q8" s="173" t="str">
        <f>IF(AND(O8&gt;0,N8="Оптимальный Плюс"),VLOOKUP(O4,списки!$B$4:$G$23,6,FALSE),IF(AND(O8&gt;0,N8="Оптимальный"),VLOOKUP(O4,списки!$B$4:$G$23,3,FALSE)*Калькулятор!O8,""))</f>
        <v/>
      </c>
      <c r="R8" s="19"/>
      <c r="S8" s="36" t="str">
        <f>IF(O8&gt;0,N8,"")</f>
        <v/>
      </c>
      <c r="T8" s="59">
        <f>IFERROR(ROUND(IF($O$8&lt;U8,(GETPIVOTDATA("цена1",НМВ_безНДС,"Период",$O$3,"Сервис",$O$4,"Уровень",$N$8,"Аккаунтов",$O$8)),(GETPIVOTDATA("цена1",НМВ_безНДС,"Период",$O$3,"Сервис",$O$4,"Уровень",$N$8,"Аккаунтов",U8)))*$O$8*1.2,2),0)</f>
        <v>0</v>
      </c>
      <c r="U8" s="60">
        <f>GETPIVOTDATA("Пользователей",НМВ_Пользователей,"Период",$O$3,"Сервис",$O$4,"Уровень",N8)</f>
        <v>10</v>
      </c>
      <c r="V8" s="34"/>
      <c r="W8" s="19"/>
      <c r="X8" s="17" t="s">
        <v>21</v>
      </c>
      <c r="Y8" s="352"/>
      <c r="Z8" s="353"/>
      <c r="AA8" s="173" t="str">
        <f>IF(AND(Y8&gt;0,X8="Оптимальный Плюс"),VLOOKUP(Y4,списки!$B$4:$G$23,6,FALSE),IF(AND(Y8&gt;0,X8="Оптимальный"),VLOOKUP(Y4,списки!$B$4:$G$23,3,FALSE)*Калькулятор!Y8,""))</f>
        <v/>
      </c>
      <c r="AB8" s="19"/>
      <c r="AC8" s="36" t="str">
        <f>IF(Y8&gt;0,X8,"")</f>
        <v/>
      </c>
      <c r="AD8" s="59">
        <f>IFERROR(ROUND(IF($Y$8&lt;AE8,(GETPIVOTDATA("цена1",НМВ_безНДС,"Период",$Y$3,"Сервис",$Y$4,"Уровень",$X$8,"Аккаунтов",$Y$8)),(GETPIVOTDATA("цена1",НМВ_безНДС,"Период",$Y$3,"Сервис",$Y$4,"Уровень",$X$8,"Аккаунтов",AE8)))*$Y$8*1.2,2),0)</f>
        <v>0</v>
      </c>
      <c r="AE8" s="60">
        <f>GETPIVOTDATA("Пользователей",НМВ_Пользователей,"Период",$Y$3,"Сервис",$Y$4,"Уровень",X8)</f>
        <v>10</v>
      </c>
      <c r="AJ8" s="37"/>
    </row>
    <row r="9" spans="1:44" ht="13.95" customHeight="1" x14ac:dyDescent="0.3">
      <c r="A9" s="104" t="s">
        <v>330</v>
      </c>
      <c r="B9" s="35"/>
      <c r="C9" s="19"/>
      <c r="D9" s="5" t="str">
        <f>VLOOKUP($E4,списки!$K25:$N44,4,FALSE)</f>
        <v>МИНИМАЛЬНЫЙ</v>
      </c>
      <c r="E9" s="352"/>
      <c r="F9" s="353"/>
      <c r="G9" s="173" t="str">
        <f>IF(AND(E9&gt;0,D9="Минимальный"),VLOOKUP(E4,списки!$B$4:$G$23,2,FALSE)*Калькулятор!E9,IF(AND(E9&gt;0,D9="Базовый"),VLOOKUP(E4,списки!$B$4:$G$23,5,FALSE)*Калькулятор!E9,""))</f>
        <v/>
      </c>
      <c r="H9" s="19"/>
      <c r="I9" s="36" t="str">
        <f>IF(E9&gt;0,D9,"")</f>
        <v/>
      </c>
      <c r="J9" s="59">
        <f>IFERROR(ROUND(IF($E$9&lt;K9,(GETPIVOTDATA("цена1",НМВ_безНДС,"Период",$E$3,"Сервис",$E$4,"Уровень",$D$9,"Аккаунтов",$E$9)),(GETPIVOTDATA("цена1",НМВ_безНДС,"Период",$E$3,"Сервис",$E$4,"Уровень",$D$9,"Аккаунтов",K9)))*$E$9*1.2,2),0)</f>
        <v>0</v>
      </c>
      <c r="K9" s="60">
        <f>GETPIVOTDATA("Пользователей",НМВ_Пользователей,"Период",$E$3,"Сервис",$E$4,"Уровень",D9)</f>
        <v>5</v>
      </c>
      <c r="M9" s="19"/>
      <c r="N9" s="5" t="str">
        <f>VLOOKUP($O4,списки!$K25:$N44,4,FALSE)</f>
        <v>МИНИМАЛЬНЫЙ</v>
      </c>
      <c r="O9" s="352"/>
      <c r="P9" s="353"/>
      <c r="Q9" s="173" t="str">
        <f>IF(AND(O9&gt;0,N9="Минимальный"),VLOOKUP(O4,списки!$B$4:$G$23,2,FALSE)*Калькулятор!O9,IF(AND(O9&gt;0,N9="Базовый"),VLOOKUP(O4,списки!$B$4:$G$23,5,FALSE)*Калькулятор!O9,""))</f>
        <v/>
      </c>
      <c r="R9" s="19"/>
      <c r="S9" s="36" t="str">
        <f>IF(O9&gt;0,N9,"")</f>
        <v/>
      </c>
      <c r="T9" s="59">
        <f>IFERROR(ROUND(IF($O$9&lt;U9,(GETPIVOTDATA("цена1",НМВ_безНДС,"Период",$O$3,"Сервис",$O$4,"Уровень",$N$9,"Аккаунтов",$O$9)),(GETPIVOTDATA("цена1",НМВ_безНДС,"Период",$O$3,"Сервис",$O$4,"Уровень",$N$9,"Аккаунтов",U9)))*$O$9*1.2,2),0)</f>
        <v>0</v>
      </c>
      <c r="U9" s="60">
        <f>GETPIVOTDATA("Пользователей",НМВ_Пользователей,"Период",$O$3,"Сервис",$O$4,"Уровень",N9)</f>
        <v>5</v>
      </c>
      <c r="V9" s="34"/>
      <c r="W9" s="19"/>
      <c r="X9" s="5" t="str">
        <f>VLOOKUP($Y4,списки!$K25:$N44,4,FALSE)</f>
        <v>МИНИМАЛЬНЫЙ</v>
      </c>
      <c r="Y9" s="352"/>
      <c r="Z9" s="353"/>
      <c r="AA9" s="173" t="str">
        <f>IF(AND(Y9&gt;0,X9="Минимальный"),VLOOKUP(Y4,списки!$B$4:$G$23,2,FALSE)*Калькулятор!Y9,IF(AND(Y9&gt;0,X9="Базовый"),VLOOKUP(Y4,списки!$B$4:$G$23,5,FALSE)*Калькулятор!Y9,""))</f>
        <v/>
      </c>
      <c r="AB9" s="19"/>
      <c r="AC9" s="36" t="str">
        <f>IF(Y9&gt;0,X9,"")</f>
        <v/>
      </c>
      <c r="AD9" s="59">
        <f>IFERROR(ROUND(IF($Y$9&lt;AE9,(GETPIVOTDATA("цена1",НМВ_безНДС,"Период",$Y$3,"Сервис",$Y$4,"Уровень",$X$9,"Аккаунтов",$Y$9)),(GETPIVOTDATA("цена1",НМВ_безНДС,"Период",$Y$3,"Сервис",$Y$4,"Уровень",$X$9,"Аккаунтов",AE9)))*$Y$9*1.2,2),0)</f>
        <v>0</v>
      </c>
      <c r="AE9" s="60">
        <f>GETPIVOTDATA("Пользователей",НМВ_Пользователей,"Период",$Y$3,"Сервис",$Y$4,"Уровень",X9)</f>
        <v>5</v>
      </c>
      <c r="AJ9" s="37"/>
    </row>
    <row r="10" spans="1:44" ht="15.6" customHeight="1" x14ac:dyDescent="0.25">
      <c r="C10" s="19"/>
      <c r="D10" s="26" t="s">
        <v>14</v>
      </c>
      <c r="E10" s="356">
        <f>IF(AND(SUM(E7:F9)&gt;1,OR(E4=списки!$J3,E4=списки!$J5,E4=списки!$J7,E4=списки!$J9,E4=списки!$J11,E4=списки!$J13,E4=списки!$J15,E4=списки!$J17,E4=списки!$J19,E4=списки!$J20,E4=списки!$J21,E4=списки!$J22)),"-",
IF(AND(SUM(E7:F9)=1,OR(E4=списки!$J4,E4=списки!$J6,E4=списки!$J8,E4=списки!$J10,E4=списки!$J12,E4=списки!$J14,E4=списки!$J16,E4=списки!$J18)),"-",SUM(E7:F9)))</f>
        <v>0</v>
      </c>
      <c r="F10" s="356"/>
      <c r="G10" s="25"/>
      <c r="H10" s="19"/>
      <c r="I10" s="36"/>
      <c r="J10" s="36"/>
      <c r="K10" s="36"/>
      <c r="M10" s="19"/>
      <c r="N10" s="26" t="s">
        <v>14</v>
      </c>
      <c r="O10" s="356">
        <f>IF(AND(SUM(O7:P9)&gt;1,OR(O4=списки!$J3,O4=списки!$J5,O4=списки!$J7,O4=списки!$J9,O4=списки!$J11,O4=списки!$J13,O4=списки!$J15,O4=списки!$J17,O4=списки!$J19,O4=списки!$J20,O4=списки!$J21,O4=списки!$J22)),"-",
IF(AND(SUM(O7:P9)=1,OR(O4=списки!$J4,O4=списки!$J6,O4=списки!$J8,O4=списки!$J10,O4=списки!$J12,O4=списки!$J14,O4=списки!$J16,O4=списки!$J18)),"-",SUM(O7:P9)))</f>
        <v>0</v>
      </c>
      <c r="P10" s="356"/>
      <c r="Q10" s="25"/>
      <c r="R10" s="19"/>
      <c r="S10" s="36"/>
      <c r="T10" s="36"/>
      <c r="U10" s="36"/>
      <c r="W10" s="19"/>
      <c r="X10" s="26" t="s">
        <v>14</v>
      </c>
      <c r="Y10" s="356">
        <f>IF(AND(SUM(Y7:Z9)&gt;1,OR(Y4=списки!$J3,Y4=списки!$J5,Y4=списки!$J7,Y4=списки!$J9,Y4=списки!$J11,Y4=списки!$J13,Y4=списки!$J15,Y4=списки!$J17,Y4=списки!$J19,Y4=списки!$J20,Y4=списки!$J21,Y4=списки!$J22)),"-",
IF(AND(SUM(Y7:Z9)=1,OR(Y4=списки!$J4,Y4=списки!$J6,Y4=списки!$J8,Y4=списки!$J10,Y4=списки!$J12,Y4=списки!$J14,Y4=списки!$J16,Y4=списки!$J18)),"-",SUM(Y7:Z9)))</f>
        <v>0</v>
      </c>
      <c r="Z10" s="356"/>
      <c r="AA10" s="25"/>
      <c r="AB10" s="19"/>
      <c r="AC10" s="36"/>
      <c r="AD10" s="36"/>
      <c r="AE10" s="36"/>
      <c r="AG10" s="7"/>
      <c r="AH10" s="3"/>
      <c r="AJ10" s="37"/>
    </row>
    <row r="11" spans="1:44" ht="13.8" x14ac:dyDescent="0.25">
      <c r="A11" s="105" t="s">
        <v>157</v>
      </c>
      <c r="C11" s="19"/>
      <c r="D11" s="357" t="str">
        <f>IF(E10="-","Внимание! Введено некорректное кол-во аккаунтов","")</f>
        <v/>
      </c>
      <c r="E11" s="357"/>
      <c r="F11" s="357"/>
      <c r="G11" s="357"/>
      <c r="H11" s="19"/>
      <c r="I11" s="36"/>
      <c r="J11" s="36"/>
      <c r="K11" s="36"/>
      <c r="M11" s="19"/>
      <c r="N11" s="357" t="str">
        <f>IF(O10="-","Внимание! Введено некорректное кол-во аккаунтов","")</f>
        <v/>
      </c>
      <c r="O11" s="357"/>
      <c r="P11" s="357"/>
      <c r="Q11" s="357"/>
      <c r="R11" s="19"/>
      <c r="S11" s="36"/>
      <c r="T11" s="36"/>
      <c r="U11" s="36"/>
      <c r="W11" s="19"/>
      <c r="X11" s="357" t="str">
        <f>IF(Y10="-","Внимание! Введено некорректное кол-во аккаунтов","")</f>
        <v/>
      </c>
      <c r="Y11" s="357"/>
      <c r="Z11" s="357"/>
      <c r="AA11" s="357"/>
      <c r="AB11" s="19"/>
      <c r="AC11" s="36"/>
      <c r="AD11" s="36"/>
      <c r="AE11" s="36"/>
      <c r="AG11" s="3"/>
      <c r="AH11" s="3"/>
      <c r="AJ11" s="37"/>
    </row>
    <row r="12" spans="1:44" ht="13.8" x14ac:dyDescent="0.25">
      <c r="A12" s="106" t="s">
        <v>154</v>
      </c>
      <c r="C12" s="19"/>
      <c r="D12" s="357" t="str">
        <f ca="1">IF(E3&lt;(EOMONTH(TODAY(),-1)+1),"Внимание! Для КП выбран некорректный месяц прейскуранта","")</f>
        <v/>
      </c>
      <c r="E12" s="357"/>
      <c r="F12" s="357"/>
      <c r="G12" s="357"/>
      <c r="H12" s="19"/>
      <c r="I12" s="36"/>
      <c r="J12" s="36"/>
      <c r="K12" s="36"/>
      <c r="M12" s="19"/>
      <c r="N12" s="357" t="str">
        <f ca="1">IF(O3&lt;(EOMONTH(TODAY(),-1)+1),"Внимание! Для КП выбран некорректный месяц прейскуранта","")</f>
        <v/>
      </c>
      <c r="O12" s="357"/>
      <c r="P12" s="357"/>
      <c r="Q12" s="357"/>
      <c r="R12" s="19"/>
      <c r="S12" s="36"/>
      <c r="T12" s="36"/>
      <c r="U12" s="36"/>
      <c r="V12" s="2" t="str">
        <f>IF(E4="*1 пользователь*",1,"")</f>
        <v/>
      </c>
      <c r="W12" s="19"/>
      <c r="X12" s="357" t="str">
        <f ca="1">IF(Y3&lt;(EOMONTH(TODAY(),-1)+1),"Внимание! Для КП выбран некорректный месяц прейскуранта","")</f>
        <v/>
      </c>
      <c r="Y12" s="357"/>
      <c r="Z12" s="357"/>
      <c r="AA12" s="357"/>
      <c r="AB12" s="19"/>
      <c r="AC12" s="36"/>
      <c r="AD12" s="36"/>
      <c r="AE12" s="36"/>
      <c r="AJ12" s="37"/>
    </row>
    <row r="13" spans="1:44" ht="13.95" customHeight="1" x14ac:dyDescent="0.25">
      <c r="A13" s="106" t="s">
        <v>155</v>
      </c>
      <c r="C13" s="19"/>
      <c r="D13" s="109"/>
      <c r="E13" s="333"/>
      <c r="F13" s="333"/>
      <c r="G13" s="333"/>
      <c r="H13" s="19"/>
      <c r="I13" s="36"/>
      <c r="J13" s="36"/>
      <c r="K13" s="36"/>
      <c r="M13" s="19"/>
      <c r="N13" s="32"/>
      <c r="O13" s="333"/>
      <c r="P13" s="333"/>
      <c r="Q13" s="333"/>
      <c r="R13" s="19"/>
      <c r="S13" s="36"/>
      <c r="T13" s="36"/>
      <c r="U13" s="36"/>
      <c r="W13" s="19"/>
      <c r="X13" s="32"/>
      <c r="Y13" s="333"/>
      <c r="Z13" s="333"/>
      <c r="AA13" s="333"/>
      <c r="AB13" s="19"/>
      <c r="AC13" s="36"/>
      <c r="AD13" s="36"/>
      <c r="AE13" s="36"/>
      <c r="AG13" s="3"/>
      <c r="AH13" s="3"/>
      <c r="AJ13" s="37"/>
    </row>
    <row r="14" spans="1:44" ht="13.95" customHeight="1" x14ac:dyDescent="0.25">
      <c r="A14" s="105" t="s">
        <v>219</v>
      </c>
      <c r="C14" s="19"/>
      <c r="D14" s="110"/>
      <c r="E14" s="334"/>
      <c r="F14" s="334"/>
      <c r="G14" s="334"/>
      <c r="H14" s="19"/>
      <c r="I14" s="36"/>
      <c r="J14" s="36"/>
      <c r="K14" s="36"/>
      <c r="M14" s="19"/>
      <c r="N14" s="12"/>
      <c r="O14" s="334"/>
      <c r="P14" s="334"/>
      <c r="Q14" s="334"/>
      <c r="R14" s="19"/>
      <c r="S14" s="36"/>
      <c r="T14" s="36"/>
      <c r="U14" s="36"/>
      <c r="W14" s="19"/>
      <c r="X14" s="12"/>
      <c r="Y14" s="334"/>
      <c r="Z14" s="334"/>
      <c r="AA14" s="334"/>
      <c r="AB14" s="19"/>
      <c r="AC14" s="36"/>
      <c r="AD14" s="36"/>
      <c r="AE14" s="36"/>
      <c r="AG14" s="4"/>
    </row>
    <row r="15" spans="1:44" ht="13.95" customHeight="1" thickBot="1" x14ac:dyDescent="0.3">
      <c r="A15" s="105" t="s">
        <v>220</v>
      </c>
      <c r="C15" s="19"/>
      <c r="D15" s="33"/>
      <c r="E15" s="358" t="str">
        <f>CONCATENATE(E4,I7,I8,I9,E18)</f>
        <v>Предприятие</v>
      </c>
      <c r="F15" s="358"/>
      <c r="G15" s="358"/>
      <c r="H15" s="19"/>
      <c r="I15" s="36"/>
      <c r="M15" s="19"/>
      <c r="N15" s="33"/>
      <c r="O15" s="358" t="str">
        <f>CONCATENATE(O4,S7,S8,S9,O18)</f>
        <v>Предприятие</v>
      </c>
      <c r="P15" s="358"/>
      <c r="Q15" s="358"/>
      <c r="R15" s="19"/>
      <c r="S15" s="36"/>
      <c r="T15" s="36"/>
      <c r="U15" s="36"/>
      <c r="W15" s="19"/>
      <c r="X15" s="33"/>
      <c r="Y15" s="358" t="str">
        <f>CONCATENATE(Y4,AC7,AC8,AC9,Y18)</f>
        <v>Предприятие</v>
      </c>
      <c r="Z15" s="358"/>
      <c r="AA15" s="358"/>
      <c r="AB15" s="19"/>
      <c r="AC15" s="36"/>
      <c r="AD15" s="36"/>
      <c r="AE15" s="36"/>
      <c r="AG15" s="3"/>
      <c r="AH15" s="3"/>
    </row>
    <row r="16" spans="1:44" ht="14.4" customHeight="1" x14ac:dyDescent="0.3">
      <c r="A16" s="259" t="s">
        <v>156</v>
      </c>
      <c r="C16" s="19"/>
      <c r="D16" s="114" t="s">
        <v>173</v>
      </c>
      <c r="E16" s="258" t="s">
        <v>240</v>
      </c>
      <c r="F16" s="201" t="str">
        <f>IF(E16="Нет","",
IF(OR(OR(AND(E16=I16,AND(MONTH(E3)&lt;&gt;5,MONTH(E3)&lt;&gt;6,MONTH(E3)&lt;&gt;7,MONTH(E3)&lt;&gt;8,MONTH(E3)&lt;&gt;9)),AND(E16=I17,AND(MONTH(E3)&lt;12,MONTH(E3)&gt;2))),E17=""),"! Проверьте корректность выбранных данных",""))</f>
        <v/>
      </c>
      <c r="G16" s="113"/>
      <c r="H16" s="19"/>
      <c r="I16" s="36" t="str">
        <f>списки!B42</f>
        <v>Акция_Пр.88 (15мая-31июля25)</v>
      </c>
      <c r="J16" s="36"/>
      <c r="M16" s="19"/>
      <c r="N16" s="114" t="s">
        <v>173</v>
      </c>
      <c r="O16" s="134" t="s">
        <v>240</v>
      </c>
      <c r="P16" s="201" t="str">
        <f>IF(O16="Нет","",
IF(OR(OR(AND(O16=S16,AND(MONTH(O3)&lt;&gt;5,MONTH(O3)&lt;&gt;6,MONTH(O3)&lt;&gt;7,MONTH(O3)&lt;&gt;8,MONTH(O3)&lt;&gt;9)),AND(O16=S17,AND(MONTH(O3)&lt;12,MONTH(O3)&gt;2))),O17=""),"! Проверьте корректность выбранных данных",""))</f>
        <v/>
      </c>
      <c r="Q16" s="113"/>
      <c r="R16" s="19"/>
      <c r="S16" s="36" t="str">
        <f>списки!B42</f>
        <v>Акция_Пр.88 (15мая-31июля25)</v>
      </c>
      <c r="T16" s="36"/>
      <c r="U16" s="36"/>
      <c r="W16" s="19"/>
      <c r="X16" s="114" t="s">
        <v>173</v>
      </c>
      <c r="Y16" s="134" t="s">
        <v>240</v>
      </c>
      <c r="Z16" s="201" t="str">
        <f>IF(Y16="Нет","",
IF(OR(OR(AND(Y16=AC16,AND(MONTH(Y3)&lt;&gt;5,MONTH(Y3)&lt;&gt;6,MONTH(Y3)&lt;&gt;7,MONTH(Y3)&lt;&gt;8,MONTH(Y3)&lt;&gt;9)),AND(Y16=AC17,AND(MONTH(Y3)&lt;12,MONTH(Y3)&gt;2))),Y17=""),"! Проверьте корректность выбранных данных",""))</f>
        <v/>
      </c>
      <c r="AA16" s="113"/>
      <c r="AB16" s="19"/>
      <c r="AC16" s="36" t="str">
        <f>списки!B42</f>
        <v>Акция_Пр.88 (15мая-31июля25)</v>
      </c>
      <c r="AD16" s="36"/>
      <c r="AE16" s="36"/>
      <c r="AG16" s="3"/>
      <c r="AH16" s="3"/>
    </row>
    <row r="17" spans="1:34" ht="14.4" customHeight="1" x14ac:dyDescent="0.3">
      <c r="C17" s="19"/>
      <c r="D17" s="115" t="s">
        <v>185</v>
      </c>
      <c r="E17" s="238" t="str">
        <f>IFERROR(IF(E16="Нет","",
IF(E16=I16,IF(VLOOKUP(E15,списки!$D$51:$G$568,2,FALSE)="","",IF(AND(E16=I16,AND(MONTH(E3)&lt;&gt;5,MONTH(E3)&lt;&gt;6,MONTH(E3)&lt;&gt;7,MONTH(E3)&lt;&gt;8,MONTH(E3)&lt;&gt;9)),"",VLOOKUP(E15,списки!$D$51:$G$568,2,FALSE))),
IF(E16=I17,IF(VLOOKUP(E15,списки!$D$569:$G$1086,2,FALSE)="","",IF(AND(E16=I17,AND(MONTH(E3)&lt;12,MONTH(E3)&gt;2)),"",VLOOKUP(E15,списки!$D$569:$G$1086,2,FALSE)))))),"")</f>
        <v/>
      </c>
      <c r="F17" s="133" t="str">
        <f>IFERROR(IF(E16="Нет","",
IF(E16=I16,IF(VLOOKUP(E15,списки!$D$51:$G$568,4,FALSE)="","",IF(E17="","",VLOOKUP(E15,списки!$D$51:$G$568,4,FALSE))),
IF(E16=I17,IF(VLOOKUP(E15,списки!$D$569:$G$1086,4,FALSE)="","",IF(E17="","",VLOOKUP(E15,списки!$D$569:$G$1086,4,FALSE)))))),"")</f>
        <v/>
      </c>
      <c r="G17" s="13"/>
      <c r="H17" s="19"/>
      <c r="I17" s="36">
        <f>списки!B43</f>
        <v>0</v>
      </c>
      <c r="J17" s="36"/>
      <c r="M17" s="19"/>
      <c r="N17" s="115" t="s">
        <v>185</v>
      </c>
      <c r="O17" s="238" t="str">
        <f>IFERROR(IF(O16="Нет","",
IF(O16=S16,IF(VLOOKUP(O15,списки!$D$51:$G$568,2,FALSE)="","",IF(AND(O16=S16,AND(MONTH(O3)&lt;&gt;5,MONTH(O3)&lt;&gt;6,MONTH(O3)&lt;&gt;7,MONTH(O3)&lt;&gt;8,MONTH(O3)&lt;&gt;9)),"",VLOOKUP(O15,списки!$D$51:$G$568,2,FALSE))),
IF(O16=S17,IF(VLOOKUP(O15,списки!$D$569:$G$1086,2,FALSE)="","",IF(AND(O16=S17,AND(MONTH(O3)&lt;12,MONTH(O3)&gt;2)),"",VLOOKUP(O15,списки!$D$569:$G$1086,2,FALSE)))))),"")</f>
        <v/>
      </c>
      <c r="P17" s="133" t="str">
        <f>IFERROR(IF(O16="Нет","",
IF(O16=S16,IF(VLOOKUP(O15,списки!$D$51:$G$568,4,FALSE)="","",IF(O17="","",VLOOKUP(O15,списки!$D$51:$G$568,4,FALSE))),
IF(O16=S17,IF(VLOOKUP(O15,списки!$D$569:$G$1086,4,FALSE)="","",IF(O17="","",VLOOKUP(O15,списки!$D$569:$G$1086,4,FALSE)))))),"")</f>
        <v/>
      </c>
      <c r="Q17" s="13"/>
      <c r="R17" s="19"/>
      <c r="S17" s="36">
        <f>списки!B43</f>
        <v>0</v>
      </c>
      <c r="T17" s="36"/>
      <c r="U17" s="36"/>
      <c r="W17" s="19"/>
      <c r="X17" s="115" t="s">
        <v>185</v>
      </c>
      <c r="Y17" s="238" t="str">
        <f>IFERROR(IF(Y16="Нет","",
IF(Y16=AC16,IF(VLOOKUP(Y15,списки!$D$51:$G$568,2,FALSE)="","",IF(AND(Y16=AC16,AND(MONTH(Y3)&lt;&gt;5,MONTH(Y3)&lt;&gt;6,MONTH(Y3)&lt;&gt;7,MONTH(Y3)&lt;&gt;8,MONTH(Y3)&lt;&gt;9)),"",VLOOKUP(Y15,списки!$D$51:$G$568,2,FALSE))),
IF(Y16=AC17,IF(VLOOKUP(Y15,списки!$D$569:$G$1086,2,FALSE)="","",IF(AND(Y16=AC17,AND(MONTH(Y3)&lt;12,MONTH(Y3)&gt;2)),"",VLOOKUP(Y15,списки!$D$569:$G$1086,2,FALSE)))))),"")</f>
        <v/>
      </c>
      <c r="Z17" s="133" t="str">
        <f>IFERROR(IF(Y16="Нет","",
IF(Y16=AC16,IF(VLOOKUP(Y15,списки!$D$51:$G$568,4,FALSE)="","",IF(Y17="","",VLOOKUP(Y15,списки!$D$51:$G$568,4,FALSE))),
IF(Y16=AC17,IF(VLOOKUP(Y15,списки!$D$569:$G$1086,4,FALSE)="","",IF(Y17="","",VLOOKUP(Y15,списки!$D$569:$G$1086,4,FALSE)))))),"")</f>
        <v/>
      </c>
      <c r="AA17" s="13"/>
      <c r="AB17" s="19"/>
      <c r="AC17" s="36">
        <f>списки!B43</f>
        <v>0</v>
      </c>
      <c r="AD17" s="36"/>
      <c r="AE17" s="36"/>
      <c r="AG17" s="3"/>
      <c r="AH17" s="3"/>
    </row>
    <row r="18" spans="1:34" ht="15" customHeight="1" x14ac:dyDescent="0.3">
      <c r="A18" s="96" t="s">
        <v>166</v>
      </c>
      <c r="C18" s="19"/>
      <c r="D18" s="15" t="s">
        <v>61</v>
      </c>
      <c r="E18" s="335"/>
      <c r="F18" s="336"/>
      <c r="G18" s="337"/>
      <c r="H18" s="19"/>
      <c r="I18" s="36"/>
      <c r="J18" s="36"/>
      <c r="K18" s="36"/>
      <c r="M18" s="19"/>
      <c r="N18" s="15" t="s">
        <v>61</v>
      </c>
      <c r="O18" s="335"/>
      <c r="P18" s="336"/>
      <c r="Q18" s="337"/>
      <c r="R18" s="19"/>
      <c r="S18" s="36"/>
      <c r="T18" s="36"/>
      <c r="U18" s="36"/>
      <c r="W18" s="19"/>
      <c r="X18" s="15" t="s">
        <v>61</v>
      </c>
      <c r="Y18" s="335"/>
      <c r="Z18" s="336"/>
      <c r="AA18" s="337"/>
      <c r="AB18" s="19"/>
      <c r="AC18" s="36"/>
      <c r="AD18" s="36"/>
      <c r="AE18" s="36"/>
      <c r="AG18" s="3"/>
      <c r="AH18" s="3"/>
    </row>
    <row r="19" spans="1:34" ht="15" customHeight="1" x14ac:dyDescent="0.25">
      <c r="A19" s="98" t="s">
        <v>167</v>
      </c>
      <c r="C19" s="19"/>
      <c r="D19" s="15" t="s">
        <v>120</v>
      </c>
      <c r="E19" s="338"/>
      <c r="F19" s="339"/>
      <c r="G19" s="340"/>
      <c r="H19" s="19"/>
      <c r="I19" s="36"/>
      <c r="J19" s="36"/>
      <c r="K19" s="36"/>
      <c r="M19" s="19"/>
      <c r="N19" s="15" t="s">
        <v>120</v>
      </c>
      <c r="O19" s="338"/>
      <c r="P19" s="339"/>
      <c r="Q19" s="340"/>
      <c r="R19" s="19"/>
      <c r="S19" s="36"/>
      <c r="T19" s="36"/>
      <c r="U19" s="36"/>
      <c r="W19" s="19"/>
      <c r="X19" s="15" t="s">
        <v>120</v>
      </c>
      <c r="Y19" s="338"/>
      <c r="Z19" s="339"/>
      <c r="AA19" s="340"/>
      <c r="AB19" s="19"/>
      <c r="AC19" s="36"/>
      <c r="AD19" s="36"/>
      <c r="AE19" s="36"/>
      <c r="AH19" s="3"/>
    </row>
    <row r="20" spans="1:34" ht="15" customHeight="1" x14ac:dyDescent="0.25">
      <c r="A20" s="98" t="s">
        <v>168</v>
      </c>
      <c r="C20" s="19"/>
      <c r="D20" s="15" t="s">
        <v>60</v>
      </c>
      <c r="E20" s="330"/>
      <c r="F20" s="331"/>
      <c r="G20" s="332"/>
      <c r="H20" s="19"/>
      <c r="I20" s="36"/>
      <c r="J20" s="36"/>
      <c r="K20" s="36"/>
      <c r="M20" s="19"/>
      <c r="N20" s="15" t="s">
        <v>60</v>
      </c>
      <c r="O20" s="330"/>
      <c r="P20" s="331"/>
      <c r="Q20" s="332"/>
      <c r="R20" s="19"/>
      <c r="S20" s="36"/>
      <c r="T20" s="36"/>
      <c r="U20" s="36"/>
      <c r="W20" s="19"/>
      <c r="X20" s="15" t="s">
        <v>60</v>
      </c>
      <c r="Y20" s="330"/>
      <c r="Z20" s="331"/>
      <c r="AA20" s="332"/>
      <c r="AB20" s="19"/>
      <c r="AC20" s="36"/>
      <c r="AD20" s="36"/>
      <c r="AE20" s="36"/>
      <c r="AG20" s="3"/>
      <c r="AH20" s="3"/>
    </row>
    <row r="21" spans="1:34" ht="13.2" customHeight="1" x14ac:dyDescent="0.25">
      <c r="A21" s="98" t="s">
        <v>170</v>
      </c>
      <c r="C21" s="19"/>
      <c r="D21" s="15" t="s">
        <v>17</v>
      </c>
      <c r="E21" s="327" t="str">
        <f>IF(E$20&lt;&gt;0,IFERROR(VLOOKUP(E$20,списки!$B$28:$C$38,2,FALSE),""),"")</f>
        <v/>
      </c>
      <c r="F21" s="328"/>
      <c r="G21" s="329"/>
      <c r="H21" s="19"/>
      <c r="I21" s="36"/>
      <c r="J21" s="36"/>
      <c r="K21" s="36"/>
      <c r="M21" s="19"/>
      <c r="N21" s="15" t="s">
        <v>17</v>
      </c>
      <c r="O21" s="327" t="str">
        <f>IF(O$20&lt;&gt;0,IFERROR(VLOOKUP(O$20,списки!$B$28:$C$38,2,FALSE),""),"")</f>
        <v/>
      </c>
      <c r="P21" s="328"/>
      <c r="Q21" s="329"/>
      <c r="R21" s="19"/>
      <c r="S21" s="36"/>
      <c r="T21" s="36"/>
      <c r="U21" s="36"/>
      <c r="W21" s="19"/>
      <c r="X21" s="15" t="s">
        <v>17</v>
      </c>
      <c r="Y21" s="327" t="str">
        <f>IF(Y$20&lt;&gt;0,IFERROR(VLOOKUP(Y$20,списки!$B$28:$C$38,2,FALSE),""),"")</f>
        <v/>
      </c>
      <c r="Z21" s="328"/>
      <c r="AA21" s="329"/>
      <c r="AB21" s="19"/>
      <c r="AC21" s="36"/>
      <c r="AD21" s="36"/>
      <c r="AE21" s="36"/>
      <c r="AG21" s="3"/>
      <c r="AH21" s="3"/>
    </row>
    <row r="22" spans="1:34" x14ac:dyDescent="0.25">
      <c r="A22" s="98" t="s">
        <v>169</v>
      </c>
      <c r="C22" s="19"/>
      <c r="D22" s="293" t="s">
        <v>329</v>
      </c>
      <c r="E22" s="27" t="s">
        <v>13</v>
      </c>
      <c r="F22" s="326" t="s">
        <v>12</v>
      </c>
      <c r="G22" s="326"/>
      <c r="H22" s="19"/>
      <c r="I22" s="36"/>
      <c r="J22" s="58" t="s">
        <v>114</v>
      </c>
      <c r="K22" s="36"/>
      <c r="M22" s="19"/>
      <c r="N22" s="293" t="s">
        <v>329</v>
      </c>
      <c r="O22" s="27" t="s">
        <v>13</v>
      </c>
      <c r="P22" s="326" t="s">
        <v>12</v>
      </c>
      <c r="Q22" s="326"/>
      <c r="R22" s="19"/>
      <c r="S22" s="36"/>
      <c r="T22" s="58" t="s">
        <v>114</v>
      </c>
      <c r="U22" s="36"/>
      <c r="W22" s="19"/>
      <c r="X22" s="293" t="s">
        <v>329</v>
      </c>
      <c r="Y22" s="27" t="s">
        <v>13</v>
      </c>
      <c r="Z22" s="326" t="s">
        <v>12</v>
      </c>
      <c r="AA22" s="326"/>
      <c r="AB22" s="19"/>
      <c r="AC22" s="36"/>
      <c r="AD22" s="36"/>
      <c r="AE22" s="36"/>
      <c r="AG22" s="3"/>
      <c r="AH22" s="3"/>
    </row>
    <row r="23" spans="1:34" x14ac:dyDescent="0.25">
      <c r="A23" s="98" t="s">
        <v>171</v>
      </c>
      <c r="C23" s="19"/>
      <c r="D23" s="41" t="s">
        <v>65</v>
      </c>
      <c r="E23" s="233">
        <f>IFERROR(IF(ISNUMBER(SEARCH("ЛД",E4)),ROUND(J26*E18*1.2,2),ROUND(F23*E18,2)),"-")</f>
        <v>0</v>
      </c>
      <c r="F23" s="341">
        <f>IFERROR(IF(E10="-","-",ROUND(SUM(J7:J9),2)),"-")</f>
        <v>0</v>
      </c>
      <c r="G23" s="342"/>
      <c r="H23" s="19"/>
      <c r="I23" s="36"/>
      <c r="J23" s="36">
        <f>IFERROR(IF($E$7&lt;K7,(GETPIVOTDATA("цена1",НМВ_безНДС,"Период",$E$3,"Сервис",$E$4,"Уровень",$D$7,"Аккаунтов",$E$7)*$E$7),(GETPIVOTDATA("цена1",НМВ_безНДС,"Период",$E$3,"Сервис",$E$4,"Уровень",$D$7,"Аккаунтов",K7)*$E$7)),0)</f>
        <v>0</v>
      </c>
      <c r="K23" s="36"/>
      <c r="M23" s="19"/>
      <c r="N23" s="41" t="s">
        <v>65</v>
      </c>
      <c r="O23" s="233">
        <f>IFERROR(IF(ISNUMBER(SEARCH("ЛД",O4)),ROUND(T26*O18*1.2,2),ROUND(P23*O18,2)),"-")</f>
        <v>0</v>
      </c>
      <c r="P23" s="341">
        <f>IFERROR(IF(O10="-","-",ROUND(SUM(T7:T9),2)),"-")</f>
        <v>0</v>
      </c>
      <c r="Q23" s="342"/>
      <c r="R23" s="19"/>
      <c r="S23" s="36"/>
      <c r="T23" s="36">
        <f>IFERROR(IF($O$7&lt;U7,(GETPIVOTDATA("цена1",НМВ_безНДС,"Период",$O$3,"Сервис",$O$4,"Уровень",$N$7,"Аккаунтов",$O$7)*$O$7),(GETPIVOTDATA("цена1",НМВ_безНДС,"Период",$O$3,"Сервис",$O$4,"Уровень",$N$7,"Аккаунтов",U7)*$O$7)),0)</f>
        <v>0</v>
      </c>
      <c r="U23" s="36"/>
      <c r="W23" s="19"/>
      <c r="X23" s="41" t="s">
        <v>65</v>
      </c>
      <c r="Y23" s="233">
        <f>IFERROR(IF(ISNUMBER(SEARCH("ЛД",Y4)),ROUND(AD26*Y18*1.2,2),ROUND(Z23*Y18,2)),"-")</f>
        <v>0</v>
      </c>
      <c r="Z23" s="341">
        <f>IFERROR(IF(Y10="-","-",ROUND(SUM(AD7:AD9),2)),"-")</f>
        <v>0</v>
      </c>
      <c r="AA23" s="342"/>
      <c r="AB23" s="19"/>
      <c r="AC23" s="36"/>
      <c r="AD23" s="36">
        <f>IFERROR(IF($Y$7&lt;AE7,(GETPIVOTDATA("цена1",НМВ_безНДС,"Период",$Y$3,"Сервис",$Y$4,"Уровень",$X$7,"Аккаунтов",$Y$7)*$Y$7),(GETPIVOTDATA("цена1",НМВ_безНДС,"Период",$Y$3,"Сервис",$Y$4,"Уровень",$X$7,"Аккаунтов",AE7)*$Y$7)),0)</f>
        <v>0</v>
      </c>
      <c r="AE23" s="36"/>
      <c r="AG23" s="3"/>
    </row>
    <row r="24" spans="1:34" x14ac:dyDescent="0.25">
      <c r="A24" s="99" t="s">
        <v>165</v>
      </c>
      <c r="C24" s="19"/>
      <c r="D24" s="41" t="s">
        <v>69</v>
      </c>
      <c r="E24" s="42">
        <f>J31</f>
        <v>0</v>
      </c>
      <c r="F24" s="341">
        <f>IFERROR(E24/E18,0)</f>
        <v>0</v>
      </c>
      <c r="G24" s="342"/>
      <c r="H24" s="19"/>
      <c r="I24" s="36"/>
      <c r="J24" s="36">
        <f>IFERROR(IF($E$8&lt;K8,(GETPIVOTDATA("цена1",НМВ_безНДС,"Период",$E$3,"Сервис",$E$4,"Уровень",$D$8,"Аккаунтов",$E$8)*$E$8),(GETPIVOTDATA("цена1",НМВ_безНДС,"Период",$E$3,"Сервис",$E$4,"Уровень",$D$8,"Аккаунтов",K8)*$E$8)),0)</f>
        <v>0</v>
      </c>
      <c r="K24" s="36"/>
      <c r="M24" s="19"/>
      <c r="N24" s="41" t="s">
        <v>69</v>
      </c>
      <c r="O24" s="42">
        <f>T31</f>
        <v>0</v>
      </c>
      <c r="P24" s="341">
        <f>IFERROR(O24/O18,0)</f>
        <v>0</v>
      </c>
      <c r="Q24" s="342"/>
      <c r="R24" s="19"/>
      <c r="S24" s="36"/>
      <c r="T24" s="36">
        <f>IFERROR(IF($O$8&lt;U8,(GETPIVOTDATA("цена1",НМВ_безНДС,"Период",$O$3,"Сервис",$O$4,"Уровень",$N$8,"Аккаунтов",$O$8)*$O$8),(GETPIVOTDATA("цена1",НМВ_безНДС,"Период",$O$3,"Сервис",$O$4,"Уровень",$N$8,"Аккаунтов",U8)*$O$8)),0)</f>
        <v>0</v>
      </c>
      <c r="U24" s="36"/>
      <c r="W24" s="19"/>
      <c r="X24" s="41" t="s">
        <v>69</v>
      </c>
      <c r="Y24" s="42">
        <f>AD31</f>
        <v>0</v>
      </c>
      <c r="Z24" s="341">
        <f>IFERROR(Y24/Y18,0)</f>
        <v>0</v>
      </c>
      <c r="AA24" s="342"/>
      <c r="AB24" s="19"/>
      <c r="AC24" s="36"/>
      <c r="AD24" s="36">
        <f>IFERROR(IF($Y$8&lt;AE8,(GETPIVOTDATA("цена1",НМВ_безНДС,"Период",$Y$3,"Сервис",$Y$4,"Уровень",$X$8,"Аккаунтов",$Y$8)*$Y$8),(GETPIVOTDATA("цена1",НМВ_безНДС,"Период",$Y$3,"Сервис",$Y$4,"Уровень",$X$8,"Аккаунтов",AE8)*$Y$8)),0)</f>
        <v>0</v>
      </c>
      <c r="AE24" s="36"/>
      <c r="AG24" s="3"/>
    </row>
    <row r="25" spans="1:34" ht="16.2" customHeight="1" thickBot="1" x14ac:dyDescent="0.3">
      <c r="A25" s="99" t="s">
        <v>164</v>
      </c>
      <c r="C25" s="20"/>
      <c r="D25" s="47" t="s">
        <v>172</v>
      </c>
      <c r="E25" s="241" t="str">
        <f>IFERROR(IF(E20&lt;&gt;"",D29,"")/E20*E18,"")</f>
        <v/>
      </c>
      <c r="F25" s="343" t="str">
        <f>IFERROR(ROUND(E25/E18,2),"")</f>
        <v/>
      </c>
      <c r="G25" s="344"/>
      <c r="H25" s="20"/>
      <c r="J25" s="2">
        <f>IFERROR(IF($E$9&lt;K9,(GETPIVOTDATA("цена1",НМВ_безНДС,"Период",$E$3,"Сервис",$E$4,"Уровень",$D$9,"Аккаунтов",$E$9)*$E$9),(GETPIVOTDATA("цена1",НМВ_безНДС,"Период",$E$3,"Сервис",$E$4,"Уровень",$D$9,"Аккаунтов",K9)*$E$9)),0)</f>
        <v>0</v>
      </c>
      <c r="M25" s="20"/>
      <c r="N25" s="47" t="s">
        <v>172</v>
      </c>
      <c r="O25" s="241" t="str">
        <f>IFERROR(IF(O20&lt;&gt;"",N29,"")/O20*O18,"")</f>
        <v/>
      </c>
      <c r="P25" s="343" t="str">
        <f>IFERROR(ROUND(O25/O18,2),"")</f>
        <v/>
      </c>
      <c r="Q25" s="344"/>
      <c r="R25" s="20"/>
      <c r="T25" s="2">
        <f>IFERROR(IF($O$9&lt;U9,(GETPIVOTDATA("цена1",НМВ_безНДС,"Период",$O$3,"Сервис",$O$4,"Уровень",$N$9,"Аккаунтов",$O$9)*$O$9),(GETPIVOTDATA("цена1",НМВ_безНДС,"Период",$O$3,"Сервис",$O$4,"Уровень",$N$9,"Аккаунтов",U9)*$O$9)),0)</f>
        <v>0</v>
      </c>
      <c r="W25" s="20"/>
      <c r="X25" s="47" t="s">
        <v>172</v>
      </c>
      <c r="Y25" s="241" t="str">
        <f>IFERROR(IF(Y20&lt;&gt;"",X29,"")/Y20*Y18,"")</f>
        <v/>
      </c>
      <c r="Z25" s="343" t="str">
        <f>IFERROR(ROUND(Y25/Y18,2),"")</f>
        <v/>
      </c>
      <c r="AA25" s="344"/>
      <c r="AB25" s="20"/>
      <c r="AD25" s="36">
        <f>IFERROR(IF($Y$9&lt;AE9,(GETPIVOTDATA("цена1",НМВ_безНДС,"Период",$Y$3,"Сервис",$Y$4,"Уровень",$X$9,"Аккаунтов",$Y$9)*$Y$9),(GETPIVOTDATA("цена1",НМВ_безНДС,"Период",$Y$3,"Сервис",$Y$4,"Уровень",$X$9,"Аккаунтов",AE9)*$Y$9)),0)</f>
        <v>0</v>
      </c>
      <c r="AG25" s="3"/>
      <c r="AH25" s="3"/>
    </row>
    <row r="26" spans="1:34" x14ac:dyDescent="0.25">
      <c r="J26" s="2">
        <f>SUM(J23:J25)</f>
        <v>0</v>
      </c>
      <c r="T26" s="2">
        <f>SUM(T23:T25)</f>
        <v>0</v>
      </c>
      <c r="AD26" s="2">
        <f>SUM(AD23:AD25)</f>
        <v>0</v>
      </c>
    </row>
    <row r="27" spans="1:34" ht="22.2" hidden="1" customHeight="1" x14ac:dyDescent="0.25">
      <c r="D27" s="43" t="s">
        <v>72</v>
      </c>
      <c r="N27" s="43" t="s">
        <v>72</v>
      </c>
      <c r="X27" s="43" t="s">
        <v>72</v>
      </c>
    </row>
    <row r="28" spans="1:34" hidden="1" x14ac:dyDescent="0.25">
      <c r="B28" s="138"/>
      <c r="C28" s="138"/>
      <c r="D28" s="231" t="e">
        <f>ROUND(ROUND((J23-J23*E19)*E21,2)*1.2,2)+ROUND(ROUND((J24-J24*E19)*E21,2)*1.2,2)+ROUND(ROUND((J25-J25*E19)*E21,2)*1.2,2)</f>
        <v>#VALUE!</v>
      </c>
      <c r="E28" s="138"/>
      <c r="F28" s="138"/>
      <c r="G28" s="138"/>
      <c r="H28" s="138"/>
      <c r="I28" s="138"/>
      <c r="J28" s="138"/>
      <c r="K28" s="138"/>
      <c r="L28" s="138"/>
      <c r="M28" s="138"/>
      <c r="N28" s="231" t="e">
        <f>ROUND(ROUND((T23-T23*O19)*O21,2)*1.2,2)+ROUND(ROUND((T24-T24*O19)*O21,2)*1.2,2)+ROUND(ROUND((T25-T25*O19)*O21,2)*1.2,2)</f>
        <v>#VALUE!</v>
      </c>
      <c r="O28" s="138"/>
      <c r="P28" s="138"/>
      <c r="Q28" s="138"/>
      <c r="R28" s="138"/>
      <c r="S28" s="138"/>
      <c r="T28" s="138"/>
      <c r="U28" s="138"/>
      <c r="V28" s="138"/>
      <c r="W28" s="138"/>
      <c r="X28" s="231" t="e">
        <f>ROUND(ROUND((AD23-AD23*Y19)*Y21,2)*1.2,2)+ROUND(ROUND((AD24-AD24*Y19)*Y21,2)*1.2,2)+ROUND(ROUND((AD25-AD25*Y19)*Y21,2)*1.2,2)</f>
        <v>#VALUE!</v>
      </c>
    </row>
    <row r="29" spans="1:34" hidden="1" x14ac:dyDescent="0.25">
      <c r="B29" s="138"/>
      <c r="C29" s="138"/>
      <c r="D29" s="232" t="str">
        <f>IFERROR(ROUND(D28*E20,2),"")</f>
        <v/>
      </c>
      <c r="E29" s="138"/>
      <c r="F29" s="138"/>
      <c r="G29" s="138"/>
      <c r="H29" s="138"/>
      <c r="I29" s="138"/>
      <c r="J29" s="138"/>
      <c r="K29" s="138"/>
      <c r="L29" s="138"/>
      <c r="M29" s="138"/>
      <c r="N29" s="232" t="str">
        <f>IFERROR(ROUND(N28*O20,2),"")</f>
        <v/>
      </c>
      <c r="O29" s="138"/>
      <c r="P29" s="138"/>
      <c r="Q29" s="138"/>
      <c r="R29" s="138"/>
      <c r="S29" s="138"/>
      <c r="T29" s="138"/>
      <c r="U29" s="138"/>
      <c r="V29" s="138"/>
      <c r="W29" s="138"/>
      <c r="X29" s="232" t="str">
        <f>IFERROR(ROUND(X28*Y20,2),"")</f>
        <v/>
      </c>
    </row>
    <row r="31" spans="1:34" ht="13.8" x14ac:dyDescent="0.3">
      <c r="D31"/>
      <c r="E31"/>
      <c r="F31"/>
      <c r="G31" s="138"/>
      <c r="H31" s="138"/>
      <c r="I31" s="138"/>
      <c r="J31" s="139">
        <f>J34+J35+J38+J40+J41</f>
        <v>0</v>
      </c>
      <c r="K31" s="138"/>
      <c r="T31" s="139">
        <f>T34+T35+T38+T40+T41</f>
        <v>0</v>
      </c>
      <c r="AD31" s="139">
        <f>AD34+AD35+AD38+AD40+AD41</f>
        <v>0</v>
      </c>
    </row>
    <row r="32" spans="1:34" ht="13.8" x14ac:dyDescent="0.3">
      <c r="D32"/>
      <c r="E32"/>
      <c r="F32"/>
      <c r="G32" s="138"/>
      <c r="I32" s="138"/>
      <c r="J32" s="138"/>
    </row>
    <row r="33" spans="2:30" ht="13.8" x14ac:dyDescent="0.3">
      <c r="D33"/>
      <c r="E33"/>
      <c r="F33"/>
      <c r="I33" s="140"/>
      <c r="J33" s="140" t="s">
        <v>239</v>
      </c>
      <c r="S33" s="140"/>
      <c r="T33" s="140" t="s">
        <v>239</v>
      </c>
      <c r="AC33" s="140"/>
      <c r="AD33" s="140" t="s">
        <v>239</v>
      </c>
    </row>
    <row r="34" spans="2:30" ht="13.2" customHeight="1" x14ac:dyDescent="0.3">
      <c r="B34"/>
      <c r="C34"/>
      <c r="D34"/>
      <c r="E34"/>
      <c r="F34"/>
      <c r="I34" s="140" t="s">
        <v>237</v>
      </c>
      <c r="J34" s="141">
        <f>IF(E16="Нет",IF(IFERROR(SEARCH("ЛД",E4),"")&lt;&gt;"",(ROUND((ROUND(J23-J23*E19,2)*E18)*1.2,2))+(ROUND((ROUND(J24-J24*E19,2)*E18)*1.2,2))+(ROUND((ROUND(J25-J25*E19,2)*E18)*1.2,2)),0),0)</f>
        <v>0</v>
      </c>
      <c r="K34" s="138"/>
      <c r="S34" s="140" t="s">
        <v>237</v>
      </c>
      <c r="T34" s="141">
        <f>IF(O16="Нет",IF(IFERROR(SEARCH("ЛД",O4),"")&lt;&gt;"",(ROUND((ROUND(T23-T23*O19,2)*O18)*1.2,2))+(ROUND((ROUND(T24-T24*O19,2)*O18)*1.2,2))+(ROUND((ROUND(T25-T25*O19,2)*O18)*1.2,2)),0),0)</f>
        <v>0</v>
      </c>
      <c r="AC34" s="140" t="s">
        <v>237</v>
      </c>
      <c r="AD34" s="141">
        <f>IF(Y16="Нет",IF(IFERROR(SEARCH("ЛД",Y4),"")&lt;&gt;"",(ROUND((ROUND(AD23-AD23*Y19,2)*Y18)*1.2,2))+(ROUND((ROUND(AD24-AD24*Y19,2)*Y18)*1.2,2))+(ROUND((ROUND(AD25-AD25*Y19,2)*Y18)*1.2,2)),0),0)</f>
        <v>0</v>
      </c>
    </row>
    <row r="35" spans="2:30" ht="13.2" customHeight="1" x14ac:dyDescent="0.3">
      <c r="B35"/>
      <c r="C35"/>
      <c r="D35"/>
      <c r="E35"/>
      <c r="F35"/>
      <c r="I35" s="140" t="s">
        <v>238</v>
      </c>
      <c r="J35" s="141">
        <f>IF(E16="Нет",IF(IFERROR(SEARCH("ЛД",E4),"")&lt;&gt;"",0,(ROUND(ROUND(J23-J23*E19,2)*1.2,2)+ROUND(ROUND(J24-J24*E19,2)*1.2,2)+ROUND(ROUND(J25-J25*E19,2)*1.2,2))*E18),0)</f>
        <v>0</v>
      </c>
      <c r="K35" s="138"/>
      <c r="S35" s="140" t="s">
        <v>238</v>
      </c>
      <c r="T35" s="141">
        <f>IF(O16="Нет",IF(IFERROR(SEARCH("ЛД",O4),"")&lt;&gt;"",0,(ROUND(ROUND(T23-T23*O19,2)*1.2,2)+ROUND(ROUND(T24-T24*O19,2)*1.2,2)+ROUND(ROUND(T25-T25*O19,2)*1.2,2))*O18),0)</f>
        <v>0</v>
      </c>
      <c r="AC35" s="140" t="s">
        <v>238</v>
      </c>
      <c r="AD35" s="141">
        <f>IF(Y16="Нет",IF(IFERROR(SEARCH("ЛД",Y4),"")&lt;&gt;"",0,(ROUND(ROUND(AD23-AD23*Y19,2)*1.2,2)+ROUND(ROUND(AD24-AD24*Y19,2)*1.2,2)+ROUND(ROUND(AD25-AD25*Y19,2)*1.2,2))*Y18),0)</f>
        <v>0</v>
      </c>
    </row>
    <row r="36" spans="2:30" ht="13.2" customHeight="1" x14ac:dyDescent="0.3">
      <c r="D36"/>
      <c r="E36"/>
      <c r="F36"/>
      <c r="I36" s="140"/>
      <c r="J36" s="140"/>
      <c r="S36" s="140"/>
      <c r="T36" s="140"/>
      <c r="AC36" s="140"/>
      <c r="AD36" s="140"/>
    </row>
    <row r="37" spans="2:30" ht="13.8" x14ac:dyDescent="0.3">
      <c r="D37"/>
      <c r="E37"/>
      <c r="F37"/>
      <c r="I37" s="140"/>
      <c r="J37" s="140" t="s">
        <v>242</v>
      </c>
      <c r="S37" s="140"/>
      <c r="T37" s="140" t="s">
        <v>242</v>
      </c>
      <c r="AC37" s="140"/>
      <c r="AD37" s="140" t="s">
        <v>242</v>
      </c>
    </row>
    <row r="38" spans="2:30" ht="13.2" customHeight="1" x14ac:dyDescent="0.25">
      <c r="I38" s="140" t="s">
        <v>237</v>
      </c>
      <c r="J38" s="141">
        <f>IF(E16="Нет",0,IF(IFERROR(SEARCH("ЛД",E4),"")&lt;&gt;"",(ROUND((ROUND(J23-J23*E17,2)*E18)*1.2,2))+(ROUND((ROUND(J24-J24*E17,2)*E18)*1.2,2))+(ROUND((ROUND(J25-J25*E17,2)*E18)*1.2,2)),0))</f>
        <v>0</v>
      </c>
      <c r="S38" s="140" t="s">
        <v>237</v>
      </c>
      <c r="T38" s="141">
        <f>IF(O16="Нет",0,IF(IFERROR(SEARCH("ЛД",O4),"")&lt;&gt;"",(ROUND((ROUND(T23-T23*O17,2)*O18)*1.2,2))+(ROUND((ROUND(T24-T24*O17,2)*O18)*1.2,2))+(ROUND((ROUND(T25-T25*O17,2)*O18)*1.2,2)),0))</f>
        <v>0</v>
      </c>
      <c r="AC38" s="140" t="s">
        <v>237</v>
      </c>
      <c r="AD38" s="141">
        <f>IF(Y16="Нет",0,IF(IFERROR(SEARCH("ЛД",Y4),"")&lt;&gt;"",(ROUND((ROUND(AD23-AD23*Y17,2)*Y18)*1.2,2))+(ROUND((ROUND(AD24-AD24*Y17,2)*Y18)*1.2,2))+(ROUND((ROUND(AD25-AD25*Y17,2)*Y18)*1.2,2)),0))</f>
        <v>0</v>
      </c>
    </row>
    <row r="39" spans="2:30" x14ac:dyDescent="0.25">
      <c r="I39" s="140" t="s">
        <v>238</v>
      </c>
      <c r="J39" s="140"/>
      <c r="S39" s="140" t="s">
        <v>238</v>
      </c>
      <c r="T39" s="140"/>
      <c r="AC39" s="140" t="s">
        <v>238</v>
      </c>
      <c r="AD39" s="140"/>
    </row>
    <row r="40" spans="2:30" x14ac:dyDescent="0.25">
      <c r="I40" s="140" t="s">
        <v>231</v>
      </c>
      <c r="J40" s="141">
        <f>IF(IFERROR(SEARCH("ЛД",E4),"")&lt;&gt;"",0,
IF(AND(E16&lt;&gt;"Нет",F17=I40),(ROUND(ROUND(J23-J23*0.99,2)*1.2,2)+(ROUND(ROUND(J23-J23*E17,2)*1.2,2))*(E18-1))+(ROUND(ROUND(J24-J24*0.99,2)*1.2,2)+(ROUND(ROUND(J24-J24*E17,2)*1.2,2))*(E18-1))+(ROUND(ROUND(J25-J25*0.99,2)*1.2,2)+(ROUND(ROUND(J25-J25*E17,2)*1.2,2))*(E18-1)),0))</f>
        <v>0</v>
      </c>
      <c r="S40" s="140" t="s">
        <v>231</v>
      </c>
      <c r="T40" s="141">
        <f>IF(IFERROR(SEARCH("ЛД",O4),"")&lt;&gt;"",0,
IF(AND(O16&lt;&gt;"Нет",P17=S40),(ROUND(ROUND(T23-T23*0.99,2)*1.2,2)+(ROUND(ROUND(T23-T23*O17,2)*1.2,2))*(O18-1))+(ROUND(ROUND(T24-T24*0.99,2)*1.2,2)+(ROUND(ROUND(T24-T24*O17,2)*1.2,2))*(O18-1))+(ROUND(ROUND(T25-T25*0.99,2)*1.2,2)+(ROUND(ROUND(T25-T25*O17,2)*1.2,2))*(O18-1)),0))</f>
        <v>0</v>
      </c>
      <c r="AC40" s="140" t="s">
        <v>231</v>
      </c>
      <c r="AD40" s="141">
        <f>IF(IFERROR(SEARCH("ЛД",Y4),"")&lt;&gt;"",0,
IF(AND(Y16&lt;&gt;"Нет",Z17=AC40),(ROUND(ROUND(AD23-AD23*0.99,2)*1.2,2)+(ROUND(ROUND(AD23-AD23*Y17,2)*1.2,2))*(Y18-1))+(ROUND(ROUND(AD24-AD24*0.99,2)*1.2,2)+(ROUND(ROUND(AD24-AD24*Y17,2)*1.2,2))*(Y18-1))+(ROUND(ROUND(AD25-AD25*0.99,2)*1.2,2)+(ROUND(ROUND(AD25-AD25*Y17,2)*1.2,2))*(Y18-1)),0))</f>
        <v>0</v>
      </c>
    </row>
    <row r="41" spans="2:30" x14ac:dyDescent="0.25">
      <c r="I41" s="140" t="s">
        <v>232</v>
      </c>
      <c r="J41" s="141">
        <f>IF(IFERROR(SEARCH("ЛД",E4),"")&lt;&gt;"",0,
IF(AND(E16&lt;&gt;"Нет",F17=I41),(ROUND(ROUND(J23-J23*0.99,2)*1.2,2)*2+(ROUND(ROUND(J23-J23*E17,2)*1.2,2))*(E18-2))+(ROUND(ROUND(J24-J24*0.99,2)*1.2,2)*2+(ROUND(ROUND(J24-J24*E17,2)*1.2,2))*(E18-2))+(ROUND(ROUND(J25-J25*0.99,2)*1.2,2)*2+(ROUND(ROUND(J25-J25*E17,2)*1.2,2))*(E18-2)),0))</f>
        <v>0</v>
      </c>
      <c r="S41" s="140" t="s">
        <v>232</v>
      </c>
      <c r="T41" s="141">
        <f>IF(IFERROR(SEARCH("ЛД",O4),"")&lt;&gt;"",0,
IF(AND(O16&lt;&gt;"Нет",P17=S41),(ROUND(ROUND(T23-T23*0.99,2)*1.2,2)*2+(ROUND(ROUND(T23-T23*O17,2)*1.2,2))*(O18-2))+(ROUND(ROUND(T24-T24*0.99,2)*1.2,2)*2+(ROUND(ROUND(T24-T24*O17,2)*1.2,2))*(O18-2))+(ROUND(ROUND(T25-T25*0.99,2)*1.2,2)*2+(ROUND(ROUND(T25-T25*O17,2)*1.2,2))*(O18-2)),0))</f>
        <v>0</v>
      </c>
      <c r="AC41" s="140" t="s">
        <v>232</v>
      </c>
      <c r="AD41" s="141">
        <f>IF(IFERROR(SEARCH("ЛД",Y4),"")&lt;&gt;"",0,
IF(AND(Y16&lt;&gt;"Нет",Z17=AC41),(ROUND(ROUND(AD23-AD23*0.99,2)*1.2,2)*2+(ROUND(ROUND(AD23-AD23*Y17,2)*1.2,2))*(Y18-2))+(ROUND(ROUND(AD24-AD24*0.99,2)*1.2,2)*2+(ROUND(ROUND(AD24-AD24*Y17,2)*1.2,2))*(Y18-2))+(ROUND(ROUND(AD25-AD25*0.99,2)*1.2,2)*2+(ROUND(ROUND(AD25-AD25*Y17,2)*1.2,2))*(Y18-2)),0))</f>
        <v>0</v>
      </c>
    </row>
  </sheetData>
  <sheetProtection selectLockedCells="1"/>
  <mergeCells count="66">
    <mergeCell ref="O14:Q14"/>
    <mergeCell ref="O15:Q15"/>
    <mergeCell ref="N11:Q11"/>
    <mergeCell ref="X11:AA11"/>
    <mergeCell ref="Y15:AA15"/>
    <mergeCell ref="N12:Q12"/>
    <mergeCell ref="X12:AA12"/>
    <mergeCell ref="O8:P8"/>
    <mergeCell ref="O9:P9"/>
    <mergeCell ref="O10:P10"/>
    <mergeCell ref="Y8:Z8"/>
    <mergeCell ref="Y9:Z9"/>
    <mergeCell ref="Y10:Z10"/>
    <mergeCell ref="X1:AA1"/>
    <mergeCell ref="Y3:AA3"/>
    <mergeCell ref="Y4:AA4"/>
    <mergeCell ref="Y6:Z6"/>
    <mergeCell ref="Y7:Z7"/>
    <mergeCell ref="X2:AA2"/>
    <mergeCell ref="N1:Q1"/>
    <mergeCell ref="O3:Q3"/>
    <mergeCell ref="O4:Q4"/>
    <mergeCell ref="O6:P6"/>
    <mergeCell ref="O7:P7"/>
    <mergeCell ref="N2:Q2"/>
    <mergeCell ref="D1:G1"/>
    <mergeCell ref="E18:G18"/>
    <mergeCell ref="E19:G19"/>
    <mergeCell ref="E3:G3"/>
    <mergeCell ref="E4:G4"/>
    <mergeCell ref="E7:F7"/>
    <mergeCell ref="E8:F8"/>
    <mergeCell ref="E9:F9"/>
    <mergeCell ref="E6:F6"/>
    <mergeCell ref="E10:F10"/>
    <mergeCell ref="D2:G2"/>
    <mergeCell ref="D11:G11"/>
    <mergeCell ref="D12:G12"/>
    <mergeCell ref="E13:G13"/>
    <mergeCell ref="E14:G14"/>
    <mergeCell ref="E15:G15"/>
    <mergeCell ref="F24:G24"/>
    <mergeCell ref="P25:Q25"/>
    <mergeCell ref="Z25:AA25"/>
    <mergeCell ref="F23:G23"/>
    <mergeCell ref="F25:G25"/>
    <mergeCell ref="Z23:AA23"/>
    <mergeCell ref="P23:Q23"/>
    <mergeCell ref="P24:Q24"/>
    <mergeCell ref="Z24:AA24"/>
    <mergeCell ref="F22:G22"/>
    <mergeCell ref="E21:G21"/>
    <mergeCell ref="E20:G20"/>
    <mergeCell ref="Y13:AA13"/>
    <mergeCell ref="Y14:AA14"/>
    <mergeCell ref="Z22:AA22"/>
    <mergeCell ref="O18:Q18"/>
    <mergeCell ref="O20:Q20"/>
    <mergeCell ref="O21:Q21"/>
    <mergeCell ref="P22:Q22"/>
    <mergeCell ref="Y20:AA20"/>
    <mergeCell ref="Y21:AA21"/>
    <mergeCell ref="O19:Q19"/>
    <mergeCell ref="Y19:AA19"/>
    <mergeCell ref="Y18:AA18"/>
    <mergeCell ref="O13:Q13"/>
  </mergeCells>
  <conditionalFormatting sqref="E18:G18 Y18:AA18 O18:Q18">
    <cfRule type="expression" dxfId="225" priority="31">
      <formula>D$2="Внимание! Указано неверное количество месяцев предоплаты"</formula>
    </cfRule>
  </conditionalFormatting>
  <conditionalFormatting sqref="N11:Q11">
    <cfRule type="expression" dxfId="224" priority="26">
      <formula>N$11="Внимание! Введено некорректное кол-во аккаунтов"</formula>
    </cfRule>
  </conditionalFormatting>
  <conditionalFormatting sqref="N12:Q12">
    <cfRule type="expression" dxfId="223" priority="23">
      <formula>N$12="Внимание! Для КП выбран некорректный месяц прейскуранта"</formula>
    </cfRule>
  </conditionalFormatting>
  <conditionalFormatting sqref="G8">
    <cfRule type="expression" dxfId="222" priority="12">
      <formula>$G$8="-"</formula>
    </cfRule>
  </conditionalFormatting>
  <conditionalFormatting sqref="Q8">
    <cfRule type="expression" dxfId="221" priority="11">
      <formula>$Q$8="-"</formula>
    </cfRule>
  </conditionalFormatting>
  <conditionalFormatting sqref="AA8">
    <cfRule type="expression" dxfId="220" priority="10">
      <formula>$AA$8="-"</formula>
    </cfRule>
  </conditionalFormatting>
  <conditionalFormatting sqref="D11:G11">
    <cfRule type="expression" dxfId="219" priority="7">
      <formula>D$11="Внимание! Введено некорректное кол-во аккаунтов"</formula>
    </cfRule>
  </conditionalFormatting>
  <conditionalFormatting sqref="D12:G12">
    <cfRule type="expression" dxfId="218" priority="6">
      <formula>D$12="Внимание! Для КП выбран некорректный месяц прейскуранта"</formula>
    </cfRule>
  </conditionalFormatting>
  <conditionalFormatting sqref="X11:AA11">
    <cfRule type="expression" dxfId="217" priority="5">
      <formula>X$11="Внимание! Введено некорректное кол-во аккаунтов"</formula>
    </cfRule>
  </conditionalFormatting>
  <conditionalFormatting sqref="X12:AA12">
    <cfRule type="expression" dxfId="216" priority="4">
      <formula>X$12="Внимание! Для КП выбран некорректный месяц прейскуранта"</formula>
    </cfRule>
  </conditionalFormatting>
  <conditionalFormatting sqref="X2:AA2">
    <cfRule type="expression" dxfId="215" priority="3">
      <formula>X$2="Внимание! Указано неверное количество месяцев предоплаты"</formula>
    </cfRule>
  </conditionalFormatting>
  <conditionalFormatting sqref="N2:Q2">
    <cfRule type="expression" dxfId="214" priority="2">
      <formula>N$2="Внимание! Указано неверное количество месяцев предоплаты"</formula>
    </cfRule>
  </conditionalFormatting>
  <conditionalFormatting sqref="D2:G2">
    <cfRule type="expression" dxfId="213" priority="1">
      <formula>D$2="Внимание! Указано неверное количество месяцев предоплаты"</formula>
    </cfRule>
  </conditionalFormatting>
  <dataValidations xWindow="633" yWindow="708" count="6">
    <dataValidation operator="notEqual" allowBlank="1" showInputMessage="1" showErrorMessage="1" error="Введите любое положительное значение больше 0 либо очистите поле" sqref="E7:F9 O7:P9 Y7:Z9" xr:uid="{7E5A7C63-C97F-47FA-9EEF-AB7E22C59400}"/>
    <dataValidation type="list" allowBlank="1" showInputMessage="1" showErrorMessage="1" sqref="E3:G3 Y3:AA3 O3:Q3" xr:uid="{F3639DB8-B8E7-47AE-9A05-D1C28080FDC3}">
      <formula1>$AJ$3:$AJ$6</formula1>
    </dataValidation>
    <dataValidation type="whole" operator="greaterThanOrEqual" allowBlank="1" showInputMessage="1" showErrorMessage="1" prompt="Укажите не менее 1 месяца" sqref="Y18:AA18 E18:G18 O18:Q18" xr:uid="{1A41DF84-A3D4-4D1B-89E4-FA5851D9BB6B}">
      <formula1>1</formula1>
    </dataValidation>
    <dataValidation type="list" allowBlank="1" showInputMessage="1" showErrorMessage="1" sqref="D8 N8 X8" xr:uid="{F4D3445D-8B66-4A24-B4A9-FEB8DE5B70D9}">
      <formula1>"ОПТИМАЛЬНЫЙ,ОПТИМАЛЬНЫЙ ПЛЮС"</formula1>
    </dataValidation>
    <dataValidation allowBlank="1" showInputMessage="1" showErrorMessage="1" prompt="Убедитесь, что выбран коэф.фиксации нужного года!" sqref="E21:G21 O21:Q21 Y21:AA21" xr:uid="{1BFEEFB0-3164-4740-9CD1-BE8AF9885EEA}"/>
    <dataValidation operator="greaterThanOrEqual" showInputMessage="1" showErrorMessage="1" sqref="E20:G20 O20:Q20 Y20:AA20" xr:uid="{FCE42C50-B80D-4447-9488-5BD8AF662DF0}"/>
  </dataValidations>
  <hyperlinks>
    <hyperlink ref="A16" r:id="rId1" xr:uid="{E7918943-142D-4600-9EEB-DFDB1531C1EC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244" r:id="rId5" name="CommandButton1">
          <controlPr defaultSize="0" print="0" autoLine="0" r:id="rId6">
            <anchor moveWithCells="1">
              <from>
                <xdr:col>0</xdr:col>
                <xdr:colOff>83820</xdr:colOff>
                <xdr:row>0</xdr:row>
                <xdr:rowOff>99060</xdr:rowOff>
              </from>
              <to>
                <xdr:col>0</xdr:col>
                <xdr:colOff>2468880</xdr:colOff>
                <xdr:row>1</xdr:row>
                <xdr:rowOff>251460</xdr:rowOff>
              </to>
            </anchor>
          </controlPr>
        </control>
      </mc:Choice>
      <mc:Fallback>
        <control shapeId="2244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633" yWindow="708" count="4">
        <x14:dataValidation type="list" allowBlank="1" showInputMessage="1" showErrorMessage="1" xr:uid="{297A1D91-A684-49F5-863C-4D399D8410CF}">
          <x14:formula1>
            <xm:f>списки!$B$41</xm:f>
          </x14:formula1>
          <xm:sqref>O16</xm:sqref>
        </x14:dataValidation>
        <x14:dataValidation type="list" allowBlank="1" showInputMessage="1" showErrorMessage="1" xr:uid="{5B48B7D8-7382-4F03-900F-055F4AB49FDB}">
          <x14:formula1>
            <xm:f>списки!$J$3:$J$22</xm:f>
          </x14:formula1>
          <xm:sqref>Y4:AA4 O4:Q4 E4:G4</xm:sqref>
        </x14:dataValidation>
        <x14:dataValidation type="list" allowBlank="1" showInputMessage="1" showErrorMessage="1" xr:uid="{8FC59DD7-76BD-4AAC-BB1E-8636DDE7EE5D}">
          <x14:formula1>
            <xm:f>списки!$B$41:$B$41</xm:f>
          </x14:formula1>
          <xm:sqref>E16</xm:sqref>
        </x14:dataValidation>
        <x14:dataValidation type="list" allowBlank="1" showInputMessage="1" showErrorMessage="1" xr:uid="{F1A62697-7841-44EC-AF49-4AE9A621EBA8}">
          <x14:formula1>
            <xm:f>списки!$B$41</xm:f>
          </x14:formula1>
          <xm:sqref>Y16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CF631-C6CE-489F-AE54-03472F29C8B7}">
  <sheetPr codeName="Лист6">
    <tabColor theme="4" tint="0.39997558519241921"/>
    <outlinePr summaryRight="0"/>
  </sheetPr>
  <dimension ref="A1:AE47"/>
  <sheetViews>
    <sheetView showGridLines="0" zoomScale="85" zoomScaleNormal="85" workbookViewId="0">
      <pane xSplit="1" topLeftCell="B1" activePane="topRight" state="frozen"/>
      <selection pane="topRight" activeCell="A2" sqref="A2"/>
    </sheetView>
  </sheetViews>
  <sheetFormatPr defaultColWidth="8.88671875" defaultRowHeight="13.2" outlineLevelRow="1" x14ac:dyDescent="0.25"/>
  <cols>
    <col min="1" max="1" width="75.77734375" style="2" customWidth="1"/>
    <col min="2" max="2" width="4.33203125" style="2" customWidth="1"/>
    <col min="3" max="3" width="1.5546875" style="2" customWidth="1"/>
    <col min="4" max="4" width="25.6640625" style="2" customWidth="1"/>
    <col min="5" max="6" width="31.77734375" style="2" customWidth="1"/>
    <col min="7" max="7" width="1.6640625" style="2" customWidth="1"/>
    <col min="8" max="8" width="3.6640625" style="2" hidden="1" customWidth="1"/>
    <col min="9" max="9" width="10.33203125" style="2" hidden="1" customWidth="1"/>
    <col min="10" max="10" width="6.109375" style="2" hidden="1" customWidth="1"/>
    <col min="11" max="11" width="4" style="2" customWidth="1"/>
    <col min="12" max="12" width="1.5546875" style="2" customWidth="1"/>
    <col min="13" max="13" width="25.6640625" style="2" customWidth="1"/>
    <col min="14" max="15" width="31.77734375" style="2" customWidth="1"/>
    <col min="16" max="16" width="1.6640625" style="2" customWidth="1"/>
    <col min="17" max="17" width="3.6640625" style="2" hidden="1" customWidth="1"/>
    <col min="18" max="18" width="9.6640625" style="2" hidden="1" customWidth="1"/>
    <col min="19" max="19" width="7.33203125" style="2" hidden="1" customWidth="1"/>
    <col min="20" max="20" width="5.6640625" style="2" customWidth="1"/>
    <col min="21" max="21" width="4.5546875" style="2" customWidth="1"/>
    <col min="22" max="22" width="5.44140625" style="2" customWidth="1"/>
    <col min="23" max="23" width="4.5546875" style="2" customWidth="1"/>
    <col min="24" max="24" width="5.44140625" style="2" customWidth="1"/>
    <col min="25" max="26" width="5.33203125" style="2" customWidth="1"/>
    <col min="27" max="16384" width="8.88671875" style="2"/>
  </cols>
  <sheetData>
    <row r="1" spans="1:31" ht="18" customHeight="1" x14ac:dyDescent="0.3">
      <c r="B1" s="40" t="s">
        <v>68</v>
      </c>
      <c r="C1" s="18"/>
      <c r="D1" s="345"/>
      <c r="E1" s="345"/>
      <c r="F1" s="345"/>
      <c r="G1" s="18"/>
      <c r="H1" s="36"/>
      <c r="I1" s="36"/>
      <c r="J1" s="36"/>
      <c r="K1" s="94" t="s">
        <v>66</v>
      </c>
      <c r="L1" s="38"/>
      <c r="M1" s="359"/>
      <c r="N1" s="359"/>
      <c r="O1" s="359"/>
      <c r="P1" s="38"/>
      <c r="Q1" s="39"/>
      <c r="R1" s="39"/>
      <c r="S1" s="39"/>
    </row>
    <row r="2" spans="1:31" ht="15" customHeight="1" x14ac:dyDescent="0.25">
      <c r="C2" s="19"/>
      <c r="D2" s="15" t="s">
        <v>57</v>
      </c>
      <c r="E2" s="346">
        <v>45839</v>
      </c>
      <c r="F2" s="347"/>
      <c r="G2" s="19"/>
      <c r="H2" s="36"/>
      <c r="I2" s="3"/>
      <c r="L2" s="19"/>
      <c r="M2" s="15" t="s">
        <v>57</v>
      </c>
      <c r="N2" s="346">
        <v>45870</v>
      </c>
      <c r="O2" s="347"/>
      <c r="P2" s="19"/>
      <c r="Q2" s="36"/>
      <c r="R2" s="3"/>
    </row>
    <row r="3" spans="1:31" ht="27" customHeight="1" x14ac:dyDescent="0.25">
      <c r="C3" s="19"/>
      <c r="D3" s="16" t="s">
        <v>327</v>
      </c>
      <c r="E3" s="349"/>
      <c r="F3" s="350"/>
      <c r="G3" s="19"/>
      <c r="H3" s="36"/>
      <c r="I3" s="3" t="e">
        <f>VLOOKUP(E3,списки!$J$3:$K$22,2,FALSE)</f>
        <v>#N/A</v>
      </c>
      <c r="J3" s="3"/>
      <c r="L3" s="19"/>
      <c r="M3" s="16" t="s">
        <v>327</v>
      </c>
      <c r="N3" s="349"/>
      <c r="O3" s="350"/>
      <c r="P3" s="19"/>
      <c r="Q3" s="36"/>
      <c r="R3" s="3" t="e">
        <f>VLOOKUP(N3,списки!$J$3:$K$22,2,FALSE)</f>
        <v>#N/A</v>
      </c>
      <c r="S3" s="3"/>
    </row>
    <row r="4" spans="1:31" ht="15" customHeight="1" x14ac:dyDescent="0.25">
      <c r="C4" s="19"/>
      <c r="G4" s="19"/>
      <c r="H4" s="36"/>
      <c r="L4" s="19"/>
      <c r="P4" s="19"/>
      <c r="Q4" s="36"/>
      <c r="X4" s="108"/>
      <c r="Y4" s="108"/>
      <c r="Z4" s="108"/>
      <c r="AA4" s="108"/>
      <c r="AB4" s="108"/>
      <c r="AC4" s="108"/>
      <c r="AD4" s="108"/>
      <c r="AE4" s="108"/>
    </row>
    <row r="5" spans="1:31" ht="14.4" x14ac:dyDescent="0.3">
      <c r="A5" s="307" t="s">
        <v>346</v>
      </c>
      <c r="C5" s="19"/>
      <c r="D5" s="305" t="s">
        <v>15</v>
      </c>
      <c r="E5" s="354" t="s">
        <v>358</v>
      </c>
      <c r="F5" s="355"/>
      <c r="G5" s="19"/>
      <c r="H5" s="36"/>
      <c r="I5" s="58" t="s">
        <v>306</v>
      </c>
      <c r="J5" s="36"/>
      <c r="L5" s="19"/>
      <c r="M5" s="305" t="s">
        <v>15</v>
      </c>
      <c r="N5" s="354" t="s">
        <v>358</v>
      </c>
      <c r="O5" s="355"/>
      <c r="P5" s="19"/>
      <c r="Q5" s="36"/>
      <c r="R5" s="58" t="s">
        <v>306</v>
      </c>
      <c r="S5" s="3"/>
    </row>
    <row r="6" spans="1:31" ht="15" customHeight="1" x14ac:dyDescent="0.3">
      <c r="A6" s="308" t="s">
        <v>331</v>
      </c>
      <c r="B6" s="35"/>
      <c r="C6" s="19"/>
      <c r="D6" s="17" t="s">
        <v>20</v>
      </c>
      <c r="E6" s="352"/>
      <c r="F6" s="353"/>
      <c r="G6" s="19"/>
      <c r="H6" s="36" t="str">
        <f>IF(E6&gt;0,D6,"")</f>
        <v/>
      </c>
      <c r="I6" s="59">
        <f>IFERROR(ROUND(IF($E$6&lt;J6,(GETPIVOTDATA("цена1",НМВ_безНДС,"Период",$E$2,"Сервис",$E$3,"Уровень",$D$6,"Аккаунтов",$E$6)),(GETPIVOTDATA("цена1",НМВ_безНДС,"Период",$E$2,"Сервис",$E$3,"Уровень",$D$6,"Аккаунтов",J6)))*$E$6*1.2,2),0)</f>
        <v>0</v>
      </c>
      <c r="J6" s="60" t="e">
        <f>GETPIVOTDATA("Пользователей",НМВ_Пользователей,"Период",$E$2,"Сервис",$E$3,"Уровень",D6)</f>
        <v>#REF!</v>
      </c>
      <c r="L6" s="19"/>
      <c r="M6" s="17" t="s">
        <v>20</v>
      </c>
      <c r="N6" s="352"/>
      <c r="O6" s="353"/>
      <c r="P6" s="19"/>
      <c r="Q6" s="36" t="str">
        <f>IF(N6&gt;0,M6,"")</f>
        <v/>
      </c>
      <c r="R6" s="59">
        <f>IFERROR(ROUND(IF($N$6&lt;S6,(GETPIVOTDATA("цена1",НМВ_безНДС,"Период",$N$2,"Сервис",$N$3,"Уровень",$M$6,"Аккаунтов",$N$6)),(GETPIVOTDATA("цена1",НМВ_безНДС,"Период",$N$2,"Сервис",$N$3,"Уровень",$M$6,"Аккаунтов",S6)))*$N$6*1.2,2),0)</f>
        <v>0</v>
      </c>
      <c r="S6" s="60" t="e">
        <f>GETPIVOTDATA("Пользователей",НМВ_Пользователей,"Период",$N$2,"Сервис",$N$3,"Уровень",M6)</f>
        <v>#REF!</v>
      </c>
    </row>
    <row r="7" spans="1:31" ht="15" customHeight="1" x14ac:dyDescent="0.3">
      <c r="A7" s="308" t="s">
        <v>332</v>
      </c>
      <c r="B7" s="35"/>
      <c r="C7" s="19"/>
      <c r="D7" s="17" t="s">
        <v>21</v>
      </c>
      <c r="E7" s="352"/>
      <c r="F7" s="353"/>
      <c r="G7" s="19"/>
      <c r="H7" s="36" t="str">
        <f>IF(E7&gt;0,D7,"")</f>
        <v/>
      </c>
      <c r="I7" s="59">
        <f>IFERROR(ROUND(IF($E$7&lt;J7,(GETPIVOTDATA("цена1",НМВ_безНДС,"Период",$E$2,"Сервис",$E$3,"Уровень",$D$7,"Аккаунтов",$E$7)),(GETPIVOTDATA("цена1",НМВ_безНДС,"Период",$E$2,"Сервис",$E$3,"Уровень",$D$7,"Аккаунтов",J7)))*$E$7*1.2,2),0)</f>
        <v>0</v>
      </c>
      <c r="J7" s="60" t="e">
        <f>GETPIVOTDATA("Пользователей",НМВ_Пользователей,"Период",$E$2,"Сервис",$E$3,"Уровень",D7)</f>
        <v>#REF!</v>
      </c>
      <c r="L7" s="19"/>
      <c r="M7" s="17" t="s">
        <v>21</v>
      </c>
      <c r="N7" s="352"/>
      <c r="O7" s="353"/>
      <c r="P7" s="19"/>
      <c r="Q7" s="36" t="str">
        <f>IF(N7&gt;0,M7,"")</f>
        <v/>
      </c>
      <c r="R7" s="59">
        <f>IFERROR(ROUND(IF($N$7&lt;S7,(GETPIVOTDATA("цена1",НМВ_безНДС,"Период",$N$2,"Сервис",$N$3,"Уровень",$M$7,"Аккаунтов",$N$7)),(GETPIVOTDATA("цена1",НМВ_безНДС,"Период",$N$2,"Сервис",$N$3,"Уровень",$M$7,"Аккаунтов",S7)))*$N$7*1.2,2),0)</f>
        <v>0</v>
      </c>
      <c r="S7" s="60" t="e">
        <f>GETPIVOTDATA("Пользователей",НМВ_Пользователей,"Период",$N$2,"Сервис",$N$3,"Уровень",M7)</f>
        <v>#REF!</v>
      </c>
    </row>
    <row r="8" spans="1:31" ht="15" customHeight="1" x14ac:dyDescent="0.25">
      <c r="B8" s="35"/>
      <c r="C8" s="19"/>
      <c r="D8" s="5" t="str">
        <f>IF(E3="","",VLOOKUP(E3,списки!$K25:$N44,4,FALSE))</f>
        <v/>
      </c>
      <c r="E8" s="352"/>
      <c r="F8" s="353"/>
      <c r="G8" s="19"/>
      <c r="H8" s="36" t="str">
        <f>IF(E8&gt;0,D8,"")</f>
        <v/>
      </c>
      <c r="I8" s="59">
        <f>IFERROR(ROUND(IF($E$8&lt;J8,(GETPIVOTDATA("цена1",НМВ_безНДС,"Период",$E$2,"Сервис",$E$3,"Уровень",$D$8,"Аккаунтов",$E$8)),(GETPIVOTDATA("цена1",НМВ_безНДС,"Период",$E$2,"Сервис",$E$3,"Уровень",$D$8,"Аккаунтов",J8)))*$E$8*1.2,2),0)</f>
        <v>0</v>
      </c>
      <c r="J8" s="60" t="e">
        <f>GETPIVOTDATA("Пользователей",НМВ_Пользователей,"Период",$E$2,"Сервис",$E$3,"Уровень",D8)</f>
        <v>#REF!</v>
      </c>
      <c r="L8" s="19"/>
      <c r="M8" s="5" t="str">
        <f>IF(N3="","",VLOOKUP(N3,списки!$K25:$N44,4,FALSE))</f>
        <v/>
      </c>
      <c r="N8" s="352"/>
      <c r="O8" s="353"/>
      <c r="P8" s="19"/>
      <c r="Q8" s="36" t="str">
        <f>IF(N8&gt;0,M8,"")</f>
        <v/>
      </c>
      <c r="R8" s="59">
        <f>IFERROR(ROUND(IF($N$8&lt;S8,(GETPIVOTDATA("цена1",НМВ_безНДС,"Период",$N$2,"Сервис",$N$3,"Уровень",$M$8,"Аккаунтов",$N$8)),(GETPIVOTDATA("цена1",НМВ_безНДС,"Период",$N$2,"Сервис",$N$3,"Уровень",$M$8,"Аккаунтов",S8)))*$N$8*1.2,2),0)</f>
        <v>0</v>
      </c>
      <c r="S8" s="60" t="e">
        <f>GETPIVOTDATA("Пользователей",НМВ_Пользователей,"Период",$N$2,"Сервис",$N$3,"Уровень",M8)</f>
        <v>#REF!</v>
      </c>
    </row>
    <row r="9" spans="1:31" ht="18" customHeight="1" x14ac:dyDescent="0.3">
      <c r="A9"/>
      <c r="C9" s="19"/>
      <c r="D9" s="26" t="s">
        <v>14</v>
      </c>
      <c r="E9" s="360">
        <f>SUM(E6:F8)</f>
        <v>0</v>
      </c>
      <c r="F9" s="360"/>
      <c r="G9" s="19"/>
      <c r="H9" s="36"/>
      <c r="I9" s="36"/>
      <c r="J9" s="36"/>
      <c r="L9" s="19"/>
      <c r="M9" s="26" t="s">
        <v>14</v>
      </c>
      <c r="N9" s="360">
        <f>SUM(N6:O8)</f>
        <v>0</v>
      </c>
      <c r="O9" s="360"/>
      <c r="P9" s="19"/>
      <c r="Q9" s="36"/>
      <c r="R9" s="36"/>
      <c r="S9" s="36"/>
      <c r="U9" s="7"/>
      <c r="V9" s="3"/>
    </row>
    <row r="10" spans="1:31" ht="13.8" x14ac:dyDescent="0.3">
      <c r="A10"/>
      <c r="I10"/>
      <c r="R10"/>
    </row>
    <row r="12" spans="1:31" ht="15.6" x14ac:dyDescent="0.3">
      <c r="A12" s="40" t="s">
        <v>333</v>
      </c>
      <c r="D12" s="280" t="s">
        <v>323</v>
      </c>
      <c r="E12" s="281"/>
      <c r="F12" s="281"/>
      <c r="G12" s="138"/>
      <c r="H12"/>
      <c r="I12"/>
      <c r="Q12"/>
      <c r="R12"/>
    </row>
    <row r="13" spans="1:31" ht="27.6" thickBot="1" x14ac:dyDescent="0.35">
      <c r="A13" s="309" t="s">
        <v>347</v>
      </c>
      <c r="D13" s="287" t="s">
        <v>328</v>
      </c>
      <c r="E13" s="281"/>
      <c r="F13" s="281"/>
      <c r="H13"/>
      <c r="I13"/>
      <c r="Q13"/>
      <c r="R13"/>
    </row>
    <row r="14" spans="1:31" ht="27.75" customHeight="1" thickBot="1" x14ac:dyDescent="0.35">
      <c r="A14" s="320" t="s">
        <v>344</v>
      </c>
      <c r="D14" s="317" t="s">
        <v>324</v>
      </c>
      <c r="E14" s="318" t="s">
        <v>363</v>
      </c>
      <c r="F14" s="319" t="s">
        <v>326</v>
      </c>
      <c r="H14"/>
      <c r="I14"/>
      <c r="Q14"/>
      <c r="R14"/>
    </row>
    <row r="15" spans="1:31" ht="54" customHeight="1" x14ac:dyDescent="0.3">
      <c r="A15" s="309" t="s">
        <v>360</v>
      </c>
      <c r="C15" s="294" t="s">
        <v>68</v>
      </c>
      <c r="D15" s="286" t="str">
        <f>IF(OR(E9="",E9=0),"",E2)</f>
        <v/>
      </c>
      <c r="E15" s="232" t="str">
        <f>IF(D15="","",GETPIVOTDATA("цена",НМВ,"Период",E2,"Сервис","Пакет Программ Главный Бухгалтер, Podpis (1 пользователь, ЛД)","Уровень","Базовый","Аккаунтов",1))</f>
        <v/>
      </c>
      <c r="F15" s="288">
        <f>IF(D15="",0,SUM(ROUND(I6/E15,2),ROUND(I7/E15,2),ROUND(I8/E15,2)))</f>
        <v>0</v>
      </c>
      <c r="H15"/>
      <c r="I15"/>
      <c r="Q15"/>
      <c r="R15"/>
    </row>
    <row r="16" spans="1:31" ht="54" customHeight="1" thickBot="1" x14ac:dyDescent="0.35">
      <c r="A16" s="320" t="s">
        <v>361</v>
      </c>
      <c r="C16" s="294" t="s">
        <v>66</v>
      </c>
      <c r="D16" s="282" t="str">
        <f>IF(OR(N9="",N9=0),"",N2)</f>
        <v/>
      </c>
      <c r="E16" s="283" t="str">
        <f>IF(D16="","",GETPIVOTDATA("цена",НМВ,"Период",N2,"Сервис","Пакет Программ Главный Бухгалтер, Podpis (1 пользователь, ЛД)","Уровень","Базовый","Аккаунтов",1))</f>
        <v/>
      </c>
      <c r="F16" s="289">
        <f>IF(D16="",0,SUM(ROUND(R6/E16,2),ROUND(R7/E16,2),ROUND(R8/E16,2)))</f>
        <v>0</v>
      </c>
      <c r="H16"/>
      <c r="I16"/>
      <c r="Q16"/>
      <c r="R16"/>
    </row>
    <row r="17" spans="1:18" ht="14.4" thickBot="1" x14ac:dyDescent="0.35">
      <c r="D17" s="284"/>
      <c r="E17" s="285" t="s">
        <v>325</v>
      </c>
      <c r="F17" s="310">
        <f>IFERROR(F16-F15,"")</f>
        <v>0</v>
      </c>
      <c r="H17"/>
      <c r="I17"/>
      <c r="Q17"/>
      <c r="R17"/>
    </row>
    <row r="18" spans="1:18" ht="40.049999999999997" customHeight="1" x14ac:dyDescent="0.3">
      <c r="A18" s="309" t="s">
        <v>348</v>
      </c>
      <c r="D18"/>
      <c r="E18"/>
      <c r="F18"/>
      <c r="H18"/>
      <c r="I18"/>
      <c r="Q18"/>
      <c r="R18"/>
    </row>
    <row r="19" spans="1:18" ht="13.8" x14ac:dyDescent="0.3">
      <c r="A19" s="321" t="s">
        <v>339</v>
      </c>
      <c r="H19"/>
      <c r="I19"/>
      <c r="Q19"/>
      <c r="R19"/>
    </row>
    <row r="20" spans="1:18" ht="13.8" hidden="1" outlineLevel="1" x14ac:dyDescent="0.3">
      <c r="A20" s="2" t="s">
        <v>336</v>
      </c>
      <c r="H20"/>
      <c r="I20"/>
      <c r="Q20"/>
      <c r="R20"/>
    </row>
    <row r="21" spans="1:18" ht="13.8" hidden="1" outlineLevel="1" x14ac:dyDescent="0.3">
      <c r="A21" s="313" t="s">
        <v>349</v>
      </c>
      <c r="H21"/>
      <c r="I21"/>
      <c r="Q21"/>
      <c r="R21"/>
    </row>
    <row r="22" spans="1:18" ht="13.8" hidden="1" outlineLevel="1" x14ac:dyDescent="0.3">
      <c r="A22" s="312" t="s">
        <v>350</v>
      </c>
      <c r="H22"/>
      <c r="I22"/>
      <c r="Q22"/>
      <c r="R22"/>
    </row>
    <row r="23" spans="1:18" ht="6.75" hidden="1" customHeight="1" outlineLevel="1" x14ac:dyDescent="0.25"/>
    <row r="24" spans="1:18" hidden="1" outlineLevel="1" x14ac:dyDescent="0.25">
      <c r="A24" s="2" t="s">
        <v>352</v>
      </c>
    </row>
    <row r="25" spans="1:18" hidden="1" outlineLevel="1" x14ac:dyDescent="0.25">
      <c r="A25" s="313" t="s">
        <v>349</v>
      </c>
    </row>
    <row r="26" spans="1:18" hidden="1" outlineLevel="1" x14ac:dyDescent="0.25">
      <c r="A26" s="312" t="s">
        <v>351</v>
      </c>
    </row>
    <row r="27" spans="1:18" ht="4.5" hidden="1" customHeight="1" outlineLevel="1" x14ac:dyDescent="0.25">
      <c r="D27" s="306"/>
    </row>
    <row r="28" spans="1:18" ht="26.4" hidden="1" outlineLevel="1" x14ac:dyDescent="0.25">
      <c r="A28" s="309" t="s">
        <v>338</v>
      </c>
    </row>
    <row r="29" spans="1:18" hidden="1" outlineLevel="1" x14ac:dyDescent="0.25">
      <c r="A29" s="2" t="s">
        <v>353</v>
      </c>
    </row>
    <row r="30" spans="1:18" ht="39.6" hidden="1" outlineLevel="1" x14ac:dyDescent="0.25">
      <c r="A30" s="309" t="s">
        <v>354</v>
      </c>
    </row>
    <row r="31" spans="1:18" ht="26.4" hidden="1" outlineLevel="1" x14ac:dyDescent="0.25">
      <c r="A31" s="309" t="s">
        <v>355</v>
      </c>
    </row>
    <row r="32" spans="1:18" hidden="1" outlineLevel="1" x14ac:dyDescent="0.25"/>
    <row r="33" spans="1:5" ht="26.4" hidden="1" outlineLevel="1" x14ac:dyDescent="0.25">
      <c r="A33" s="309" t="s">
        <v>334</v>
      </c>
    </row>
    <row r="34" spans="1:5" collapsed="1" x14ac:dyDescent="0.25">
      <c r="A34" s="2" t="s">
        <v>362</v>
      </c>
    </row>
    <row r="35" spans="1:5" ht="13.8" x14ac:dyDescent="0.3">
      <c r="A35" s="314" t="s">
        <v>337</v>
      </c>
    </row>
    <row r="37" spans="1:5" x14ac:dyDescent="0.25">
      <c r="A37" s="120" t="s">
        <v>341</v>
      </c>
    </row>
    <row r="38" spans="1:5" ht="13.8" x14ac:dyDescent="0.3">
      <c r="A38" s="314" t="s">
        <v>366</v>
      </c>
    </row>
    <row r="40" spans="1:5" x14ac:dyDescent="0.25">
      <c r="A40" s="120" t="s">
        <v>356</v>
      </c>
    </row>
    <row r="41" spans="1:5" ht="13.8" x14ac:dyDescent="0.3">
      <c r="A41" s="314" t="s">
        <v>367</v>
      </c>
    </row>
    <row r="43" spans="1:5" ht="39.6" x14ac:dyDescent="0.25">
      <c r="A43" s="322" t="s">
        <v>345</v>
      </c>
      <c r="E43" s="2" t="s">
        <v>343</v>
      </c>
    </row>
    <row r="44" spans="1:5" ht="13.8" x14ac:dyDescent="0.3">
      <c r="A44" s="314" t="s">
        <v>368</v>
      </c>
    </row>
    <row r="45" spans="1:5" x14ac:dyDescent="0.25">
      <c r="A45" s="2" t="s">
        <v>357</v>
      </c>
    </row>
    <row r="46" spans="1:5" x14ac:dyDescent="0.25">
      <c r="A46" s="316"/>
    </row>
    <row r="47" spans="1:5" x14ac:dyDescent="0.25">
      <c r="A47" s="3"/>
    </row>
  </sheetData>
  <sheetProtection selectLockedCells="1"/>
  <mergeCells count="16">
    <mergeCell ref="D1:F1"/>
    <mergeCell ref="M1:O1"/>
    <mergeCell ref="E5:F5"/>
    <mergeCell ref="N5:O5"/>
    <mergeCell ref="E6:F6"/>
    <mergeCell ref="N6:O6"/>
    <mergeCell ref="E2:F2"/>
    <mergeCell ref="N2:O2"/>
    <mergeCell ref="E3:F3"/>
    <mergeCell ref="N3:O3"/>
    <mergeCell ref="E9:F9"/>
    <mergeCell ref="N9:O9"/>
    <mergeCell ref="E7:F7"/>
    <mergeCell ref="N7:O7"/>
    <mergeCell ref="E8:F8"/>
    <mergeCell ref="N8:O8"/>
  </mergeCells>
  <dataValidations count="2">
    <dataValidation type="list" allowBlank="1" showInputMessage="1" showErrorMessage="1" sqref="D7 M7" xr:uid="{EBCE857F-0CD2-44AB-9B8B-E36E4449C4C4}">
      <formula1>"ОПТИМАЛЬНЫЙ,ОПТИМАЛЬНЫЙ ПЛЮС"</formula1>
    </dataValidation>
    <dataValidation operator="notEqual" allowBlank="1" showInputMessage="1" showErrorMessage="1" error="Введите любое положительное значение больше 0 либо очистите поле" sqref="E6:F8 N6:O8" xr:uid="{BED9FD86-334B-402B-9098-668B7F17A509}"/>
  </dataValidations>
  <hyperlinks>
    <hyperlink ref="A35" location="'Примеры_расчет РС'!A2" display="'Примеры_расчет РС'!A2" xr:uid="{5F1E28D7-AEC2-4E3B-86D7-DA1692EA1E69}"/>
    <hyperlink ref="A38" location="'Примеры_расчет РС'!A34" display="Примеры_расчет РС'!A34" xr:uid="{E4A0411B-4152-4AEA-BA35-857510A485ED}"/>
    <hyperlink ref="A41" location="'Примеры_расчет РС'!A58" display="Примеры_расчет РС'!A58" xr:uid="{5EFE6D4F-309C-4072-A816-7153E43EB970}"/>
    <hyperlink ref="A44" location="'Примеры_расчет РС'!A83" display="Примеры_расчет РС'!A83" xr:uid="{9D8FB109-3463-4D23-B685-706236EAA574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Очистить_П1_П2">
                <anchor>
                  <from>
                    <xdr:col>0</xdr:col>
                    <xdr:colOff>175260</xdr:colOff>
                    <xdr:row>0</xdr:row>
                    <xdr:rowOff>190500</xdr:rowOff>
                  </from>
                  <to>
                    <xdr:col>0</xdr:col>
                    <xdr:colOff>1973580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6C6B931-8069-425A-A3A8-34CF3E3D6137}">
          <x14:formula1>
            <xm:f>Калькулятор!$AJ$3:$AJ$6</xm:f>
          </x14:formula1>
          <xm:sqref>N2:O2 E2:F2</xm:sqref>
        </x14:dataValidation>
        <x14:dataValidation type="list" allowBlank="1" showInputMessage="1" showErrorMessage="1" xr:uid="{13E7B2BA-CB05-4C60-9908-30AFEBB1357D}">
          <x14:formula1>
            <xm:f>списки!$J$3:$J$22</xm:f>
          </x14:formula1>
          <xm:sqref>E3:F3 N3:O3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4B6C2-1F8F-4788-B0B0-52A5CBBF9F55}">
  <dimension ref="A1:C83"/>
  <sheetViews>
    <sheetView workbookViewId="0">
      <selection activeCell="A2" sqref="A2"/>
    </sheetView>
  </sheetViews>
  <sheetFormatPr defaultRowHeight="13.8" x14ac:dyDescent="0.3"/>
  <sheetData>
    <row r="1" spans="1:1" ht="21" x14ac:dyDescent="0.4">
      <c r="A1" s="311" t="s">
        <v>335</v>
      </c>
    </row>
    <row r="2" spans="1:1" ht="15.6" x14ac:dyDescent="0.3">
      <c r="A2" s="315" t="s">
        <v>364</v>
      </c>
    </row>
    <row r="34" spans="1:1" ht="15.6" x14ac:dyDescent="0.3">
      <c r="A34" s="315" t="s">
        <v>340</v>
      </c>
    </row>
    <row r="58" spans="1:1" ht="15.6" x14ac:dyDescent="0.3">
      <c r="A58" s="315" t="s">
        <v>342</v>
      </c>
    </row>
    <row r="78" spans="3:3" x14ac:dyDescent="0.3">
      <c r="C78" s="46"/>
    </row>
    <row r="83" spans="1:1" ht="15.6" x14ac:dyDescent="0.3">
      <c r="A83" s="315" t="s">
        <v>365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98F3A-E307-471A-B2F7-10C8A4D17571}">
  <sheetPr codeName="Лист12">
    <pageSetUpPr fitToPage="1"/>
  </sheetPr>
  <dimension ref="A1:P86"/>
  <sheetViews>
    <sheetView zoomScaleNormal="100" workbookViewId="0">
      <pane xSplit="2" ySplit="3" topLeftCell="C4" activePane="bottomRight" state="frozen"/>
      <selection activeCell="G314" sqref="G314"/>
      <selection pane="topRight" activeCell="G314" sqref="G314"/>
      <selection pane="bottomLeft" activeCell="G314" sqref="G314"/>
      <selection pane="bottomRight" activeCell="F2" sqref="F2:H2"/>
    </sheetView>
  </sheetViews>
  <sheetFormatPr defaultColWidth="3.33203125" defaultRowHeight="13.8" x14ac:dyDescent="0.3"/>
  <cols>
    <col min="1" max="1" width="9.33203125" style="147" hidden="1" customWidth="1"/>
    <col min="2" max="2" width="39" style="136" customWidth="1"/>
    <col min="3" max="4" width="15.6640625" style="136" customWidth="1"/>
    <col min="5" max="5" width="15.5546875" style="136" customWidth="1"/>
    <col min="6" max="7" width="15.6640625" style="136" customWidth="1"/>
    <col min="8" max="8" width="14.88671875" style="136" customWidth="1"/>
    <col min="9" max="9" width="8" customWidth="1"/>
    <col min="10" max="12" width="3.33203125" customWidth="1"/>
    <col min="13" max="13" width="4.6640625" customWidth="1"/>
    <col min="14" max="14" width="4.6640625" hidden="1" customWidth="1"/>
    <col min="15" max="16" width="4.6640625" customWidth="1"/>
    <col min="17" max="18" width="3.33203125" customWidth="1"/>
  </cols>
  <sheetData>
    <row r="1" spans="1:16" s="136" customFormat="1" x14ac:dyDescent="0.3">
      <c r="A1" s="181"/>
    </row>
    <row r="2" spans="1:16" s="10" customFormat="1" ht="18" x14ac:dyDescent="0.3">
      <c r="A2" s="179"/>
      <c r="B2" s="119" t="s">
        <v>215</v>
      </c>
      <c r="C2" s="362" t="s">
        <v>9</v>
      </c>
      <c r="D2" s="362"/>
      <c r="E2" s="362"/>
      <c r="F2" s="362" t="s">
        <v>4</v>
      </c>
      <c r="G2" s="362"/>
      <c r="H2" s="362"/>
      <c r="N2"/>
      <c r="P2"/>
    </row>
    <row r="3" spans="1:16" ht="27.6" x14ac:dyDescent="0.3">
      <c r="B3" s="210"/>
      <c r="C3" s="220" t="s">
        <v>1</v>
      </c>
      <c r="D3" s="220" t="s">
        <v>2</v>
      </c>
      <c r="E3" s="221" t="s">
        <v>214</v>
      </c>
      <c r="F3" s="220" t="s">
        <v>1</v>
      </c>
      <c r="G3" s="220" t="s">
        <v>2</v>
      </c>
      <c r="H3" s="221" t="s">
        <v>214</v>
      </c>
      <c r="N3" s="48"/>
    </row>
    <row r="4" spans="1:16" s="11" customFormat="1" ht="15.6" x14ac:dyDescent="0.3">
      <c r="A4" s="180"/>
      <c r="B4" s="361" t="s">
        <v>297</v>
      </c>
      <c r="C4" s="363"/>
      <c r="D4" s="363"/>
      <c r="E4" s="363"/>
      <c r="F4" s="363"/>
      <c r="G4" s="363"/>
      <c r="H4" s="363"/>
      <c r="N4"/>
    </row>
    <row r="5" spans="1:16" s="147" customFormat="1" x14ac:dyDescent="0.3">
      <c r="B5" s="218" t="s">
        <v>310</v>
      </c>
      <c r="C5" s="226" t="str">
        <f>HLOOKUP($C$2,ЭКСПЕРТ,N5,FALSE)</f>
        <v xml:space="preserve"> +</v>
      </c>
      <c r="D5" s="209" t="str">
        <f t="shared" ref="D5:D41" si="0">HLOOKUP($C$2,ОПТИМАЛЬНЫЙ,N5,FALSE)</f>
        <v xml:space="preserve"> +</v>
      </c>
      <c r="E5" s="224" t="str">
        <f t="shared" ref="E5:E41" si="1">HLOOKUP($C$2,МИНИМАЛЬНЫЙ,N5,FALSE)</f>
        <v xml:space="preserve"> +</v>
      </c>
      <c r="F5" s="222" t="str">
        <f t="shared" ref="F5:F41" si="2">HLOOKUP($F$2,ЭКСПЕРТ,N5,FALSE)</f>
        <v xml:space="preserve"> +</v>
      </c>
      <c r="G5" s="209" t="str">
        <f t="shared" ref="G5:G41" si="3">HLOOKUP($F$2,ОПТИМАЛЬНЫЙ,N5,FALSE)</f>
        <v xml:space="preserve"> +</v>
      </c>
      <c r="H5" s="209" t="str">
        <f t="shared" ref="H5:H41" si="4">HLOOKUP($F$2,МИНИМАЛЬНЫЙ,N5,FALSE)</f>
        <v xml:space="preserve"> +</v>
      </c>
      <c r="N5" s="147">
        <f>VLOOKUP(B5,'Данные для сравнения'!$B$4:$C$83,2,FALSE)</f>
        <v>2</v>
      </c>
      <c r="P5"/>
    </row>
    <row r="6" spans="1:16" s="147" customFormat="1" x14ac:dyDescent="0.3">
      <c r="B6" s="218" t="s">
        <v>395</v>
      </c>
      <c r="C6" s="226" t="str">
        <f>HLOOKUP($C$2,ЭКСПЕРТ,N6,FALSE)</f>
        <v xml:space="preserve"> +</v>
      </c>
      <c r="D6" s="209" t="str">
        <f t="shared" si="0"/>
        <v>-</v>
      </c>
      <c r="E6" s="224" t="str">
        <f t="shared" si="1"/>
        <v>-</v>
      </c>
      <c r="F6" s="222" t="str">
        <f t="shared" si="2"/>
        <v>-</v>
      </c>
      <c r="G6" s="209" t="str">
        <f t="shared" si="3"/>
        <v>-</v>
      </c>
      <c r="H6" s="209" t="str">
        <f t="shared" si="4"/>
        <v>-</v>
      </c>
      <c r="N6" s="147">
        <f>VLOOKUP(B6,'Данные для сравнения'!$B$4:$C$83,2,FALSE)</f>
        <v>3</v>
      </c>
      <c r="P6"/>
    </row>
    <row r="7" spans="1:16" s="147" customFormat="1" x14ac:dyDescent="0.3">
      <c r="B7" s="218" t="s">
        <v>273</v>
      </c>
      <c r="C7" s="226" t="str">
        <f>HLOOKUP($C$2,ЭКСПЕРТ,N7,FALSE)</f>
        <v xml:space="preserve"> +</v>
      </c>
      <c r="D7" s="209" t="str">
        <f t="shared" ref="D7" si="5">HLOOKUP($C$2,ОПТИМАЛЬНЫЙ,N7,FALSE)</f>
        <v xml:space="preserve"> +</v>
      </c>
      <c r="E7" s="224" t="str">
        <f t="shared" ref="E7" si="6">HLOOKUP($C$2,МИНИМАЛЬНЫЙ,N7,FALSE)</f>
        <v xml:space="preserve"> +</v>
      </c>
      <c r="F7" s="222" t="str">
        <f t="shared" ref="F7" si="7">HLOOKUP($F$2,ЭКСПЕРТ,N7,FALSE)</f>
        <v xml:space="preserve"> +</v>
      </c>
      <c r="G7" s="209" t="str">
        <f t="shared" ref="G7" si="8">HLOOKUP($F$2,ОПТИМАЛЬНЫЙ,N7,FALSE)</f>
        <v xml:space="preserve"> +</v>
      </c>
      <c r="H7" s="209" t="str">
        <f t="shared" ref="H7" si="9">HLOOKUP($F$2,МИНИМАЛЬНЫЙ,N7,FALSE)</f>
        <v xml:space="preserve"> +</v>
      </c>
      <c r="N7" s="147">
        <f>VLOOKUP(B7,'Данные для сравнения'!$B$4:$C$83,2,FALSE)</f>
        <v>4</v>
      </c>
      <c r="P7"/>
    </row>
    <row r="8" spans="1:16" x14ac:dyDescent="0.3">
      <c r="B8" s="218" t="s">
        <v>274</v>
      </c>
      <c r="C8" s="227" t="str">
        <f t="shared" ref="C8:C41" si="10">HLOOKUP($C$2,ЭКСПЕРТ,N8,FALSE)</f>
        <v xml:space="preserve"> +</v>
      </c>
      <c r="D8" s="208" t="str">
        <f t="shared" si="0"/>
        <v xml:space="preserve"> +</v>
      </c>
      <c r="E8" s="225" t="str">
        <f t="shared" si="1"/>
        <v xml:space="preserve"> +</v>
      </c>
      <c r="F8" s="223" t="str">
        <f t="shared" si="2"/>
        <v xml:space="preserve"> +</v>
      </c>
      <c r="G8" s="208" t="str">
        <f t="shared" si="3"/>
        <v xml:space="preserve"> +</v>
      </c>
      <c r="H8" s="208" t="str">
        <f t="shared" si="4"/>
        <v xml:space="preserve"> +</v>
      </c>
      <c r="N8">
        <f>VLOOKUP(B8,'Данные для сравнения'!$B$4:$C$83,2,FALSE)</f>
        <v>5</v>
      </c>
    </row>
    <row r="9" spans="1:16" x14ac:dyDescent="0.3">
      <c r="B9" s="218" t="s">
        <v>275</v>
      </c>
      <c r="C9" s="227" t="str">
        <f t="shared" si="10"/>
        <v xml:space="preserve"> +</v>
      </c>
      <c r="D9" s="208" t="str">
        <f t="shared" si="0"/>
        <v xml:space="preserve"> +</v>
      </c>
      <c r="E9" s="225" t="str">
        <f t="shared" si="1"/>
        <v xml:space="preserve"> +</v>
      </c>
      <c r="F9" s="223" t="str">
        <f t="shared" si="2"/>
        <v xml:space="preserve"> +</v>
      </c>
      <c r="G9" s="208" t="str">
        <f t="shared" si="3"/>
        <v xml:space="preserve"> +</v>
      </c>
      <c r="H9" s="208" t="str">
        <f t="shared" si="4"/>
        <v xml:space="preserve"> +</v>
      </c>
      <c r="K9" s="147"/>
      <c r="N9">
        <f>VLOOKUP(B9,'Данные для сравнения'!$B$4:$C$83,2,FALSE)</f>
        <v>6</v>
      </c>
    </row>
    <row r="10" spans="1:16" ht="69" x14ac:dyDescent="0.3">
      <c r="B10" s="218" t="s">
        <v>30</v>
      </c>
      <c r="C10" s="227" t="str">
        <f t="shared" si="10"/>
        <v xml:space="preserve"> +
включая кликабельность и настройку информеров</v>
      </c>
      <c r="D10" s="208" t="str">
        <f t="shared" si="0"/>
        <v xml:space="preserve"> +
включая кликабельность и настройку информеров</v>
      </c>
      <c r="E10" s="225" t="str">
        <f t="shared" si="1"/>
        <v xml:space="preserve"> +</v>
      </c>
      <c r="F10" s="223" t="str">
        <f t="shared" si="2"/>
        <v xml:space="preserve"> +
включая кликабельность и настройку информеров</v>
      </c>
      <c r="G10" s="208" t="str">
        <f t="shared" si="3"/>
        <v xml:space="preserve"> +
включая кликабельность и настройку информеров</v>
      </c>
      <c r="H10" s="208" t="str">
        <f t="shared" si="4"/>
        <v xml:space="preserve"> +</v>
      </c>
      <c r="N10">
        <f>VLOOKUP(B10,'Данные для сравнения'!$B$4:$C$83,2,FALSE)</f>
        <v>7</v>
      </c>
    </row>
    <row r="11" spans="1:16" x14ac:dyDescent="0.3">
      <c r="B11" s="218" t="s">
        <v>31</v>
      </c>
      <c r="C11" s="227" t="str">
        <f t="shared" si="10"/>
        <v xml:space="preserve"> +</v>
      </c>
      <c r="D11" s="208" t="str">
        <f t="shared" si="0"/>
        <v xml:space="preserve"> +</v>
      </c>
      <c r="E11" s="225" t="str">
        <f t="shared" si="1"/>
        <v xml:space="preserve"> +</v>
      </c>
      <c r="F11" s="223" t="str">
        <f t="shared" si="2"/>
        <v xml:space="preserve"> +</v>
      </c>
      <c r="G11" s="208" t="str">
        <f t="shared" si="3"/>
        <v xml:space="preserve"> +</v>
      </c>
      <c r="H11" s="208" t="str">
        <f t="shared" si="4"/>
        <v xml:space="preserve"> +</v>
      </c>
      <c r="K11" s="147"/>
      <c r="N11">
        <f>VLOOKUP(B11,'Данные для сравнения'!$B$4:$C$83,2,FALSE)</f>
        <v>8</v>
      </c>
    </row>
    <row r="12" spans="1:16" x14ac:dyDescent="0.3">
      <c r="B12" s="218" t="s">
        <v>276</v>
      </c>
      <c r="C12" s="227" t="str">
        <f t="shared" si="10"/>
        <v xml:space="preserve"> +</v>
      </c>
      <c r="D12" s="208" t="str">
        <f t="shared" si="0"/>
        <v xml:space="preserve"> +</v>
      </c>
      <c r="E12" s="225" t="str">
        <f t="shared" si="1"/>
        <v xml:space="preserve"> - </v>
      </c>
      <c r="F12" s="223" t="str">
        <f t="shared" si="2"/>
        <v xml:space="preserve"> +</v>
      </c>
      <c r="G12" s="208" t="str">
        <f t="shared" si="3"/>
        <v xml:space="preserve"> +</v>
      </c>
      <c r="H12" s="208" t="str">
        <f t="shared" si="4"/>
        <v xml:space="preserve"> - </v>
      </c>
      <c r="N12">
        <f>VLOOKUP(B12,'Данные для сравнения'!$B$4:$C$83,2,FALSE)</f>
        <v>9</v>
      </c>
    </row>
    <row r="13" spans="1:16" x14ac:dyDescent="0.3">
      <c r="B13" s="218" t="s">
        <v>256</v>
      </c>
      <c r="C13" s="227" t="str">
        <f t="shared" si="10"/>
        <v xml:space="preserve"> +</v>
      </c>
      <c r="D13" s="208" t="str">
        <f t="shared" si="0"/>
        <v xml:space="preserve"> - </v>
      </c>
      <c r="E13" s="225" t="str">
        <f t="shared" si="1"/>
        <v xml:space="preserve"> - </v>
      </c>
      <c r="F13" s="223" t="str">
        <f t="shared" si="2"/>
        <v xml:space="preserve"> +</v>
      </c>
      <c r="G13" s="208" t="str">
        <f t="shared" si="3"/>
        <v xml:space="preserve"> - </v>
      </c>
      <c r="H13" s="208" t="str">
        <f t="shared" si="4"/>
        <v xml:space="preserve"> - </v>
      </c>
      <c r="K13" s="147"/>
      <c r="N13">
        <f>VLOOKUP(B13,'Данные для сравнения'!$B$4:$C$83,2,FALSE)</f>
        <v>10</v>
      </c>
    </row>
    <row r="14" spans="1:16" x14ac:dyDescent="0.3">
      <c r="B14" s="218" t="s">
        <v>277</v>
      </c>
      <c r="C14" s="227" t="str">
        <f t="shared" si="10"/>
        <v xml:space="preserve"> +</v>
      </c>
      <c r="D14" s="208" t="str">
        <f t="shared" si="0"/>
        <v xml:space="preserve"> +</v>
      </c>
      <c r="E14" s="225" t="str">
        <f t="shared" si="1"/>
        <v xml:space="preserve"> - </v>
      </c>
      <c r="F14" s="223" t="str">
        <f t="shared" si="2"/>
        <v xml:space="preserve"> +</v>
      </c>
      <c r="G14" s="208" t="str">
        <f t="shared" si="3"/>
        <v xml:space="preserve"> +</v>
      </c>
      <c r="H14" s="208" t="str">
        <f t="shared" si="4"/>
        <v xml:space="preserve"> - </v>
      </c>
      <c r="N14">
        <f>VLOOKUP(B14,'Данные для сравнения'!$B$4:$C$83,2,FALSE)</f>
        <v>11</v>
      </c>
    </row>
    <row r="15" spans="1:16" x14ac:dyDescent="0.3">
      <c r="B15" s="218" t="s">
        <v>278</v>
      </c>
      <c r="C15" s="227" t="str">
        <f t="shared" si="10"/>
        <v xml:space="preserve"> +</v>
      </c>
      <c r="D15" s="208" t="str">
        <f t="shared" si="0"/>
        <v xml:space="preserve"> +</v>
      </c>
      <c r="E15" s="225" t="str">
        <f t="shared" si="1"/>
        <v xml:space="preserve"> - </v>
      </c>
      <c r="F15" s="223" t="str">
        <f t="shared" si="2"/>
        <v xml:space="preserve"> +</v>
      </c>
      <c r="G15" s="208" t="str">
        <f t="shared" si="3"/>
        <v xml:space="preserve"> +</v>
      </c>
      <c r="H15" s="208" t="str">
        <f t="shared" si="4"/>
        <v xml:space="preserve"> - </v>
      </c>
      <c r="K15" s="147"/>
      <c r="N15">
        <f>VLOOKUP(B15,'Данные для сравнения'!$B$4:$C$83,2,FALSE)</f>
        <v>12</v>
      </c>
    </row>
    <row r="16" spans="1:16" x14ac:dyDescent="0.3">
      <c r="B16" s="218" t="s">
        <v>279</v>
      </c>
      <c r="C16" s="227" t="str">
        <f t="shared" si="10"/>
        <v xml:space="preserve"> +</v>
      </c>
      <c r="D16" s="208" t="str">
        <f t="shared" si="0"/>
        <v xml:space="preserve"> +</v>
      </c>
      <c r="E16" s="225" t="str">
        <f t="shared" si="1"/>
        <v xml:space="preserve"> - </v>
      </c>
      <c r="F16" s="223" t="str">
        <f t="shared" si="2"/>
        <v xml:space="preserve"> +</v>
      </c>
      <c r="G16" s="208" t="str">
        <f t="shared" si="3"/>
        <v xml:space="preserve"> +</v>
      </c>
      <c r="H16" s="208" t="str">
        <f t="shared" si="4"/>
        <v xml:space="preserve"> - </v>
      </c>
      <c r="N16">
        <f>VLOOKUP(B16,'Данные для сравнения'!$B$4:$C$83,2,FALSE)</f>
        <v>13</v>
      </c>
    </row>
    <row r="17" spans="2:14" x14ac:dyDescent="0.3">
      <c r="B17" s="218" t="s">
        <v>223</v>
      </c>
      <c r="C17" s="227" t="str">
        <f t="shared" si="10"/>
        <v xml:space="preserve"> +</v>
      </c>
      <c r="D17" s="208" t="str">
        <f t="shared" si="0"/>
        <v xml:space="preserve"> - </v>
      </c>
      <c r="E17" s="225" t="str">
        <f t="shared" si="1"/>
        <v xml:space="preserve"> - </v>
      </c>
      <c r="F17" s="223" t="str">
        <f t="shared" si="2"/>
        <v xml:space="preserve"> +</v>
      </c>
      <c r="G17" s="208" t="str">
        <f t="shared" si="3"/>
        <v xml:space="preserve"> - </v>
      </c>
      <c r="H17" s="208" t="str">
        <f t="shared" si="4"/>
        <v xml:space="preserve"> - </v>
      </c>
      <c r="K17" s="147"/>
      <c r="N17">
        <f>VLOOKUP(B17,'Данные для сравнения'!$B$4:$C$83,2,FALSE)</f>
        <v>14</v>
      </c>
    </row>
    <row r="18" spans="2:14" x14ac:dyDescent="0.3">
      <c r="B18" s="218" t="s">
        <v>280</v>
      </c>
      <c r="C18" s="227" t="str">
        <f t="shared" si="10"/>
        <v xml:space="preserve"> +</v>
      </c>
      <c r="D18" s="208" t="str">
        <f t="shared" si="0"/>
        <v xml:space="preserve"> +</v>
      </c>
      <c r="E18" s="225" t="str">
        <f t="shared" si="1"/>
        <v xml:space="preserve"> +</v>
      </c>
      <c r="F18" s="223" t="str">
        <f t="shared" si="2"/>
        <v xml:space="preserve"> +</v>
      </c>
      <c r="G18" s="208" t="str">
        <f t="shared" si="3"/>
        <v xml:space="preserve"> +</v>
      </c>
      <c r="H18" s="208" t="str">
        <f t="shared" si="4"/>
        <v xml:space="preserve"> +</v>
      </c>
      <c r="N18">
        <f>VLOOKUP(B18,'Данные для сравнения'!$B$4:$C$83,2,FALSE)</f>
        <v>15</v>
      </c>
    </row>
    <row r="19" spans="2:14" ht="82.8" x14ac:dyDescent="0.3">
      <c r="B19" s="218" t="s">
        <v>281</v>
      </c>
      <c r="C19" s="227" t="str">
        <f t="shared" ref="C19" si="11">HLOOKUP($C$2,ЭКСПЕРТ,N19,FALSE)</f>
        <v xml:space="preserve"> +
с фильтрами по профилю, тематике и "Показать самое важное"</v>
      </c>
      <c r="D19" s="208" t="str">
        <f t="shared" ref="D19" si="12">HLOOKUP($C$2,ОПТИМАЛЬНЫЙ,N19,FALSE)</f>
        <v xml:space="preserve"> +
с фильтрами по профилю и тематике</v>
      </c>
      <c r="E19" s="225" t="str">
        <f t="shared" ref="E19" si="13">HLOOKUP($C$2,МИНИМАЛЬНЫЙ,N19,FALSE)</f>
        <v xml:space="preserve"> - </v>
      </c>
      <c r="F19" s="223" t="str">
        <f t="shared" ref="F19" si="14">HLOOKUP($F$2,ЭКСПЕРТ,N19,FALSE)</f>
        <v xml:space="preserve"> +
с фильтрами по профилю, тематике и "Показать самое важное"</v>
      </c>
      <c r="G19" s="208" t="str">
        <f t="shared" ref="G19" si="15">HLOOKUP($F$2,ОПТИМАЛЬНЫЙ,N19,FALSE)</f>
        <v xml:space="preserve"> +
с фильтрами по профилю и тематике</v>
      </c>
      <c r="H19" s="208" t="str">
        <f t="shared" ref="H19" si="16">HLOOKUP($F$2,МИНИМАЛЬНЫЙ,N19,FALSE)</f>
        <v xml:space="preserve"> - </v>
      </c>
      <c r="N19">
        <f>VLOOKUP(B19,'Данные для сравнения'!$B$4:$C$83,2,FALSE)</f>
        <v>16</v>
      </c>
    </row>
    <row r="20" spans="2:14" ht="69" x14ac:dyDescent="0.3">
      <c r="B20" s="218" t="s">
        <v>270</v>
      </c>
      <c r="C20" s="227" t="str">
        <f t="shared" ref="C20" si="17">HLOOKUP($C$2,ЭКСПЕРТ,N20,FALSE)</f>
        <v xml:space="preserve"> +
включая блок «Последние просмотренные контрагенты»</v>
      </c>
      <c r="D20" s="208" t="str">
        <f t="shared" ref="D20" si="18">HLOOKUP($C$2,ОПТИМАЛЬНЫЙ,N20,FALSE)</f>
        <v xml:space="preserve"> +</v>
      </c>
      <c r="E20" s="225" t="str">
        <f t="shared" ref="E20" si="19">HLOOKUP($C$2,МИНИМАЛЬНЫЙ,N20,FALSE)</f>
        <v xml:space="preserve"> - </v>
      </c>
      <c r="F20" s="223" t="str">
        <f t="shared" ref="F20" si="20">HLOOKUP($F$2,ЭКСПЕРТ,N20,FALSE)</f>
        <v xml:space="preserve"> +</v>
      </c>
      <c r="G20" s="208" t="str">
        <f t="shared" ref="G20" si="21">HLOOKUP($F$2,ОПТИМАЛЬНЫЙ,N20,FALSE)</f>
        <v xml:space="preserve"> +</v>
      </c>
      <c r="H20" s="208" t="str">
        <f t="shared" ref="H20" si="22">HLOOKUP($F$2,МИНИМАЛЬНЫЙ,N20,FALSE)</f>
        <v xml:space="preserve"> - </v>
      </c>
      <c r="N20">
        <f>VLOOKUP(B20,'Данные для сравнения'!$B$4:$C$83,2,FALSE)</f>
        <v>17</v>
      </c>
    </row>
    <row r="21" spans="2:14" x14ac:dyDescent="0.3">
      <c r="B21" s="218" t="s">
        <v>64</v>
      </c>
      <c r="C21" s="227" t="str">
        <f>HLOOKUP($C$2,ЭКСПЕРТ,N21,FALSE)</f>
        <v xml:space="preserve"> +</v>
      </c>
      <c r="D21" s="208" t="str">
        <f t="shared" si="0"/>
        <v xml:space="preserve"> +</v>
      </c>
      <c r="E21" s="225" t="str">
        <f t="shared" si="1"/>
        <v xml:space="preserve"> - </v>
      </c>
      <c r="F21" s="223" t="str">
        <f t="shared" si="2"/>
        <v xml:space="preserve"> - </v>
      </c>
      <c r="G21" s="208" t="str">
        <f t="shared" si="3"/>
        <v xml:space="preserve"> - </v>
      </c>
      <c r="H21" s="208" t="str">
        <f t="shared" si="4"/>
        <v xml:space="preserve"> - </v>
      </c>
      <c r="K21" s="147"/>
      <c r="N21">
        <f>VLOOKUP(B21,'Данные для сравнения'!$B$4:$C$83,2,FALSE)</f>
        <v>18</v>
      </c>
    </row>
    <row r="22" spans="2:14" ht="207" x14ac:dyDescent="0.3">
      <c r="B22" s="218" t="s">
        <v>29</v>
      </c>
      <c r="C22" s="227" t="str">
        <f t="shared" si="10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D22" s="208" t="str">
        <f t="shared" si="0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E22" s="225" t="str">
        <f t="shared" si="1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F22" s="223" t="str">
        <f t="shared" si="2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G22" s="208" t="str">
        <f t="shared" si="3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H22" s="208" t="str">
        <f t="shared" si="4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N22">
        <f>VLOOKUP(B22,'Данные для сравнения'!$B$4:$C$83,2,FALSE)</f>
        <v>19</v>
      </c>
    </row>
    <row r="23" spans="2:14" ht="27.6" x14ac:dyDescent="0.3">
      <c r="B23" s="218" t="s">
        <v>282</v>
      </c>
      <c r="C23" s="227" t="str">
        <f t="shared" si="10"/>
        <v xml:space="preserve"> +</v>
      </c>
      <c r="D23" s="208" t="str">
        <f t="shared" si="0"/>
        <v xml:space="preserve"> - </v>
      </c>
      <c r="E23" s="225" t="str">
        <f t="shared" si="1"/>
        <v xml:space="preserve"> - </v>
      </c>
      <c r="F23" s="223" t="str">
        <f t="shared" si="2"/>
        <v xml:space="preserve"> +</v>
      </c>
      <c r="G23" s="208" t="str">
        <f t="shared" si="3"/>
        <v xml:space="preserve"> - </v>
      </c>
      <c r="H23" s="208" t="str">
        <f t="shared" si="4"/>
        <v xml:space="preserve"> - </v>
      </c>
      <c r="K23" s="147"/>
      <c r="N23">
        <f>VLOOKUP(B23,'Данные для сравнения'!$B$4:$C$83,2,FALSE)</f>
        <v>20</v>
      </c>
    </row>
    <row r="24" spans="2:14" x14ac:dyDescent="0.3">
      <c r="B24" s="218" t="s">
        <v>283</v>
      </c>
      <c r="C24" s="227" t="str">
        <f t="shared" si="10"/>
        <v xml:space="preserve"> +</v>
      </c>
      <c r="D24" s="208" t="str">
        <f t="shared" si="0"/>
        <v xml:space="preserve"> +</v>
      </c>
      <c r="E24" s="225" t="str">
        <f t="shared" si="1"/>
        <v xml:space="preserve"> +</v>
      </c>
      <c r="F24" s="223" t="str">
        <f t="shared" si="2"/>
        <v xml:space="preserve"> +</v>
      </c>
      <c r="G24" s="208" t="str">
        <f t="shared" si="3"/>
        <v xml:space="preserve"> +</v>
      </c>
      <c r="H24" s="208" t="str">
        <f t="shared" si="4"/>
        <v xml:space="preserve"> +</v>
      </c>
      <c r="N24">
        <f>VLOOKUP(B24,'Данные для сравнения'!$B$4:$C$83,2,FALSE)</f>
        <v>21</v>
      </c>
    </row>
    <row r="25" spans="2:14" x14ac:dyDescent="0.3">
      <c r="B25" s="218" t="s">
        <v>37</v>
      </c>
      <c r="C25" s="227" t="str">
        <f t="shared" si="10"/>
        <v xml:space="preserve"> +</v>
      </c>
      <c r="D25" s="208" t="str">
        <f t="shared" si="0"/>
        <v xml:space="preserve"> +</v>
      </c>
      <c r="E25" s="225" t="str">
        <f t="shared" si="1"/>
        <v xml:space="preserve"> - </v>
      </c>
      <c r="F25" s="223" t="str">
        <f t="shared" si="2"/>
        <v xml:space="preserve"> +</v>
      </c>
      <c r="G25" s="208" t="str">
        <f t="shared" si="3"/>
        <v xml:space="preserve"> +</v>
      </c>
      <c r="H25" s="208" t="str">
        <f t="shared" si="4"/>
        <v xml:space="preserve"> - </v>
      </c>
      <c r="K25" s="147"/>
      <c r="N25">
        <f>VLOOKUP(B25,'Данные для сравнения'!$B$4:$C$83,2,FALSE)</f>
        <v>22</v>
      </c>
    </row>
    <row r="26" spans="2:14" x14ac:dyDescent="0.3">
      <c r="B26" s="218" t="s">
        <v>221</v>
      </c>
      <c r="C26" s="227" t="str">
        <f t="shared" si="10"/>
        <v xml:space="preserve"> +</v>
      </c>
      <c r="D26" s="208" t="str">
        <f t="shared" si="0"/>
        <v xml:space="preserve"> +</v>
      </c>
      <c r="E26" s="225" t="str">
        <f t="shared" si="1"/>
        <v xml:space="preserve"> - </v>
      </c>
      <c r="F26" s="223" t="str">
        <f t="shared" si="2"/>
        <v xml:space="preserve"> +</v>
      </c>
      <c r="G26" s="208" t="str">
        <f t="shared" si="3"/>
        <v xml:space="preserve"> +</v>
      </c>
      <c r="H26" s="208" t="str">
        <f t="shared" si="4"/>
        <v xml:space="preserve"> - </v>
      </c>
      <c r="N26">
        <f>VLOOKUP(B26,'Данные для сравнения'!$B$4:$C$83,2,FALSE)</f>
        <v>23</v>
      </c>
    </row>
    <row r="27" spans="2:14" x14ac:dyDescent="0.3">
      <c r="B27" s="218" t="s">
        <v>305</v>
      </c>
      <c r="C27" s="227" t="str">
        <f t="shared" ref="C27" si="23">HLOOKUP($C$2,ЭКСПЕРТ,N27,FALSE)</f>
        <v xml:space="preserve"> +</v>
      </c>
      <c r="D27" s="208" t="str">
        <f t="shared" ref="D27" si="24">HLOOKUP($C$2,ОПТИМАЛЬНЫЙ,N27,FALSE)</f>
        <v xml:space="preserve"> - </v>
      </c>
      <c r="E27" s="225" t="str">
        <f t="shared" ref="E27" si="25">HLOOKUP($C$2,МИНИМАЛЬНЫЙ,N27,FALSE)</f>
        <v xml:space="preserve"> - </v>
      </c>
      <c r="F27" s="223" t="str">
        <f t="shared" ref="F27" si="26">HLOOKUP($F$2,ЭКСПЕРТ,N27,FALSE)</f>
        <v xml:space="preserve"> - </v>
      </c>
      <c r="G27" s="208" t="str">
        <f t="shared" ref="G27" si="27">HLOOKUP($F$2,ОПТИМАЛЬНЫЙ,N27,FALSE)</f>
        <v xml:space="preserve"> - </v>
      </c>
      <c r="H27" s="208" t="str">
        <f t="shared" ref="H27" si="28">HLOOKUP($F$2,МИНИМАЛЬНЫЙ,N27,FALSE)</f>
        <v xml:space="preserve"> - </v>
      </c>
      <c r="N27">
        <f>VLOOKUP(B27,'Данные для сравнения'!$B$4:$C$83,2,FALSE)</f>
        <v>24</v>
      </c>
    </row>
    <row r="28" spans="2:14" ht="96.6" x14ac:dyDescent="0.3">
      <c r="B28" s="218" t="s">
        <v>38</v>
      </c>
      <c r="C28" s="227" t="str">
        <f t="shared" si="10"/>
        <v xml:space="preserve"> +
включая фильтры:
Поиск по номеру в НРПА
Искать как словосочетание</v>
      </c>
      <c r="D28" s="208" t="str">
        <f t="shared" si="0"/>
        <v xml:space="preserve"> +</v>
      </c>
      <c r="E28" s="225" t="str">
        <f t="shared" si="1"/>
        <v xml:space="preserve"> - </v>
      </c>
      <c r="F28" s="223" t="str">
        <f t="shared" si="2"/>
        <v xml:space="preserve"> +
включая фильтры:
Поиск по номеру в НРПА
Искать как словосочетание</v>
      </c>
      <c r="G28" s="208" t="str">
        <f t="shared" si="3"/>
        <v xml:space="preserve"> +</v>
      </c>
      <c r="H28" s="208" t="str">
        <f t="shared" si="4"/>
        <v xml:space="preserve"> - </v>
      </c>
      <c r="K28" s="147"/>
      <c r="N28">
        <f>VLOOKUP(B28,'Данные для сравнения'!$B$4:$C$83,2,FALSE)</f>
        <v>25</v>
      </c>
    </row>
    <row r="29" spans="2:14" x14ac:dyDescent="0.3">
      <c r="B29" s="218" t="s">
        <v>40</v>
      </c>
      <c r="C29" s="227" t="str">
        <f t="shared" si="10"/>
        <v xml:space="preserve"> +</v>
      </c>
      <c r="D29" s="208" t="str">
        <f t="shared" si="0"/>
        <v xml:space="preserve"> - </v>
      </c>
      <c r="E29" s="225" t="str">
        <f t="shared" si="1"/>
        <v xml:space="preserve"> - </v>
      </c>
      <c r="F29" s="223" t="str">
        <f t="shared" si="2"/>
        <v xml:space="preserve"> +</v>
      </c>
      <c r="G29" s="208" t="str">
        <f t="shared" si="3"/>
        <v xml:space="preserve"> - </v>
      </c>
      <c r="H29" s="208" t="str">
        <f t="shared" si="4"/>
        <v xml:space="preserve"> - </v>
      </c>
      <c r="N29">
        <f>VLOOKUP(B29,'Данные для сравнения'!$B$4:$C$83,2,FALSE)</f>
        <v>26</v>
      </c>
    </row>
    <row r="30" spans="2:14" ht="96.6" x14ac:dyDescent="0.3">
      <c r="B30" s="218" t="s">
        <v>284</v>
      </c>
      <c r="C30" s="227" t="str">
        <f t="shared" si="10"/>
        <v>Фильтры: «Все», «Законодательство», «Аналитика», «Формы», «Судебная практика»</v>
      </c>
      <c r="D30" s="208" t="str">
        <f t="shared" si="0"/>
        <v>Фильтры: «Все», «Законодательство», «Аналитика», «Формы», «Судебная практика»</v>
      </c>
      <c r="E30" s="225" t="str">
        <f t="shared" si="1"/>
        <v>Фильтры: «Все», «Законодательство», «Аналитика», «Формы», «Судебная практика»</v>
      </c>
      <c r="F30" s="223" t="str">
        <f t="shared" si="2"/>
        <v>Фильтры: «Все», «Законодательство», «Аналитика», «Формы», «Судебная практика»</v>
      </c>
      <c r="G30" s="208" t="str">
        <f t="shared" si="3"/>
        <v>Фильтры: «Все», «Законодательство», «Аналитика», «Формы», «Судебная практика»</v>
      </c>
      <c r="H30" s="208" t="str">
        <f t="shared" si="4"/>
        <v>Фильтры: «Все», «Законодательство», «Аналитика», «Формы», «Судебная практика»</v>
      </c>
      <c r="K30" s="147"/>
      <c r="N30">
        <f>VLOOKUP(B30,'Данные для сравнения'!$B$4:$C$83,2,FALSE)</f>
        <v>27</v>
      </c>
    </row>
    <row r="31" spans="2:14" s="147" customFormat="1" ht="41.4" x14ac:dyDescent="0.3">
      <c r="B31" s="218" t="s">
        <v>285</v>
      </c>
      <c r="C31" s="226" t="str">
        <f>HLOOKUP($C$2,ЭКСПЕРТ,N31,FALSE)</f>
        <v xml:space="preserve"> +</v>
      </c>
      <c r="D31" s="209" t="str">
        <f>HLOOKUP($C$2,ОПТИМАЛЬНЫЙ,N31,FALSE)</f>
        <v xml:space="preserve"> +</v>
      </c>
      <c r="E31" s="224" t="str">
        <f>HLOOKUP($C$2,МИНИМАЛЬНЫЙ,N31,FALSE)</f>
        <v xml:space="preserve"> - </v>
      </c>
      <c r="F31" s="222" t="str">
        <f>HLOOKUP($F$2,ЭКСПЕРТ,N31,FALSE)</f>
        <v xml:space="preserve"> +</v>
      </c>
      <c r="G31" s="209" t="str">
        <f>HLOOKUP($F$2,ОПТИМАЛЬНЫЙ,N31,FALSE)</f>
        <v xml:space="preserve"> +</v>
      </c>
      <c r="H31" s="209" t="str">
        <f>HLOOKUP($F$2,МИНИМАЛЬНЫЙ,N31,FALSE)</f>
        <v xml:space="preserve"> - </v>
      </c>
      <c r="K31"/>
      <c r="N31" s="147">
        <f>VLOOKUP(B31,'Данные для сравнения'!$B$4:$C$83,2,FALSE)</f>
        <v>28</v>
      </c>
    </row>
    <row r="32" spans="2:14" x14ac:dyDescent="0.3">
      <c r="B32" s="218" t="s">
        <v>286</v>
      </c>
      <c r="C32" s="227" t="str">
        <f>HLOOKUP($C$2,ЭКСПЕРТ,N32,FALSE)</f>
        <v xml:space="preserve"> +</v>
      </c>
      <c r="D32" s="208" t="str">
        <f t="shared" si="0"/>
        <v xml:space="preserve"> - </v>
      </c>
      <c r="E32" s="225" t="str">
        <f t="shared" si="1"/>
        <v xml:space="preserve"> - </v>
      </c>
      <c r="F32" s="223" t="str">
        <f t="shared" si="2"/>
        <v xml:space="preserve"> +</v>
      </c>
      <c r="G32" s="208" t="str">
        <f t="shared" si="3"/>
        <v xml:space="preserve"> - </v>
      </c>
      <c r="H32" s="208" t="str">
        <f t="shared" si="4"/>
        <v xml:space="preserve"> - </v>
      </c>
      <c r="K32" s="147"/>
      <c r="N32">
        <f>VLOOKUP(B32,'Данные для сравнения'!$B$4:$C$83,2,FALSE)</f>
        <v>29</v>
      </c>
    </row>
    <row r="33" spans="2:14" x14ac:dyDescent="0.3">
      <c r="B33" s="218" t="s">
        <v>36</v>
      </c>
      <c r="C33" s="227" t="str">
        <f t="shared" si="10"/>
        <v xml:space="preserve"> +</v>
      </c>
      <c r="D33" s="208" t="str">
        <f t="shared" si="0"/>
        <v xml:space="preserve"> +</v>
      </c>
      <c r="E33" s="225" t="str">
        <f t="shared" si="1"/>
        <v xml:space="preserve"> - </v>
      </c>
      <c r="F33" s="223" t="str">
        <f t="shared" si="2"/>
        <v xml:space="preserve"> +</v>
      </c>
      <c r="G33" s="208" t="str">
        <f t="shared" si="3"/>
        <v xml:space="preserve"> +</v>
      </c>
      <c r="H33" s="208" t="str">
        <f t="shared" si="4"/>
        <v xml:space="preserve"> - </v>
      </c>
      <c r="N33">
        <f>VLOOKUP(B33,'Данные для сравнения'!$B$4:$C$83,2,FALSE)</f>
        <v>30</v>
      </c>
    </row>
    <row r="34" spans="2:14" x14ac:dyDescent="0.3">
      <c r="B34" s="218" t="s">
        <v>287</v>
      </c>
      <c r="C34" s="227" t="str">
        <f t="shared" si="10"/>
        <v xml:space="preserve"> +</v>
      </c>
      <c r="D34" s="208" t="str">
        <f t="shared" si="0"/>
        <v xml:space="preserve"> +</v>
      </c>
      <c r="E34" s="225" t="str">
        <f t="shared" si="1"/>
        <v xml:space="preserve"> - </v>
      </c>
      <c r="F34" s="223" t="str">
        <f t="shared" si="2"/>
        <v xml:space="preserve"> +</v>
      </c>
      <c r="G34" s="208" t="str">
        <f t="shared" si="3"/>
        <v xml:space="preserve"> +</v>
      </c>
      <c r="H34" s="208" t="str">
        <f t="shared" si="4"/>
        <v xml:space="preserve"> - </v>
      </c>
      <c r="K34" s="147"/>
      <c r="N34">
        <f>VLOOKUP(B34,'Данные для сравнения'!$B$4:$C$83,2,FALSE)</f>
        <v>31</v>
      </c>
    </row>
    <row r="35" spans="2:14" x14ac:dyDescent="0.3">
      <c r="B35" s="218" t="s">
        <v>39</v>
      </c>
      <c r="C35" s="227" t="str">
        <f t="shared" si="10"/>
        <v xml:space="preserve"> +</v>
      </c>
      <c r="D35" s="208" t="str">
        <f t="shared" si="0"/>
        <v xml:space="preserve"> +</v>
      </c>
      <c r="E35" s="225" t="str">
        <f t="shared" si="1"/>
        <v xml:space="preserve"> - </v>
      </c>
      <c r="F35" s="223" t="str">
        <f t="shared" si="2"/>
        <v xml:space="preserve"> +</v>
      </c>
      <c r="G35" s="208" t="str">
        <f t="shared" si="3"/>
        <v xml:space="preserve"> +</v>
      </c>
      <c r="H35" s="208" t="str">
        <f t="shared" si="4"/>
        <v xml:space="preserve"> - </v>
      </c>
      <c r="N35">
        <f>VLOOKUP(B35,'Данные для сравнения'!$B$4:$C$83,2,FALSE)</f>
        <v>32</v>
      </c>
    </row>
    <row r="36" spans="2:14" ht="27.6" x14ac:dyDescent="0.3">
      <c r="B36" s="218" t="s">
        <v>377</v>
      </c>
      <c r="C36" s="227" t="str">
        <f t="shared" si="10"/>
        <v xml:space="preserve"> +</v>
      </c>
      <c r="D36" s="208" t="str">
        <f t="shared" si="0"/>
        <v xml:space="preserve"> - </v>
      </c>
      <c r="E36" s="225" t="str">
        <f t="shared" si="1"/>
        <v xml:space="preserve"> - </v>
      </c>
      <c r="F36" s="223" t="str">
        <f t="shared" si="2"/>
        <v xml:space="preserve"> +</v>
      </c>
      <c r="G36" s="208" t="str">
        <f t="shared" si="3"/>
        <v xml:space="preserve"> - </v>
      </c>
      <c r="H36" s="208" t="str">
        <f t="shared" si="4"/>
        <v xml:space="preserve"> - </v>
      </c>
      <c r="K36" s="147"/>
      <c r="N36">
        <f>VLOOKUP(B36,'Данные для сравнения'!$B$4:$C$83,2,FALSE)</f>
        <v>33</v>
      </c>
    </row>
    <row r="37" spans="2:14" ht="27.6" x14ac:dyDescent="0.3">
      <c r="B37" s="218" t="s">
        <v>236</v>
      </c>
      <c r="C37" s="227" t="str">
        <f t="shared" si="10"/>
        <v xml:space="preserve"> +</v>
      </c>
      <c r="D37" s="208" t="str">
        <f t="shared" si="0"/>
        <v xml:space="preserve"> - </v>
      </c>
      <c r="E37" s="225" t="str">
        <f t="shared" si="1"/>
        <v xml:space="preserve"> - </v>
      </c>
      <c r="F37" s="223" t="str">
        <f t="shared" si="2"/>
        <v xml:space="preserve"> +</v>
      </c>
      <c r="G37" s="208" t="str">
        <f t="shared" si="3"/>
        <v xml:space="preserve"> - </v>
      </c>
      <c r="H37" s="208" t="str">
        <f t="shared" si="4"/>
        <v xml:space="preserve"> - </v>
      </c>
      <c r="N37">
        <f>VLOOKUP(B37,'Данные для сравнения'!$B$4:$C$83,2,FALSE)</f>
        <v>34</v>
      </c>
    </row>
    <row r="38" spans="2:14" ht="27.6" x14ac:dyDescent="0.3">
      <c r="B38" s="218" t="s">
        <v>309</v>
      </c>
      <c r="C38" s="227" t="str">
        <f t="shared" ref="C38" si="29">HLOOKUP($C$2,ЭКСПЕРТ,N38,FALSE)</f>
        <v xml:space="preserve"> +</v>
      </c>
      <c r="D38" s="208" t="str">
        <f t="shared" ref="D38" si="30">HLOOKUP($C$2,ОПТИМАЛЬНЫЙ,N38,FALSE)</f>
        <v xml:space="preserve"> - </v>
      </c>
      <c r="E38" s="225" t="str">
        <f t="shared" ref="E38" si="31">HLOOKUP($C$2,МИНИМАЛЬНЫЙ,N38,FALSE)</f>
        <v xml:space="preserve"> - </v>
      </c>
      <c r="F38" s="223" t="str">
        <f t="shared" ref="F38" si="32">HLOOKUP($F$2,ЭКСПЕРТ,N38,FALSE)</f>
        <v xml:space="preserve"> - </v>
      </c>
      <c r="G38" s="208" t="str">
        <f t="shared" ref="G38" si="33">HLOOKUP($F$2,ОПТИМАЛЬНЫЙ,N38,FALSE)</f>
        <v xml:space="preserve"> - </v>
      </c>
      <c r="H38" s="208" t="str">
        <f t="shared" ref="H38" si="34">HLOOKUP($F$2,МИНИМАЛЬНЫЙ,N38,FALSE)</f>
        <v xml:space="preserve"> - </v>
      </c>
      <c r="N38">
        <f>VLOOKUP(B38,'Данные для сравнения'!$B$4:$C$83,2,FALSE)</f>
        <v>35</v>
      </c>
    </row>
    <row r="39" spans="2:14" ht="69" x14ac:dyDescent="0.3">
      <c r="B39" s="218" t="s">
        <v>288</v>
      </c>
      <c r="C39" s="227" t="str">
        <f t="shared" si="10"/>
        <v xml:space="preserve"> +</v>
      </c>
      <c r="D39" s="208" t="str">
        <f t="shared" si="0"/>
        <v xml:space="preserve"> +</v>
      </c>
      <c r="E39" s="225" t="str">
        <f t="shared" si="1"/>
        <v xml:space="preserve"> +</v>
      </c>
      <c r="F39" s="223" t="str">
        <f t="shared" si="2"/>
        <v xml:space="preserve"> +</v>
      </c>
      <c r="G39" s="208" t="str">
        <f t="shared" si="3"/>
        <v xml:space="preserve"> +</v>
      </c>
      <c r="H39" s="208" t="str">
        <f t="shared" si="4"/>
        <v xml:space="preserve"> +</v>
      </c>
      <c r="K39" s="147"/>
      <c r="N39">
        <f>VLOOKUP(B39,'Данные для сравнения'!$B$4:$C$83,2,FALSE)</f>
        <v>36</v>
      </c>
    </row>
    <row r="40" spans="2:14" ht="27.6" x14ac:dyDescent="0.3">
      <c r="B40" s="218" t="s">
        <v>308</v>
      </c>
      <c r="C40" s="227" t="str">
        <f t="shared" ref="C40" si="35">HLOOKUP($C$2,ЭКСПЕРТ,N40,FALSE)</f>
        <v xml:space="preserve"> +</v>
      </c>
      <c r="D40" s="208" t="str">
        <f t="shared" ref="D40" si="36">HLOOKUP($C$2,ОПТИМАЛЬНЫЙ,N40,FALSE)</f>
        <v xml:space="preserve"> - </v>
      </c>
      <c r="E40" s="225" t="str">
        <f t="shared" ref="E40" si="37">HLOOKUP($C$2,МИНИМАЛЬНЫЙ,N40,FALSE)</f>
        <v xml:space="preserve"> - </v>
      </c>
      <c r="F40" s="223" t="str">
        <f t="shared" ref="F40" si="38">HLOOKUP($F$2,ЭКСПЕРТ,N40,FALSE)</f>
        <v xml:space="preserve"> - </v>
      </c>
      <c r="G40" s="208" t="str">
        <f t="shared" ref="G40" si="39">HLOOKUP($F$2,ОПТИМАЛЬНЫЙ,N40,FALSE)</f>
        <v xml:space="preserve"> - </v>
      </c>
      <c r="H40" s="208" t="str">
        <f t="shared" ref="H40" si="40">HLOOKUP($F$2,МИНИМАЛЬНЫЙ,N40,FALSE)</f>
        <v xml:space="preserve"> - </v>
      </c>
      <c r="K40" s="147"/>
      <c r="N40">
        <f>VLOOKUP(B40,'Данные для сравнения'!$B$4:$C$83,2,FALSE)</f>
        <v>37</v>
      </c>
    </row>
    <row r="41" spans="2:14" ht="55.2" x14ac:dyDescent="0.3">
      <c r="B41" s="218" t="s">
        <v>32</v>
      </c>
      <c r="C41" s="227" t="str">
        <f t="shared" si="10"/>
        <v xml:space="preserve"> +
Полнотекстовый поиск в оглавлении</v>
      </c>
      <c r="D41" s="208" t="str">
        <f t="shared" si="0"/>
        <v xml:space="preserve"> +
Базовый поиск в оглавлении</v>
      </c>
      <c r="E41" s="225" t="str">
        <f t="shared" si="1"/>
        <v xml:space="preserve"> - </v>
      </c>
      <c r="F41" s="223" t="str">
        <f t="shared" si="2"/>
        <v xml:space="preserve"> +
Базовый поиск в оглавлении</v>
      </c>
      <c r="G41" s="208" t="str">
        <f t="shared" si="3"/>
        <v xml:space="preserve"> +
Базовый поиск в оглавлении</v>
      </c>
      <c r="H41" s="208" t="str">
        <f t="shared" si="4"/>
        <v xml:space="preserve"> - </v>
      </c>
      <c r="N41">
        <f>VLOOKUP(B41,'Данные для сравнения'!$B$4:$C$83,2,FALSE)</f>
        <v>38</v>
      </c>
    </row>
    <row r="42" spans="2:14" s="147" customFormat="1" x14ac:dyDescent="0.3">
      <c r="B42" s="218" t="s">
        <v>289</v>
      </c>
      <c r="C42" s="226" t="str">
        <f>HLOOKUP($C$2,ЭКСПЕРТ,N42,FALSE)</f>
        <v xml:space="preserve"> +</v>
      </c>
      <c r="D42" s="209" t="str">
        <f>HLOOKUP($C$2,ОПТИМАЛЬНЫЙ,N42,FALSE)</f>
        <v xml:space="preserve"> +</v>
      </c>
      <c r="E42" s="224" t="str">
        <f>HLOOKUP($C$2,МИНИМАЛЬНЫЙ,N42,FALSE)</f>
        <v xml:space="preserve"> - </v>
      </c>
      <c r="F42" s="222" t="str">
        <f>HLOOKUP($F$2,ЭКСПЕРТ,N42,FALSE)</f>
        <v xml:space="preserve"> +</v>
      </c>
      <c r="G42" s="209" t="str">
        <f>HLOOKUP($F$2,ОПТИМАЛЬНЫЙ,N42,FALSE)</f>
        <v xml:space="preserve"> - </v>
      </c>
      <c r="H42" s="209" t="str">
        <f>HLOOKUP($F$2,МИНИМАЛЬНЫЙ,N42,FALSE)</f>
        <v xml:space="preserve"> - </v>
      </c>
      <c r="N42" s="147">
        <f>VLOOKUP(B42,'Данные для сравнения'!$B$4:$C$83,2,FALSE)</f>
        <v>39</v>
      </c>
    </row>
    <row r="43" spans="2:14" ht="207" x14ac:dyDescent="0.3">
      <c r="B43" s="218" t="s">
        <v>35</v>
      </c>
      <c r="C43" s="227" t="str">
        <f t="shared" ref="C43:C68" si="41">HLOOKUP($C$2,ЭКСПЕРТ,N43,FALSE)</f>
        <v xml:space="preserve"> + 
включая:
- Полноэкранный режим сравнения редакций; 
- Экспорт в Word сравнения редакций: экспорт только изменений и экспорт полного текста двух редакций с отображением изменений</v>
      </c>
      <c r="D43" s="208" t="str">
        <f t="shared" ref="D43:D68" si="42">HLOOKUP($C$2,ОПТИМАЛЬНЫЙ,N43,FALSE)</f>
        <v xml:space="preserve"> + </v>
      </c>
      <c r="E43" s="225" t="str">
        <f t="shared" ref="E43:E68" si="43">HLOOKUP($C$2,МИНИМАЛЬНЫЙ,N43,FALSE)</f>
        <v xml:space="preserve"> - </v>
      </c>
      <c r="F43" s="223" t="str">
        <f t="shared" ref="F43:F68" si="44">HLOOKUP($F$2,ЭКСПЕРТ,N43,FALSE)</f>
        <v xml:space="preserve"> + 
включая Полноэкранный режим сравнения редакций</v>
      </c>
      <c r="G43" s="208" t="str">
        <f t="shared" ref="G43:G68" si="45">HLOOKUP($F$2,ОПТИМАЛЬНЫЙ,N43,FALSE)</f>
        <v xml:space="preserve"> + </v>
      </c>
      <c r="H43" s="208" t="str">
        <f t="shared" ref="H43:H68" si="46">HLOOKUP($F$2,МИНИМАЛЬНЫЙ,N43,FALSE)</f>
        <v xml:space="preserve"> - </v>
      </c>
      <c r="N43">
        <f>VLOOKUP(B43,'Данные для сравнения'!$B$4:$C$83,2,FALSE)</f>
        <v>40</v>
      </c>
    </row>
    <row r="44" spans="2:14" x14ac:dyDescent="0.3">
      <c r="B44" s="218" t="s">
        <v>224</v>
      </c>
      <c r="C44" s="227" t="str">
        <f t="shared" si="41"/>
        <v xml:space="preserve"> + </v>
      </c>
      <c r="D44" s="208" t="str">
        <f t="shared" si="42"/>
        <v xml:space="preserve"> - </v>
      </c>
      <c r="E44" s="225" t="str">
        <f t="shared" si="43"/>
        <v xml:space="preserve"> - </v>
      </c>
      <c r="F44" s="223" t="str">
        <f t="shared" si="44"/>
        <v xml:space="preserve"> - </v>
      </c>
      <c r="G44" s="208" t="str">
        <f t="shared" si="45"/>
        <v xml:space="preserve"> - </v>
      </c>
      <c r="H44" s="208" t="str">
        <f t="shared" si="46"/>
        <v xml:space="preserve"> - </v>
      </c>
      <c r="K44" s="147"/>
      <c r="N44">
        <f>VLOOKUP(B44,'Данные для сравнения'!$B$4:$C$83,2,FALSE)</f>
        <v>41</v>
      </c>
    </row>
    <row r="45" spans="2:14" ht="55.2" x14ac:dyDescent="0.3">
      <c r="B45" s="218" t="s">
        <v>290</v>
      </c>
      <c r="C45" s="227" t="str">
        <f t="shared" si="41"/>
        <v xml:space="preserve"> +
включая Поиск в «Дополнительной информации»</v>
      </c>
      <c r="D45" s="208" t="str">
        <f t="shared" si="42"/>
        <v xml:space="preserve"> +</v>
      </c>
      <c r="E45" s="225" t="str">
        <f t="shared" si="43"/>
        <v xml:space="preserve"> - </v>
      </c>
      <c r="F45" s="223" t="str">
        <f t="shared" si="44"/>
        <v xml:space="preserve"> +
включая Поиск в «Дополнительной информации»</v>
      </c>
      <c r="G45" s="208" t="str">
        <f t="shared" si="45"/>
        <v xml:space="preserve"> +</v>
      </c>
      <c r="H45" s="208" t="str">
        <f t="shared" si="46"/>
        <v xml:space="preserve"> - </v>
      </c>
      <c r="N45">
        <f>VLOOKUP(B45,'Данные для сравнения'!$B$4:$C$83,2,FALSE)</f>
        <v>42</v>
      </c>
    </row>
    <row r="46" spans="2:14" ht="27.6" x14ac:dyDescent="0.3">
      <c r="B46" s="218" t="s">
        <v>291</v>
      </c>
      <c r="C46" s="227" t="str">
        <f t="shared" si="41"/>
        <v xml:space="preserve"> +
без ограничений</v>
      </c>
      <c r="D46" s="208" t="str">
        <f t="shared" si="42"/>
        <v xml:space="preserve"> +
 до 5 документов</v>
      </c>
      <c r="E46" s="225" t="str">
        <f t="shared" si="43"/>
        <v xml:space="preserve"> - </v>
      </c>
      <c r="F46" s="223" t="str">
        <f t="shared" si="44"/>
        <v xml:space="preserve"> +
без ограничений</v>
      </c>
      <c r="G46" s="208" t="str">
        <f t="shared" si="45"/>
        <v xml:space="preserve"> - </v>
      </c>
      <c r="H46" s="208" t="str">
        <f t="shared" si="46"/>
        <v xml:space="preserve"> - </v>
      </c>
      <c r="K46" s="147"/>
      <c r="N46">
        <f>VLOOKUP(B46,'Данные для сравнения'!$B$4:$C$83,2,FALSE)</f>
        <v>43</v>
      </c>
    </row>
    <row r="47" spans="2:14" ht="27.6" x14ac:dyDescent="0.3">
      <c r="B47" s="218" t="s">
        <v>235</v>
      </c>
      <c r="C47" s="227" t="str">
        <f t="shared" si="41"/>
        <v xml:space="preserve"> +</v>
      </c>
      <c r="D47" s="208" t="str">
        <f t="shared" si="42"/>
        <v xml:space="preserve"> +</v>
      </c>
      <c r="E47" s="225" t="str">
        <f t="shared" si="43"/>
        <v xml:space="preserve"> - </v>
      </c>
      <c r="F47" s="223" t="str">
        <f t="shared" si="44"/>
        <v xml:space="preserve"> +</v>
      </c>
      <c r="G47" s="208" t="str">
        <f t="shared" si="45"/>
        <v xml:space="preserve"> +</v>
      </c>
      <c r="H47" s="208" t="str">
        <f t="shared" si="46"/>
        <v xml:space="preserve"> - </v>
      </c>
      <c r="N47">
        <f>VLOOKUP(B47,'Данные для сравнения'!$B$4:$C$83,2,FALSE)</f>
        <v>44</v>
      </c>
    </row>
    <row r="48" spans="2:14" x14ac:dyDescent="0.3">
      <c r="B48" s="218" t="s">
        <v>28</v>
      </c>
      <c r="C48" s="227" t="str">
        <f t="shared" si="41"/>
        <v xml:space="preserve"> +</v>
      </c>
      <c r="D48" s="208" t="str">
        <f t="shared" si="42"/>
        <v xml:space="preserve"> +</v>
      </c>
      <c r="E48" s="225" t="str">
        <f t="shared" si="43"/>
        <v xml:space="preserve"> +</v>
      </c>
      <c r="F48" s="223" t="str">
        <f t="shared" si="44"/>
        <v xml:space="preserve"> +</v>
      </c>
      <c r="G48" s="208" t="str">
        <f t="shared" si="45"/>
        <v xml:space="preserve"> +</v>
      </c>
      <c r="H48" s="208" t="str">
        <f t="shared" si="46"/>
        <v xml:space="preserve"> +</v>
      </c>
      <c r="K48" s="147"/>
      <c r="N48">
        <f>VLOOKUP(B48,'Данные для сравнения'!$B$4:$C$83,2,FALSE)</f>
        <v>45</v>
      </c>
    </row>
    <row r="49" spans="2:14" x14ac:dyDescent="0.3">
      <c r="B49" s="218" t="s">
        <v>41</v>
      </c>
      <c r="C49" s="227" t="str">
        <f t="shared" si="41"/>
        <v xml:space="preserve"> +</v>
      </c>
      <c r="D49" s="208" t="str">
        <f t="shared" si="42"/>
        <v xml:space="preserve"> - </v>
      </c>
      <c r="E49" s="225" t="str">
        <f t="shared" si="43"/>
        <v xml:space="preserve"> - </v>
      </c>
      <c r="F49" s="223" t="str">
        <f t="shared" si="44"/>
        <v xml:space="preserve"> +</v>
      </c>
      <c r="G49" s="208" t="str">
        <f t="shared" si="45"/>
        <v xml:space="preserve"> - </v>
      </c>
      <c r="H49" s="208" t="str">
        <f t="shared" si="46"/>
        <v xml:space="preserve"> - </v>
      </c>
      <c r="N49">
        <f>VLOOKUP(B49,'Данные для сравнения'!$B$4:$C$83,2,FALSE)</f>
        <v>46</v>
      </c>
    </row>
    <row r="50" spans="2:14" x14ac:dyDescent="0.3">
      <c r="B50" s="218" t="s">
        <v>226</v>
      </c>
      <c r="C50" s="227" t="str">
        <f>HLOOKUP($C$2,ЭКСПЕРТ,N50,FALSE)</f>
        <v xml:space="preserve"> +</v>
      </c>
      <c r="D50" s="208" t="str">
        <f>HLOOKUP($C$2,ОПТИМАЛЬНЫЙ,N50,FALSE)</f>
        <v xml:space="preserve"> +</v>
      </c>
      <c r="E50" s="225" t="str">
        <f>HLOOKUP($C$2,МИНИМАЛЬНЫЙ,N50,FALSE)</f>
        <v xml:space="preserve"> +</v>
      </c>
      <c r="F50" s="223" t="str">
        <f>HLOOKUP($F$2,ЭКСПЕРТ,N50,FALSE)</f>
        <v xml:space="preserve"> +</v>
      </c>
      <c r="G50" s="208" t="str">
        <f>HLOOKUP($F$2,ОПТИМАЛЬНЫЙ,N50,FALSE)</f>
        <v xml:space="preserve"> +</v>
      </c>
      <c r="H50" s="208" t="str">
        <f>HLOOKUP($F$2,МИНИМАЛЬНЫЙ,N50,FALSE)</f>
        <v xml:space="preserve"> +</v>
      </c>
      <c r="N50">
        <f>VLOOKUP(B50,'Данные для сравнения'!$B$4:$C$83,2,FALSE)</f>
        <v>47</v>
      </c>
    </row>
    <row r="51" spans="2:14" x14ac:dyDescent="0.3">
      <c r="B51" s="218" t="s">
        <v>33</v>
      </c>
      <c r="C51" s="227" t="str">
        <f t="shared" si="41"/>
        <v xml:space="preserve"> +</v>
      </c>
      <c r="D51" s="208" t="str">
        <f t="shared" si="42"/>
        <v xml:space="preserve"> +</v>
      </c>
      <c r="E51" s="225" t="str">
        <f t="shared" si="43"/>
        <v xml:space="preserve"> - </v>
      </c>
      <c r="F51" s="223" t="str">
        <f t="shared" si="44"/>
        <v xml:space="preserve"> +</v>
      </c>
      <c r="G51" s="208" t="str">
        <f t="shared" si="45"/>
        <v xml:space="preserve"> +</v>
      </c>
      <c r="H51" s="208" t="str">
        <f t="shared" si="46"/>
        <v xml:space="preserve"> - </v>
      </c>
      <c r="K51" s="147"/>
      <c r="N51">
        <f>VLOOKUP(B51,'Данные для сравнения'!$B$4:$C$83,2,FALSE)</f>
        <v>48</v>
      </c>
    </row>
    <row r="52" spans="2:14" x14ac:dyDescent="0.3">
      <c r="B52" s="218" t="s">
        <v>34</v>
      </c>
      <c r="C52" s="227" t="str">
        <f t="shared" si="41"/>
        <v xml:space="preserve"> +</v>
      </c>
      <c r="D52" s="208" t="str">
        <f t="shared" si="42"/>
        <v xml:space="preserve"> +</v>
      </c>
      <c r="E52" s="225" t="str">
        <f t="shared" si="43"/>
        <v xml:space="preserve"> - </v>
      </c>
      <c r="F52" s="223" t="str">
        <f t="shared" si="44"/>
        <v xml:space="preserve"> +</v>
      </c>
      <c r="G52" s="208" t="str">
        <f t="shared" si="45"/>
        <v xml:space="preserve"> +</v>
      </c>
      <c r="H52" s="208" t="str">
        <f t="shared" si="46"/>
        <v xml:space="preserve"> - </v>
      </c>
      <c r="N52">
        <f>VLOOKUP(B52,'Данные для сравнения'!$B$4:$C$83,2,FALSE)</f>
        <v>49</v>
      </c>
    </row>
    <row r="53" spans="2:14" x14ac:dyDescent="0.3">
      <c r="B53" s="218" t="s">
        <v>175</v>
      </c>
      <c r="C53" s="227" t="str">
        <f t="shared" si="41"/>
        <v xml:space="preserve"> +</v>
      </c>
      <c r="D53" s="208" t="str">
        <f t="shared" si="42"/>
        <v xml:space="preserve"> - </v>
      </c>
      <c r="E53" s="225" t="str">
        <f t="shared" si="43"/>
        <v xml:space="preserve"> - </v>
      </c>
      <c r="F53" s="223" t="str">
        <f t="shared" si="44"/>
        <v xml:space="preserve"> +</v>
      </c>
      <c r="G53" s="208" t="str">
        <f t="shared" si="45"/>
        <v xml:space="preserve"> - </v>
      </c>
      <c r="H53" s="208" t="str">
        <f t="shared" si="46"/>
        <v xml:space="preserve"> - </v>
      </c>
      <c r="K53" s="147"/>
      <c r="N53">
        <f>VLOOKUP(B53,'Данные для сравнения'!$B$4:$C$83,2,FALSE)</f>
        <v>50</v>
      </c>
    </row>
    <row r="54" spans="2:14" ht="55.2" x14ac:dyDescent="0.3">
      <c r="B54" s="218" t="s">
        <v>378</v>
      </c>
      <c r="C54" s="227" t="str">
        <f t="shared" si="41"/>
        <v xml:space="preserve"> +</v>
      </c>
      <c r="D54" s="208" t="str">
        <f t="shared" si="42"/>
        <v xml:space="preserve"> - </v>
      </c>
      <c r="E54" s="225" t="str">
        <f t="shared" si="43"/>
        <v xml:space="preserve"> - </v>
      </c>
      <c r="F54" s="223" t="str">
        <f t="shared" si="44"/>
        <v xml:space="preserve"> - </v>
      </c>
      <c r="G54" s="208" t="str">
        <f t="shared" si="45"/>
        <v xml:space="preserve"> - </v>
      </c>
      <c r="H54" s="208" t="str">
        <f t="shared" si="46"/>
        <v xml:space="preserve"> - </v>
      </c>
      <c r="N54">
        <f>VLOOKUP(B54,'Данные для сравнения'!$B$4:$C$83,2,FALSE)</f>
        <v>51</v>
      </c>
    </row>
    <row r="55" spans="2:14" ht="41.4" x14ac:dyDescent="0.3">
      <c r="B55" s="218" t="s">
        <v>379</v>
      </c>
      <c r="C55" s="227" t="str">
        <f t="shared" ref="C55" si="47">HLOOKUP($C$2,ЭКСПЕРТ,N55,FALSE)</f>
        <v xml:space="preserve"> +</v>
      </c>
      <c r="D55" s="208" t="str">
        <f t="shared" ref="D55" si="48">HLOOKUP($C$2,ОПТИМАЛЬНЫЙ,N55,FALSE)</f>
        <v xml:space="preserve"> - </v>
      </c>
      <c r="E55" s="225" t="str">
        <f t="shared" ref="E55" si="49">HLOOKUP($C$2,МИНИМАЛЬНЫЙ,N55,FALSE)</f>
        <v xml:space="preserve"> - </v>
      </c>
      <c r="F55" s="223" t="str">
        <f t="shared" ref="F55" si="50">HLOOKUP($F$2,ЭКСПЕРТ,N55,FALSE)</f>
        <v xml:space="preserve"> - </v>
      </c>
      <c r="G55" s="208" t="str">
        <f t="shared" ref="G55" si="51">HLOOKUP($F$2,ОПТИМАЛЬНЫЙ,N55,FALSE)</f>
        <v xml:space="preserve"> - </v>
      </c>
      <c r="H55" s="208" t="str">
        <f t="shared" ref="H55" si="52">HLOOKUP($F$2,МИНИМАЛЬНЫЙ,N55,FALSE)</f>
        <v xml:space="preserve"> - </v>
      </c>
      <c r="N55">
        <f>VLOOKUP(B55,'Данные для сравнения'!$B$4:$C$83,2,FALSE)</f>
        <v>52</v>
      </c>
    </row>
    <row r="56" spans="2:14" s="147" customFormat="1" ht="27.6" x14ac:dyDescent="0.3">
      <c r="B56" s="218" t="s">
        <v>225</v>
      </c>
      <c r="C56" s="226" t="str">
        <f>HLOOKUP($C$2,ЭКСПЕРТ,N56,FALSE)</f>
        <v xml:space="preserve"> +</v>
      </c>
      <c r="D56" s="209" t="str">
        <f>HLOOKUP($C$2,ОПТИМАЛЬНЫЙ,N56,FALSE)</f>
        <v xml:space="preserve"> - </v>
      </c>
      <c r="E56" s="224" t="str">
        <f>HLOOKUP($C$2,МИНИМАЛЬНЫЙ,N56,FALSE)</f>
        <v xml:space="preserve"> - </v>
      </c>
      <c r="F56" s="222" t="str">
        <f>HLOOKUP($F$2,ЭКСПЕРТ,N56,FALSE)</f>
        <v xml:space="preserve"> - </v>
      </c>
      <c r="G56" s="209" t="str">
        <f>HLOOKUP($F$2,ОПТИМАЛЬНЫЙ,N56,FALSE)</f>
        <v xml:space="preserve"> - </v>
      </c>
      <c r="H56" s="209" t="str">
        <f>HLOOKUP($F$2,МИНИМАЛЬНЫЙ,N56,FALSE)</f>
        <v xml:space="preserve"> - </v>
      </c>
      <c r="N56" s="147">
        <f>VLOOKUP(B56,'Данные для сравнения'!$B$4:$C$83,2,FALSE)</f>
        <v>53</v>
      </c>
    </row>
    <row r="57" spans="2:14" s="147" customFormat="1" x14ac:dyDescent="0.3">
      <c r="B57" s="218" t="s">
        <v>44</v>
      </c>
      <c r="C57" s="226" t="str">
        <f>HLOOKUP($C$2,ЭКСПЕРТ,N57,FALSE)</f>
        <v xml:space="preserve"> +</v>
      </c>
      <c r="D57" s="209" t="str">
        <f>HLOOKUP($C$2,ОПТИМАЛЬНЫЙ,N57,FALSE)</f>
        <v xml:space="preserve"> - </v>
      </c>
      <c r="E57" s="224" t="str">
        <f>HLOOKUP($C$2,МИНИМАЛЬНЫЙ,N57,FALSE)</f>
        <v xml:space="preserve"> - </v>
      </c>
      <c r="F57" s="222" t="str">
        <f>HLOOKUP($F$2,ЭКСПЕРТ,N57,FALSE)</f>
        <v xml:space="preserve"> +</v>
      </c>
      <c r="G57" s="209" t="str">
        <f>HLOOKUP($F$2,ОПТИМАЛЬНЫЙ,N57,FALSE)</f>
        <v xml:space="preserve"> - </v>
      </c>
      <c r="H57" s="209" t="str">
        <f>HLOOKUP($F$2,МИНИМАЛЬНЫЙ,N57,FALSE)</f>
        <v xml:space="preserve"> - </v>
      </c>
      <c r="K57"/>
      <c r="N57" s="147">
        <f>VLOOKUP(B57,'Данные для сравнения'!$B$4:$C$83,2,FALSE)</f>
        <v>54</v>
      </c>
    </row>
    <row r="58" spans="2:14" x14ac:dyDescent="0.3">
      <c r="B58" s="218" t="s">
        <v>271</v>
      </c>
      <c r="C58" s="227" t="str">
        <f t="shared" si="41"/>
        <v xml:space="preserve"> +</v>
      </c>
      <c r="D58" s="208" t="str">
        <f t="shared" si="42"/>
        <v xml:space="preserve"> - </v>
      </c>
      <c r="E58" s="225" t="str">
        <f t="shared" si="43"/>
        <v xml:space="preserve"> - </v>
      </c>
      <c r="F58" s="223" t="str">
        <f t="shared" si="44"/>
        <v xml:space="preserve"> +</v>
      </c>
      <c r="G58" s="208" t="str">
        <f t="shared" si="45"/>
        <v xml:space="preserve"> - </v>
      </c>
      <c r="H58" s="208" t="str">
        <f t="shared" si="46"/>
        <v xml:space="preserve"> - </v>
      </c>
      <c r="K58" s="147"/>
      <c r="N58">
        <f>VLOOKUP(B58,'Данные для сравнения'!$B$4:$C$83,2,FALSE)</f>
        <v>55</v>
      </c>
    </row>
    <row r="59" spans="2:14" x14ac:dyDescent="0.3">
      <c r="B59" s="218" t="s">
        <v>43</v>
      </c>
      <c r="C59" s="227" t="str">
        <f t="shared" si="41"/>
        <v xml:space="preserve"> +</v>
      </c>
      <c r="D59" s="208" t="str">
        <f t="shared" si="42"/>
        <v xml:space="preserve"> - </v>
      </c>
      <c r="E59" s="225" t="str">
        <f t="shared" si="43"/>
        <v xml:space="preserve"> - </v>
      </c>
      <c r="F59" s="223" t="str">
        <f t="shared" si="44"/>
        <v xml:space="preserve"> +</v>
      </c>
      <c r="G59" s="208" t="str">
        <f t="shared" si="45"/>
        <v xml:space="preserve"> - </v>
      </c>
      <c r="H59" s="208" t="str">
        <f t="shared" si="46"/>
        <v xml:space="preserve"> - </v>
      </c>
      <c r="N59">
        <f>VLOOKUP(B59,'Данные для сравнения'!$B$4:$C$83,2,FALSE)</f>
        <v>56</v>
      </c>
    </row>
    <row r="60" spans="2:14" x14ac:dyDescent="0.3">
      <c r="B60" s="218" t="s">
        <v>174</v>
      </c>
      <c r="C60" s="227" t="str">
        <f t="shared" si="41"/>
        <v xml:space="preserve"> +</v>
      </c>
      <c r="D60" s="208" t="str">
        <f t="shared" si="42"/>
        <v xml:space="preserve"> - </v>
      </c>
      <c r="E60" s="225" t="str">
        <f t="shared" si="43"/>
        <v xml:space="preserve"> - </v>
      </c>
      <c r="F60" s="223" t="str">
        <f t="shared" si="44"/>
        <v xml:space="preserve"> +</v>
      </c>
      <c r="G60" s="208" t="str">
        <f t="shared" si="45"/>
        <v xml:space="preserve"> - </v>
      </c>
      <c r="H60" s="208" t="str">
        <f t="shared" si="46"/>
        <v xml:space="preserve"> - </v>
      </c>
      <c r="K60" s="147"/>
      <c r="N60">
        <f>VLOOKUP(B60,'Данные для сравнения'!$B$4:$C$83,2,FALSE)</f>
        <v>57</v>
      </c>
    </row>
    <row r="61" spans="2:14" x14ac:dyDescent="0.3">
      <c r="B61" s="218" t="s">
        <v>292</v>
      </c>
      <c r="C61" s="227" t="str">
        <f t="shared" si="41"/>
        <v xml:space="preserve"> +</v>
      </c>
      <c r="D61" s="208" t="str">
        <f t="shared" si="42"/>
        <v xml:space="preserve"> +</v>
      </c>
      <c r="E61" s="225" t="str">
        <f t="shared" si="43"/>
        <v xml:space="preserve"> +</v>
      </c>
      <c r="F61" s="223" t="str">
        <f t="shared" si="44"/>
        <v xml:space="preserve"> +</v>
      </c>
      <c r="G61" s="208" t="str">
        <f t="shared" si="45"/>
        <v xml:space="preserve"> +</v>
      </c>
      <c r="H61" s="208" t="str">
        <f t="shared" si="46"/>
        <v xml:space="preserve"> +</v>
      </c>
      <c r="N61">
        <f>VLOOKUP(B61,'Данные для сравнения'!$B$4:$C$83,2,FALSE)</f>
        <v>58</v>
      </c>
    </row>
    <row r="62" spans="2:14" x14ac:dyDescent="0.3">
      <c r="B62" s="218" t="s">
        <v>293</v>
      </c>
      <c r="C62" s="227" t="str">
        <f t="shared" si="41"/>
        <v xml:space="preserve"> +</v>
      </c>
      <c r="D62" s="208" t="str">
        <f t="shared" si="42"/>
        <v xml:space="preserve"> +</v>
      </c>
      <c r="E62" s="225" t="str">
        <f t="shared" si="43"/>
        <v xml:space="preserve"> - </v>
      </c>
      <c r="F62" s="223" t="str">
        <f t="shared" si="44"/>
        <v xml:space="preserve"> +</v>
      </c>
      <c r="G62" s="208" t="str">
        <f t="shared" si="45"/>
        <v xml:space="preserve"> +</v>
      </c>
      <c r="H62" s="208" t="str">
        <f t="shared" si="46"/>
        <v xml:space="preserve"> - </v>
      </c>
      <c r="K62" s="147"/>
      <c r="N62">
        <f>VLOOKUP(B62,'Данные для сравнения'!$B$4:$C$83,2,FALSE)</f>
        <v>59</v>
      </c>
    </row>
    <row r="63" spans="2:14" x14ac:dyDescent="0.3">
      <c r="B63" s="218" t="s">
        <v>294</v>
      </c>
      <c r="C63" s="227" t="str">
        <f t="shared" si="41"/>
        <v xml:space="preserve"> +</v>
      </c>
      <c r="D63" s="208" t="str">
        <f t="shared" si="42"/>
        <v xml:space="preserve"> +</v>
      </c>
      <c r="E63" s="225" t="str">
        <f t="shared" si="43"/>
        <v xml:space="preserve"> - </v>
      </c>
      <c r="F63" s="223" t="str">
        <f t="shared" si="44"/>
        <v xml:space="preserve"> +</v>
      </c>
      <c r="G63" s="208" t="str">
        <f t="shared" si="45"/>
        <v xml:space="preserve"> +</v>
      </c>
      <c r="H63" s="208" t="str">
        <f t="shared" si="46"/>
        <v xml:space="preserve"> - </v>
      </c>
      <c r="N63">
        <f>VLOOKUP(B63,'Данные для сравнения'!$B$4:$C$83,2,FALSE)</f>
        <v>60</v>
      </c>
    </row>
    <row r="64" spans="2:14" x14ac:dyDescent="0.3">
      <c r="B64" s="218" t="s">
        <v>42</v>
      </c>
      <c r="C64" s="227" t="str">
        <f t="shared" si="41"/>
        <v xml:space="preserve"> +</v>
      </c>
      <c r="D64" s="208" t="str">
        <f t="shared" si="42"/>
        <v xml:space="preserve"> - </v>
      </c>
      <c r="E64" s="225" t="str">
        <f t="shared" si="43"/>
        <v xml:space="preserve"> - </v>
      </c>
      <c r="F64" s="223" t="str">
        <f t="shared" si="44"/>
        <v xml:space="preserve"> +</v>
      </c>
      <c r="G64" s="208" t="str">
        <f t="shared" si="45"/>
        <v xml:space="preserve"> - </v>
      </c>
      <c r="H64" s="208" t="str">
        <f t="shared" si="46"/>
        <v xml:space="preserve"> - </v>
      </c>
      <c r="K64" s="147"/>
      <c r="N64">
        <f>VLOOKUP(B64,'Данные для сравнения'!$B$4:$C$83,2,FALSE)</f>
        <v>61</v>
      </c>
    </row>
    <row r="65" spans="1:14" x14ac:dyDescent="0.3">
      <c r="B65" s="218" t="s">
        <v>176</v>
      </c>
      <c r="C65" s="227" t="str">
        <f t="shared" si="41"/>
        <v xml:space="preserve"> +</v>
      </c>
      <c r="D65" s="208" t="str">
        <f t="shared" si="42"/>
        <v xml:space="preserve"> - </v>
      </c>
      <c r="E65" s="225" t="str">
        <f t="shared" si="43"/>
        <v xml:space="preserve"> - </v>
      </c>
      <c r="F65" s="223" t="str">
        <f t="shared" si="44"/>
        <v xml:space="preserve"> +</v>
      </c>
      <c r="G65" s="208" t="str">
        <f t="shared" si="45"/>
        <v xml:space="preserve"> - </v>
      </c>
      <c r="H65" s="208" t="str">
        <f t="shared" si="46"/>
        <v xml:space="preserve"> - </v>
      </c>
      <c r="N65">
        <f>VLOOKUP(B65,'Данные для сравнения'!$B$4:$C$83,2,FALSE)</f>
        <v>62</v>
      </c>
    </row>
    <row r="66" spans="1:14" x14ac:dyDescent="0.3">
      <c r="B66" s="218" t="s">
        <v>295</v>
      </c>
      <c r="C66" s="227" t="str">
        <f t="shared" si="41"/>
        <v xml:space="preserve"> +</v>
      </c>
      <c r="D66" s="208" t="str">
        <f t="shared" si="42"/>
        <v xml:space="preserve"> - </v>
      </c>
      <c r="E66" s="225" t="str">
        <f t="shared" si="43"/>
        <v xml:space="preserve"> - </v>
      </c>
      <c r="F66" s="223" t="str">
        <f t="shared" si="44"/>
        <v xml:space="preserve"> +</v>
      </c>
      <c r="G66" s="208" t="str">
        <f t="shared" si="45"/>
        <v xml:space="preserve"> - </v>
      </c>
      <c r="H66" s="208" t="str">
        <f t="shared" si="46"/>
        <v xml:space="preserve"> - </v>
      </c>
      <c r="K66" s="147"/>
      <c r="N66">
        <f>VLOOKUP(B66,'Данные для сравнения'!$B$4:$C$83,2,FALSE)</f>
        <v>63</v>
      </c>
    </row>
    <row r="67" spans="1:14" ht="27.6" x14ac:dyDescent="0.3">
      <c r="B67" s="218" t="s">
        <v>222</v>
      </c>
      <c r="C67" s="227" t="str">
        <f t="shared" si="41"/>
        <v xml:space="preserve"> +</v>
      </c>
      <c r="D67" s="208" t="str">
        <f t="shared" si="42"/>
        <v xml:space="preserve"> - </v>
      </c>
      <c r="E67" s="225" t="str">
        <f t="shared" si="43"/>
        <v xml:space="preserve"> - </v>
      </c>
      <c r="F67" s="223" t="str">
        <f t="shared" si="44"/>
        <v xml:space="preserve"> +</v>
      </c>
      <c r="G67" s="208" t="str">
        <f t="shared" si="45"/>
        <v xml:space="preserve"> - </v>
      </c>
      <c r="H67" s="208" t="str">
        <f t="shared" si="46"/>
        <v xml:space="preserve"> - </v>
      </c>
      <c r="N67">
        <f>VLOOKUP(B67,'Данные для сравнения'!$B$4:$C$83,2,FALSE)</f>
        <v>64</v>
      </c>
    </row>
    <row r="68" spans="1:14" x14ac:dyDescent="0.3">
      <c r="B68" s="218" t="s">
        <v>296</v>
      </c>
      <c r="C68" s="227" t="str">
        <f t="shared" si="41"/>
        <v xml:space="preserve"> +</v>
      </c>
      <c r="D68" s="208" t="str">
        <f t="shared" si="42"/>
        <v xml:space="preserve"> - </v>
      </c>
      <c r="E68" s="225" t="str">
        <f t="shared" si="43"/>
        <v xml:space="preserve"> - </v>
      </c>
      <c r="F68" s="223" t="str">
        <f t="shared" si="44"/>
        <v xml:space="preserve"> +</v>
      </c>
      <c r="G68" s="208" t="str">
        <f t="shared" si="45"/>
        <v xml:space="preserve"> - </v>
      </c>
      <c r="H68" s="208" t="str">
        <f t="shared" si="46"/>
        <v xml:space="preserve"> - </v>
      </c>
      <c r="K68" s="147"/>
      <c r="N68">
        <f>VLOOKUP(B68,'Данные для сравнения'!$B$4:$C$83,2,FALSE)</f>
        <v>65</v>
      </c>
    </row>
    <row r="69" spans="1:14" s="11" customFormat="1" ht="15.6" x14ac:dyDescent="0.3">
      <c r="A69" s="180"/>
      <c r="B69" s="361" t="s">
        <v>216</v>
      </c>
      <c r="C69" s="361"/>
      <c r="D69" s="361"/>
      <c r="E69" s="361"/>
      <c r="F69" s="361"/>
      <c r="G69" s="361"/>
      <c r="H69" s="361"/>
      <c r="N69"/>
    </row>
    <row r="70" spans="1:14" s="147" customFormat="1" ht="27.6" x14ac:dyDescent="0.3">
      <c r="B70" s="218" t="s">
        <v>255</v>
      </c>
      <c r="C70" s="226" t="str">
        <f>HLOOKUP($C$2,ЭКСПЕРТ,N70,FALSE)</f>
        <v>+</v>
      </c>
      <c r="D70" s="209" t="str">
        <f>HLOOKUP($C$2,ОПТИМАЛЬНЫЙ,N70,FALSE)</f>
        <v>+</v>
      </c>
      <c r="E70" s="224" t="str">
        <f>HLOOKUP($C$2,МИНИМАЛЬНЫЙ,N70,FALSE)</f>
        <v>+</v>
      </c>
      <c r="F70" s="222" t="str">
        <f>HLOOKUP($F$2,ЭКСПЕРТ,N70,FALSE)</f>
        <v>+</v>
      </c>
      <c r="G70" s="209" t="str">
        <f>HLOOKUP($F$2,ОПТИМАЛЬНЫЙ,N70,FALSE)</f>
        <v>+</v>
      </c>
      <c r="H70" s="209" t="str">
        <f>HLOOKUP($F$2,МИНИМАЛЬНЫЙ,N70,FALSE)</f>
        <v>+</v>
      </c>
      <c r="N70" s="147">
        <f>VLOOKUP(B70,'Данные для сравнения'!$B$4:$C$83,2,FALSE)</f>
        <v>66</v>
      </c>
    </row>
    <row r="71" spans="1:14" s="147" customFormat="1" x14ac:dyDescent="0.3">
      <c r="B71" s="218" t="s">
        <v>52</v>
      </c>
      <c r="C71" s="226" t="str">
        <f>HLOOKUP($C$2,ЭКСПЕРТ,N71,FALSE)</f>
        <v>+</v>
      </c>
      <c r="D71" s="209" t="str">
        <f>HLOOKUP($C$2,ОПТИМАЛЬНЫЙ,N71,FALSE)</f>
        <v>+</v>
      </c>
      <c r="E71" s="224" t="str">
        <f>HLOOKUP($C$2,МИНИМАЛЬНЫЙ,N71,FALSE)</f>
        <v>+</v>
      </c>
      <c r="F71" s="222" t="str">
        <f>HLOOKUP($F$2,ЭКСПЕРТ,N71,FALSE)</f>
        <v>+</v>
      </c>
      <c r="G71" s="209" t="str">
        <f>HLOOKUP($F$2,ОПТИМАЛЬНЫЙ,N71,FALSE)</f>
        <v>+</v>
      </c>
      <c r="H71" s="209" t="str">
        <f>HLOOKUP($F$2,МИНИМАЛЬНЫЙ,N71,FALSE)</f>
        <v>+</v>
      </c>
      <c r="N71" s="147">
        <f>VLOOKUP(B71,'Данные для сравнения'!$B$4:$C$83,2,FALSE)</f>
        <v>68</v>
      </c>
    </row>
    <row r="72" spans="1:14" x14ac:dyDescent="0.3">
      <c r="B72" s="218" t="s">
        <v>254</v>
      </c>
      <c r="C72" s="227" t="str">
        <f t="shared" ref="C72:C83" si="53">HLOOKUP($C$2,ЭКСПЕРТ,N72,FALSE)</f>
        <v>+</v>
      </c>
      <c r="D72" s="208" t="str">
        <f t="shared" ref="D72:D84" si="54">HLOOKUP($C$2,ОПТИМАЛЬНЫЙ,N72,FALSE)</f>
        <v>+</v>
      </c>
      <c r="E72" s="225" t="str">
        <f t="shared" ref="E72:E84" si="55">HLOOKUP($C$2,МИНИМАЛЬНЫЙ,N72,FALSE)</f>
        <v>+</v>
      </c>
      <c r="F72" s="223" t="str">
        <f t="shared" ref="F72:F84" si="56">HLOOKUP($F$2,ЭКСПЕРТ,N72,FALSE)</f>
        <v>+</v>
      </c>
      <c r="G72" s="208" t="str">
        <f t="shared" ref="G72:G84" si="57">HLOOKUP($F$2,ОПТИМАЛЬНЫЙ,N72,FALSE)</f>
        <v>+</v>
      </c>
      <c r="H72" s="208" t="str">
        <f t="shared" ref="H72:H84" si="58">HLOOKUP($F$2,МИНИМАЛЬНЫЙ,N72,FALSE)</f>
        <v>+</v>
      </c>
      <c r="N72">
        <f>VLOOKUP(B72,'Данные для сравнения'!$B$4:$C$83,2,FALSE)</f>
        <v>69</v>
      </c>
    </row>
    <row r="73" spans="1:14" x14ac:dyDescent="0.3">
      <c r="B73" s="219" t="s">
        <v>177</v>
      </c>
      <c r="C73" s="227" t="str">
        <f t="shared" si="53"/>
        <v>+</v>
      </c>
      <c r="D73" s="208" t="str">
        <f t="shared" si="54"/>
        <v>+</v>
      </c>
      <c r="E73" s="225" t="str">
        <f t="shared" si="55"/>
        <v>+</v>
      </c>
      <c r="F73" s="223" t="str">
        <f t="shared" si="56"/>
        <v>+</v>
      </c>
      <c r="G73" s="208" t="str">
        <f t="shared" si="57"/>
        <v>+</v>
      </c>
      <c r="H73" s="208" t="str">
        <f t="shared" si="58"/>
        <v>+</v>
      </c>
      <c r="N73">
        <f>VLOOKUP(B73,'Данные для сравнения'!$B$4:$C$83,2,FALSE)</f>
        <v>70</v>
      </c>
    </row>
    <row r="74" spans="1:14" ht="27.6" x14ac:dyDescent="0.3">
      <c r="B74" s="219" t="s">
        <v>178</v>
      </c>
      <c r="C74" s="227" t="str">
        <f t="shared" si="53"/>
        <v>+</v>
      </c>
      <c r="D74" s="208" t="str">
        <f t="shared" si="54"/>
        <v>+</v>
      </c>
      <c r="E74" s="225" t="str">
        <f t="shared" si="55"/>
        <v>+</v>
      </c>
      <c r="F74" s="223" t="str">
        <f t="shared" si="56"/>
        <v>-</v>
      </c>
      <c r="G74" s="208" t="str">
        <f t="shared" si="57"/>
        <v>-</v>
      </c>
      <c r="H74" s="208" t="str">
        <f t="shared" si="58"/>
        <v>-</v>
      </c>
      <c r="N74">
        <f>VLOOKUP(B74,'Данные для сравнения'!$B$4:$C$83,2,FALSE)</f>
        <v>71</v>
      </c>
    </row>
    <row r="75" spans="1:14" x14ac:dyDescent="0.3">
      <c r="B75" s="219" t="s">
        <v>179</v>
      </c>
      <c r="C75" s="227" t="str">
        <f t="shared" si="53"/>
        <v>+</v>
      </c>
      <c r="D75" s="208" t="str">
        <f t="shared" si="54"/>
        <v>+</v>
      </c>
      <c r="E75" s="225" t="str">
        <f t="shared" si="55"/>
        <v>-</v>
      </c>
      <c r="F75" s="223" t="str">
        <f t="shared" si="56"/>
        <v>+</v>
      </c>
      <c r="G75" s="208" t="str">
        <f t="shared" si="57"/>
        <v>+</v>
      </c>
      <c r="H75" s="208" t="str">
        <f t="shared" si="58"/>
        <v>-</v>
      </c>
      <c r="N75">
        <f>VLOOKUP(B75,'Данные для сравнения'!$B$4:$C$83,2,FALSE)</f>
        <v>72</v>
      </c>
    </row>
    <row r="76" spans="1:14" x14ac:dyDescent="0.3">
      <c r="B76" s="219" t="s">
        <v>53</v>
      </c>
      <c r="C76" s="227" t="str">
        <f t="shared" si="53"/>
        <v>+</v>
      </c>
      <c r="D76" s="208" t="str">
        <f t="shared" si="54"/>
        <v>+</v>
      </c>
      <c r="E76" s="225" t="str">
        <f t="shared" si="55"/>
        <v>-</v>
      </c>
      <c r="F76" s="223" t="str">
        <f t="shared" si="56"/>
        <v>+</v>
      </c>
      <c r="G76" s="208" t="str">
        <f t="shared" si="57"/>
        <v>+</v>
      </c>
      <c r="H76" s="208" t="str">
        <f t="shared" si="58"/>
        <v>-</v>
      </c>
      <c r="N76">
        <f>VLOOKUP(B76,'Данные для сравнения'!$B$4:$C$83,2,FALSE)</f>
        <v>73</v>
      </c>
    </row>
    <row r="77" spans="1:14" x14ac:dyDescent="0.3">
      <c r="B77" s="219" t="s">
        <v>180</v>
      </c>
      <c r="C77" s="227" t="str">
        <f t="shared" si="53"/>
        <v>+</v>
      </c>
      <c r="D77" s="208" t="str">
        <f t="shared" si="54"/>
        <v>+</v>
      </c>
      <c r="E77" s="225" t="str">
        <f t="shared" si="55"/>
        <v>-</v>
      </c>
      <c r="F77" s="223" t="str">
        <f t="shared" si="56"/>
        <v>-</v>
      </c>
      <c r="G77" s="208" t="str">
        <f t="shared" si="57"/>
        <v>-</v>
      </c>
      <c r="H77" s="208" t="str">
        <f t="shared" si="58"/>
        <v>-</v>
      </c>
      <c r="N77">
        <f>VLOOKUP(B77,'Данные для сравнения'!$B$4:$C$83,2,FALSE)</f>
        <v>74</v>
      </c>
    </row>
    <row r="78" spans="1:14" ht="41.4" x14ac:dyDescent="0.3">
      <c r="B78" s="219" t="s">
        <v>181</v>
      </c>
      <c r="C78" s="227" t="str">
        <f t="shared" si="53"/>
        <v>+</v>
      </c>
      <c r="D78" s="208" t="str">
        <f t="shared" si="54"/>
        <v>+</v>
      </c>
      <c r="E78" s="225" t="str">
        <f t="shared" si="55"/>
        <v>+</v>
      </c>
      <c r="F78" s="223" t="str">
        <f t="shared" si="56"/>
        <v>+</v>
      </c>
      <c r="G78" s="208" t="str">
        <f t="shared" si="57"/>
        <v>+</v>
      </c>
      <c r="H78" s="208" t="str">
        <f t="shared" si="58"/>
        <v>+</v>
      </c>
      <c r="N78">
        <f>VLOOKUP(B78,'Данные для сравнения'!$B$4:$C$83,2,FALSE)</f>
        <v>75</v>
      </c>
    </row>
    <row r="79" spans="1:14" x14ac:dyDescent="0.3">
      <c r="B79" s="219" t="s">
        <v>182</v>
      </c>
      <c r="C79" s="227" t="str">
        <f t="shared" si="53"/>
        <v>+</v>
      </c>
      <c r="D79" s="208" t="str">
        <f t="shared" si="54"/>
        <v>+</v>
      </c>
      <c r="E79" s="225" t="str">
        <f t="shared" si="55"/>
        <v>+</v>
      </c>
      <c r="F79" s="223" t="str">
        <f t="shared" si="56"/>
        <v>+</v>
      </c>
      <c r="G79" s="208" t="str">
        <f t="shared" si="57"/>
        <v>+</v>
      </c>
      <c r="H79" s="208" t="str">
        <f t="shared" si="58"/>
        <v>+</v>
      </c>
      <c r="N79">
        <f>VLOOKUP(B79,'Данные для сравнения'!$B$4:$C$83,2,FALSE)</f>
        <v>76</v>
      </c>
    </row>
    <row r="80" spans="1:14" x14ac:dyDescent="0.3">
      <c r="B80" s="219" t="s">
        <v>48</v>
      </c>
      <c r="C80" s="227" t="str">
        <f t="shared" si="53"/>
        <v>+</v>
      </c>
      <c r="D80" s="208" t="str">
        <f t="shared" si="54"/>
        <v>+</v>
      </c>
      <c r="E80" s="225" t="str">
        <f t="shared" si="55"/>
        <v>+</v>
      </c>
      <c r="F80" s="223" t="str">
        <f t="shared" si="56"/>
        <v>-</v>
      </c>
      <c r="G80" s="208" t="str">
        <f t="shared" si="57"/>
        <v>-</v>
      </c>
      <c r="H80" s="208" t="str">
        <f t="shared" si="58"/>
        <v>-</v>
      </c>
      <c r="N80">
        <f>VLOOKUP(B80,'Данные для сравнения'!$B$4:$C$83,2,FALSE)</f>
        <v>77</v>
      </c>
    </row>
    <row r="81" spans="2:14" x14ac:dyDescent="0.3">
      <c r="B81" s="219" t="s">
        <v>75</v>
      </c>
      <c r="C81" s="227" t="str">
        <f t="shared" si="53"/>
        <v>+</v>
      </c>
      <c r="D81" s="208" t="str">
        <f t="shared" si="54"/>
        <v>-</v>
      </c>
      <c r="E81" s="225" t="str">
        <f t="shared" si="55"/>
        <v>-</v>
      </c>
      <c r="F81" s="223" t="str">
        <f t="shared" si="56"/>
        <v>+</v>
      </c>
      <c r="G81" s="208" t="str">
        <f t="shared" si="57"/>
        <v>-</v>
      </c>
      <c r="H81" s="208" t="str">
        <f t="shared" si="58"/>
        <v>-</v>
      </c>
      <c r="N81">
        <f>VLOOKUP(B81,'Данные для сравнения'!$B$4:$C$83,2,FALSE)</f>
        <v>78</v>
      </c>
    </row>
    <row r="82" spans="2:14" x14ac:dyDescent="0.3">
      <c r="B82" s="219" t="s">
        <v>47</v>
      </c>
      <c r="C82" s="227" t="str">
        <f t="shared" si="53"/>
        <v>+</v>
      </c>
      <c r="D82" s="208" t="str">
        <f t="shared" si="54"/>
        <v>+</v>
      </c>
      <c r="E82" s="225" t="str">
        <f t="shared" si="55"/>
        <v>-</v>
      </c>
      <c r="F82" s="223" t="str">
        <f t="shared" si="56"/>
        <v>+</v>
      </c>
      <c r="G82" s="208" t="str">
        <f t="shared" si="57"/>
        <v>+</v>
      </c>
      <c r="H82" s="208" t="str">
        <f t="shared" si="58"/>
        <v>-</v>
      </c>
      <c r="N82">
        <f>VLOOKUP(B82,'Данные для сравнения'!$B$4:$C$83,2,FALSE)</f>
        <v>79</v>
      </c>
    </row>
    <row r="83" spans="2:14" x14ac:dyDescent="0.3">
      <c r="B83" s="219" t="s">
        <v>46</v>
      </c>
      <c r="C83" s="227" t="str">
        <f t="shared" si="53"/>
        <v>+</v>
      </c>
      <c r="D83" s="208" t="str">
        <f t="shared" si="54"/>
        <v>+</v>
      </c>
      <c r="E83" s="225" t="str">
        <f t="shared" si="55"/>
        <v>-</v>
      </c>
      <c r="F83" s="223" t="str">
        <f t="shared" si="56"/>
        <v>+</v>
      </c>
      <c r="G83" s="208" t="str">
        <f t="shared" si="57"/>
        <v>+</v>
      </c>
      <c r="H83" s="208" t="str">
        <f t="shared" si="58"/>
        <v>-</v>
      </c>
      <c r="N83">
        <f>VLOOKUP(B83,'Данные для сравнения'!$B$4:$C$83,2,FALSE)</f>
        <v>80</v>
      </c>
    </row>
    <row r="84" spans="2:14" ht="27.6" x14ac:dyDescent="0.3">
      <c r="B84" s="219" t="s">
        <v>183</v>
      </c>
      <c r="C84" s="227" t="str">
        <f>HLOOKUP($C$2,ЭКСПЕРТ,N84,FALSE)</f>
        <v>по запросу</v>
      </c>
      <c r="D84" s="208" t="str">
        <f t="shared" si="54"/>
        <v>по запросу</v>
      </c>
      <c r="E84" s="225" t="str">
        <f t="shared" si="55"/>
        <v>по запросу</v>
      </c>
      <c r="F84" s="223" t="str">
        <f t="shared" si="56"/>
        <v>по запросу</v>
      </c>
      <c r="G84" s="208" t="str">
        <f t="shared" si="57"/>
        <v>по запросу</v>
      </c>
      <c r="H84" s="208" t="str">
        <f t="shared" si="58"/>
        <v>по запросу</v>
      </c>
      <c r="N84">
        <f>VLOOKUP(B84,'Данные для сравнения'!$B$4:$C$83,2,FALSE)</f>
        <v>81</v>
      </c>
    </row>
    <row r="86" spans="2:14" x14ac:dyDescent="0.3">
      <c r="B86" s="178"/>
    </row>
  </sheetData>
  <mergeCells count="4">
    <mergeCell ref="B69:H69"/>
    <mergeCell ref="C2:E2"/>
    <mergeCell ref="F2:H2"/>
    <mergeCell ref="B4:H4"/>
  </mergeCells>
  <conditionalFormatting sqref="F72:F84 F70 F5:F68">
    <cfRule type="expression" dxfId="212" priority="8">
      <formula>$F5&lt;&gt;$C5</formula>
    </cfRule>
  </conditionalFormatting>
  <conditionalFormatting sqref="G72:G84 G70 G5:G68">
    <cfRule type="expression" dxfId="211" priority="5">
      <formula>$G5&lt;&gt;$D5</formula>
    </cfRule>
  </conditionalFormatting>
  <conditionalFormatting sqref="H72:H84 H70 H5:H68">
    <cfRule type="expression" dxfId="210" priority="4">
      <formula>$H5&lt;&gt;$E5</formula>
    </cfRule>
  </conditionalFormatting>
  <conditionalFormatting sqref="F71">
    <cfRule type="expression" dxfId="209" priority="3">
      <formula>$F71&lt;&gt;$C71</formula>
    </cfRule>
  </conditionalFormatting>
  <conditionalFormatting sqref="G71">
    <cfRule type="expression" dxfId="208" priority="2">
      <formula>$G71&lt;&gt;$D71</formula>
    </cfRule>
  </conditionalFormatting>
  <conditionalFormatting sqref="H71">
    <cfRule type="expression" dxfId="207" priority="1">
      <formula>$H71&lt;&gt;$E71</formula>
    </cfRule>
  </conditionalFormatting>
  <dataValidations count="1">
    <dataValidation type="list" allowBlank="1" showInputMessage="1" showErrorMessage="1" sqref="C2:H2" xr:uid="{9E4FE3D1-5B87-4D79-ACAA-502D03DC2D42}">
      <formula1>"Главный Бухгалтер,Главный Бухгалтер ПРОФ,Предприятие,Предприятие ПРОФ,VIP Предприятие"</formula1>
    </dataValidation>
  </dataValidations>
  <printOptions horizontalCentered="1"/>
  <pageMargins left="0.78740157480314965" right="0.39370078740157483" top="0.78740157480314965" bottom="0.78740157480314965" header="0.31496062992125984" footer="0.31496062992125984"/>
  <pageSetup paperSize="9" scale="76" fitToHeight="1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8FC7D-1931-46E4-99C6-C344CD1A229E}">
  <sheetPr codeName="Лист5"/>
  <dimension ref="A1:BI953"/>
  <sheetViews>
    <sheetView zoomScale="85" zoomScaleNormal="85" workbookViewId="0">
      <selection activeCell="A2" sqref="A2"/>
    </sheetView>
  </sheetViews>
  <sheetFormatPr defaultColWidth="8.88671875" defaultRowHeight="13.8" x14ac:dyDescent="0.3"/>
  <cols>
    <col min="1" max="1" width="47.6640625" customWidth="1"/>
    <col min="2" max="2" width="17.109375" customWidth="1"/>
    <col min="3" max="3" width="11.33203125" customWidth="1"/>
    <col min="4" max="4" width="18" customWidth="1"/>
    <col min="5" max="5" width="19.5546875" customWidth="1"/>
    <col min="6" max="6" width="8.33203125" customWidth="1"/>
    <col min="7" max="7" width="9.109375" customWidth="1"/>
    <col min="8" max="8" width="12.88671875" customWidth="1"/>
    <col min="9" max="9" width="16.6640625" customWidth="1"/>
    <col min="10" max="10" width="17.33203125" hidden="1" customWidth="1"/>
    <col min="11" max="11" width="33.109375" hidden="1" customWidth="1"/>
    <col min="12" max="12" width="14.88671875" hidden="1" customWidth="1"/>
    <col min="13" max="25" width="8.88671875" hidden="1" customWidth="1"/>
    <col min="26" max="26" width="17.6640625" hidden="1" customWidth="1"/>
    <col min="27" max="27" width="45.88671875" hidden="1" customWidth="1"/>
    <col min="28" max="34" width="8.88671875" hidden="1" customWidth="1"/>
    <col min="35" max="35" width="19.109375" hidden="1" customWidth="1"/>
    <col min="36" max="36" width="41.33203125" hidden="1" customWidth="1"/>
    <col min="37" max="46" width="8.88671875" hidden="1" customWidth="1"/>
    <col min="47" max="47" width="17.33203125" hidden="1" customWidth="1"/>
    <col min="48" max="48" width="33.109375" hidden="1" customWidth="1"/>
    <col min="49" max="49" width="14.88671875" hidden="1" customWidth="1"/>
    <col min="50" max="61" width="8.88671875" hidden="1" customWidth="1"/>
    <col min="62" max="65" width="8.88671875" customWidth="1"/>
  </cols>
  <sheetData>
    <row r="1" spans="1:60" ht="54.6" customHeight="1" x14ac:dyDescent="0.3">
      <c r="A1" s="22" t="s">
        <v>7</v>
      </c>
      <c r="B1" s="22" t="s">
        <v>0</v>
      </c>
      <c r="C1" s="21" t="s">
        <v>18</v>
      </c>
      <c r="D1" s="21" t="s">
        <v>70</v>
      </c>
      <c r="E1" s="21" t="s">
        <v>8</v>
      </c>
      <c r="F1" s="23" t="s">
        <v>5</v>
      </c>
      <c r="G1" s="24" t="s">
        <v>58</v>
      </c>
      <c r="H1" s="24" t="s">
        <v>59</v>
      </c>
      <c r="I1" s="24" t="s">
        <v>244</v>
      </c>
      <c r="J1" s="1" t="s">
        <v>19</v>
      </c>
      <c r="M1" s="1" t="s">
        <v>18</v>
      </c>
      <c r="Z1" s="1" t="s">
        <v>6</v>
      </c>
      <c r="AB1" s="1" t="s">
        <v>0</v>
      </c>
      <c r="AU1" s="1" t="s">
        <v>71</v>
      </c>
      <c r="AX1" s="1" t="s">
        <v>18</v>
      </c>
    </row>
    <row r="2" spans="1:60" x14ac:dyDescent="0.3">
      <c r="A2" s="44" t="s">
        <v>10</v>
      </c>
      <c r="B2" s="45" t="s">
        <v>1</v>
      </c>
      <c r="C2" s="45">
        <v>1</v>
      </c>
      <c r="D2" s="121">
        <v>205.64</v>
      </c>
      <c r="E2" s="121">
        <v>246.77</v>
      </c>
      <c r="F2" s="45">
        <v>800</v>
      </c>
      <c r="G2" s="30">
        <v>45931</v>
      </c>
      <c r="H2" s="30"/>
      <c r="I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246.77</v>
      </c>
      <c r="J2" s="1" t="s">
        <v>58</v>
      </c>
      <c r="K2" s="1" t="s">
        <v>7</v>
      </c>
      <c r="L2" s="1" t="s">
        <v>0</v>
      </c>
      <c r="M2">
        <v>1</v>
      </c>
      <c r="N2">
        <v>2</v>
      </c>
      <c r="O2">
        <v>3</v>
      </c>
      <c r="P2">
        <v>4</v>
      </c>
      <c r="Q2">
        <v>5</v>
      </c>
      <c r="R2">
        <v>6</v>
      </c>
      <c r="S2">
        <v>7</v>
      </c>
      <c r="T2">
        <v>8</v>
      </c>
      <c r="U2">
        <v>9</v>
      </c>
      <c r="V2">
        <v>10</v>
      </c>
      <c r="W2" t="s">
        <v>251</v>
      </c>
      <c r="Z2" s="1" t="s">
        <v>58</v>
      </c>
      <c r="AA2" s="1" t="s">
        <v>7</v>
      </c>
      <c r="AB2" t="s">
        <v>16</v>
      </c>
      <c r="AC2" t="s">
        <v>2</v>
      </c>
      <c r="AD2" t="s">
        <v>1</v>
      </c>
      <c r="AE2" t="s">
        <v>3</v>
      </c>
      <c r="AF2" t="s">
        <v>74</v>
      </c>
      <c r="AG2" t="s">
        <v>251</v>
      </c>
      <c r="AI2" s="1" t="s">
        <v>0</v>
      </c>
      <c r="AJ2" s="1" t="s">
        <v>7</v>
      </c>
      <c r="AK2" s="1" t="s">
        <v>59</v>
      </c>
      <c r="AU2" s="1" t="s">
        <v>58</v>
      </c>
      <c r="AV2" s="1" t="s">
        <v>7</v>
      </c>
      <c r="AW2" s="1" t="s">
        <v>0</v>
      </c>
      <c r="AX2">
        <v>1</v>
      </c>
      <c r="AY2">
        <v>2</v>
      </c>
      <c r="AZ2">
        <v>3</v>
      </c>
      <c r="BA2">
        <v>4</v>
      </c>
      <c r="BB2">
        <v>5</v>
      </c>
      <c r="BC2">
        <v>6</v>
      </c>
      <c r="BD2">
        <v>7</v>
      </c>
      <c r="BE2">
        <v>8</v>
      </c>
      <c r="BF2">
        <v>9</v>
      </c>
      <c r="BG2">
        <v>10</v>
      </c>
      <c r="BH2" t="s">
        <v>251</v>
      </c>
    </row>
    <row r="3" spans="1:60" x14ac:dyDescent="0.3">
      <c r="A3" s="44" t="s">
        <v>10</v>
      </c>
      <c r="B3" s="45" t="s">
        <v>1</v>
      </c>
      <c r="C3" s="45">
        <v>2</v>
      </c>
      <c r="D3" s="121">
        <v>171.63</v>
      </c>
      <c r="E3" s="121">
        <v>205.96</v>
      </c>
      <c r="F3" s="45">
        <v>800</v>
      </c>
      <c r="G3" s="30">
        <v>45931</v>
      </c>
      <c r="H3" s="30"/>
      <c r="I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411.91</v>
      </c>
      <c r="J3" s="8">
        <v>45839</v>
      </c>
      <c r="K3" t="s">
        <v>11</v>
      </c>
      <c r="L3" t="s">
        <v>16</v>
      </c>
      <c r="M3" s="9">
        <v>64.36</v>
      </c>
      <c r="N3" s="9">
        <v>58.94</v>
      </c>
      <c r="O3" s="9">
        <v>53.96</v>
      </c>
      <c r="P3" s="9">
        <v>49.49</v>
      </c>
      <c r="Q3" s="9">
        <v>45.3</v>
      </c>
      <c r="R3" s="9">
        <v>41.51</v>
      </c>
      <c r="S3" s="9">
        <v>37.369999999999997</v>
      </c>
      <c r="T3" s="9">
        <v>33.619999999999997</v>
      </c>
      <c r="U3" s="9">
        <v>30.26</v>
      </c>
      <c r="V3" s="9">
        <v>27.54</v>
      </c>
      <c r="W3" s="9"/>
      <c r="Z3" s="8">
        <v>45839</v>
      </c>
      <c r="AA3" t="s">
        <v>11</v>
      </c>
      <c r="AB3" s="124">
        <v>10</v>
      </c>
      <c r="AC3" s="124">
        <v>10</v>
      </c>
      <c r="AD3" s="124">
        <v>10</v>
      </c>
      <c r="AE3" s="124"/>
      <c r="AF3" s="124"/>
      <c r="AG3" s="124"/>
      <c r="AI3" t="s">
        <v>3</v>
      </c>
      <c r="AJ3" t="s">
        <v>10</v>
      </c>
      <c r="AK3" t="s">
        <v>55</v>
      </c>
      <c r="AU3" s="8">
        <v>45839</v>
      </c>
      <c r="AV3" t="s">
        <v>11</v>
      </c>
      <c r="AW3" t="s">
        <v>16</v>
      </c>
      <c r="AX3" s="9">
        <v>53.63</v>
      </c>
      <c r="AY3" s="9">
        <v>49.12</v>
      </c>
      <c r="AZ3" s="9">
        <v>44.97</v>
      </c>
      <c r="BA3" s="9">
        <v>41.24</v>
      </c>
      <c r="BB3" s="9">
        <v>37.75</v>
      </c>
      <c r="BC3" s="9">
        <v>34.590000000000003</v>
      </c>
      <c r="BD3" s="9">
        <v>31.14</v>
      </c>
      <c r="BE3" s="9">
        <v>28.02</v>
      </c>
      <c r="BF3" s="9">
        <v>25.22</v>
      </c>
      <c r="BG3" s="9">
        <v>22.95</v>
      </c>
      <c r="BH3" s="9"/>
    </row>
    <row r="4" spans="1:60" x14ac:dyDescent="0.3">
      <c r="A4" s="44" t="s">
        <v>10</v>
      </c>
      <c r="B4" s="45" t="s">
        <v>1</v>
      </c>
      <c r="C4" s="45">
        <v>3</v>
      </c>
      <c r="D4" s="121">
        <v>134.33000000000001</v>
      </c>
      <c r="E4" s="121">
        <v>161.19999999999999</v>
      </c>
      <c r="F4" s="45">
        <v>800</v>
      </c>
      <c r="G4" s="30">
        <v>45931</v>
      </c>
      <c r="H4" s="30"/>
      <c r="I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483.59</v>
      </c>
      <c r="L4" t="s">
        <v>2</v>
      </c>
      <c r="M4" s="9">
        <v>524.76</v>
      </c>
      <c r="N4" s="9">
        <v>462.97</v>
      </c>
      <c r="O4" s="9">
        <v>408.38</v>
      </c>
      <c r="P4" s="9">
        <v>360.22</v>
      </c>
      <c r="Q4" s="9">
        <v>317.64999999999998</v>
      </c>
      <c r="R4" s="9">
        <v>280.12</v>
      </c>
      <c r="S4" s="9">
        <v>246.97</v>
      </c>
      <c r="T4" s="9">
        <v>220.42</v>
      </c>
      <c r="U4" s="9">
        <v>200.11</v>
      </c>
      <c r="V4" s="9">
        <v>186.44</v>
      </c>
      <c r="W4" s="9"/>
      <c r="AA4" t="s">
        <v>10</v>
      </c>
      <c r="AB4" s="124"/>
      <c r="AC4" s="124">
        <v>5</v>
      </c>
      <c r="AD4" s="124">
        <v>5</v>
      </c>
      <c r="AE4" s="124">
        <v>3</v>
      </c>
      <c r="AF4" s="124"/>
      <c r="AG4" s="124"/>
      <c r="AI4" t="s">
        <v>3</v>
      </c>
      <c r="AJ4" t="s">
        <v>257</v>
      </c>
      <c r="AK4" t="s">
        <v>55</v>
      </c>
      <c r="AW4" t="s">
        <v>2</v>
      </c>
      <c r="AX4" s="9">
        <v>437.3</v>
      </c>
      <c r="AY4" s="9">
        <v>385.81</v>
      </c>
      <c r="AZ4" s="9">
        <v>340.32</v>
      </c>
      <c r="BA4" s="9">
        <v>300.18</v>
      </c>
      <c r="BB4" s="9">
        <v>264.70999999999998</v>
      </c>
      <c r="BC4" s="9">
        <v>233.43</v>
      </c>
      <c r="BD4" s="9">
        <v>205.81</v>
      </c>
      <c r="BE4" s="9">
        <v>183.68</v>
      </c>
      <c r="BF4" s="9">
        <v>166.76</v>
      </c>
      <c r="BG4" s="9">
        <v>155.37</v>
      </c>
      <c r="BH4" s="9"/>
    </row>
    <row r="5" spans="1:60" x14ac:dyDescent="0.3">
      <c r="A5" s="44" t="s">
        <v>10</v>
      </c>
      <c r="B5" s="45" t="s">
        <v>1</v>
      </c>
      <c r="C5" s="45">
        <v>4</v>
      </c>
      <c r="D5" s="121">
        <v>116.77</v>
      </c>
      <c r="E5" s="121">
        <v>140.12</v>
      </c>
      <c r="F5" s="45">
        <v>800</v>
      </c>
      <c r="G5" s="30">
        <v>45931</v>
      </c>
      <c r="H5" s="30"/>
      <c r="I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560.5</v>
      </c>
      <c r="L5" t="s">
        <v>1</v>
      </c>
      <c r="M5" s="9">
        <v>845.88</v>
      </c>
      <c r="N5" s="9">
        <v>747.98</v>
      </c>
      <c r="O5" s="9">
        <v>661.4</v>
      </c>
      <c r="P5" s="9">
        <v>584.82000000000005</v>
      </c>
      <c r="Q5" s="9">
        <v>517.02</v>
      </c>
      <c r="R5" s="9">
        <v>456.96</v>
      </c>
      <c r="S5" s="9">
        <v>403.96</v>
      </c>
      <c r="T5" s="9">
        <v>361.42</v>
      </c>
      <c r="U5" s="9">
        <v>328.8</v>
      </c>
      <c r="V5" s="9">
        <v>307.12</v>
      </c>
      <c r="W5" s="9"/>
      <c r="AA5" t="s">
        <v>49</v>
      </c>
      <c r="AB5" s="124"/>
      <c r="AC5" s="124"/>
      <c r="AD5" s="124">
        <v>1</v>
      </c>
      <c r="AE5" s="124"/>
      <c r="AF5" s="124"/>
      <c r="AG5" s="124"/>
      <c r="AI5" t="s">
        <v>3</v>
      </c>
      <c r="AJ5" t="s">
        <v>312</v>
      </c>
      <c r="AK5" t="s">
        <v>55</v>
      </c>
      <c r="AW5" t="s">
        <v>1</v>
      </c>
      <c r="AX5" s="9">
        <v>704.9</v>
      </c>
      <c r="AY5" s="9">
        <v>623.32000000000005</v>
      </c>
      <c r="AZ5" s="9">
        <v>551.16999999999996</v>
      </c>
      <c r="BA5" s="9">
        <v>487.35</v>
      </c>
      <c r="BB5" s="9">
        <v>430.85</v>
      </c>
      <c r="BC5" s="9">
        <v>380.8</v>
      </c>
      <c r="BD5" s="9">
        <v>336.63</v>
      </c>
      <c r="BE5" s="9">
        <v>301.18</v>
      </c>
      <c r="BF5" s="9">
        <v>274</v>
      </c>
      <c r="BG5" s="9">
        <v>255.93</v>
      </c>
      <c r="BH5" s="9"/>
    </row>
    <row r="6" spans="1:60" x14ac:dyDescent="0.3">
      <c r="A6" s="44" t="s">
        <v>10</v>
      </c>
      <c r="B6" s="45" t="s">
        <v>1</v>
      </c>
      <c r="C6" s="45">
        <v>5</v>
      </c>
      <c r="D6" s="121">
        <v>101.13</v>
      </c>
      <c r="E6" s="121">
        <v>121.36</v>
      </c>
      <c r="F6" s="45">
        <v>800</v>
      </c>
      <c r="G6" s="30">
        <v>45931</v>
      </c>
      <c r="H6" s="30"/>
      <c r="I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606.78</v>
      </c>
      <c r="K6" t="s">
        <v>10</v>
      </c>
      <c r="L6" t="s">
        <v>2</v>
      </c>
      <c r="M6" s="9">
        <v>141.47999999999999</v>
      </c>
      <c r="N6" s="9">
        <v>117.53</v>
      </c>
      <c r="O6" s="9">
        <v>91.46</v>
      </c>
      <c r="P6" s="9">
        <v>79.09</v>
      </c>
      <c r="Q6" s="9">
        <v>68.14</v>
      </c>
      <c r="R6" s="9"/>
      <c r="S6" s="9"/>
      <c r="T6" s="9"/>
      <c r="U6" s="9"/>
      <c r="V6" s="9"/>
      <c r="W6" s="9"/>
      <c r="AA6" t="s">
        <v>4</v>
      </c>
      <c r="AB6" s="124">
        <v>5</v>
      </c>
      <c r="AC6" s="124">
        <v>10</v>
      </c>
      <c r="AD6" s="124">
        <v>10</v>
      </c>
      <c r="AE6" s="124"/>
      <c r="AF6" s="124"/>
      <c r="AG6" s="124"/>
      <c r="AI6" t="s">
        <v>3</v>
      </c>
      <c r="AJ6" t="s">
        <v>313</v>
      </c>
      <c r="AK6" t="s">
        <v>55</v>
      </c>
      <c r="AV6" t="s">
        <v>10</v>
      </c>
      <c r="AW6" t="s">
        <v>2</v>
      </c>
      <c r="AX6" s="9">
        <v>117.9</v>
      </c>
      <c r="AY6" s="9">
        <v>97.94</v>
      </c>
      <c r="AZ6" s="9">
        <v>76.22</v>
      </c>
      <c r="BA6" s="9">
        <v>65.91</v>
      </c>
      <c r="BB6" s="9">
        <v>56.78</v>
      </c>
      <c r="BC6" s="9"/>
      <c r="BD6" s="9"/>
      <c r="BE6" s="9"/>
      <c r="BF6" s="9"/>
      <c r="BG6" s="9"/>
      <c r="BH6" s="9"/>
    </row>
    <row r="7" spans="1:60" x14ac:dyDescent="0.3">
      <c r="A7" s="44" t="s">
        <v>10</v>
      </c>
      <c r="B7" s="45" t="s">
        <v>2</v>
      </c>
      <c r="C7" s="45">
        <v>1</v>
      </c>
      <c r="D7" s="121">
        <v>121.41</v>
      </c>
      <c r="E7" s="122">
        <v>145.69</v>
      </c>
      <c r="F7" s="45">
        <v>400</v>
      </c>
      <c r="G7" s="30">
        <v>45931</v>
      </c>
      <c r="H7" s="30"/>
      <c r="I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145.69</v>
      </c>
      <c r="L7" t="s">
        <v>1</v>
      </c>
      <c r="M7" s="9">
        <v>236.81</v>
      </c>
      <c r="N7" s="9">
        <v>197.05</v>
      </c>
      <c r="O7" s="9">
        <v>153.78</v>
      </c>
      <c r="P7" s="9">
        <v>133.28</v>
      </c>
      <c r="Q7" s="9">
        <v>115.09</v>
      </c>
      <c r="R7" s="9"/>
      <c r="S7" s="9"/>
      <c r="T7" s="9"/>
      <c r="U7" s="9"/>
      <c r="V7" s="9"/>
      <c r="W7" s="9"/>
      <c r="AA7" t="s">
        <v>50</v>
      </c>
      <c r="AB7" s="124">
        <v>1</v>
      </c>
      <c r="AC7" s="124">
        <v>1</v>
      </c>
      <c r="AD7" s="124">
        <v>1</v>
      </c>
      <c r="AE7" s="124"/>
      <c r="AF7" s="124"/>
      <c r="AG7" s="124"/>
      <c r="AI7" t="s">
        <v>3</v>
      </c>
      <c r="AJ7" t="s">
        <v>314</v>
      </c>
      <c r="AK7" t="s">
        <v>55</v>
      </c>
      <c r="AW7" t="s">
        <v>1</v>
      </c>
      <c r="AX7" s="9">
        <v>197.34</v>
      </c>
      <c r="AY7" s="9">
        <v>164.21</v>
      </c>
      <c r="AZ7" s="9">
        <v>128.15</v>
      </c>
      <c r="BA7" s="9">
        <v>111.07</v>
      </c>
      <c r="BB7" s="9">
        <v>95.91</v>
      </c>
      <c r="BC7" s="9"/>
      <c r="BD7" s="9"/>
      <c r="BE7" s="9"/>
      <c r="BF7" s="9"/>
      <c r="BG7" s="9"/>
      <c r="BH7" s="9"/>
    </row>
    <row r="8" spans="1:60" x14ac:dyDescent="0.3">
      <c r="A8" s="44" t="s">
        <v>10</v>
      </c>
      <c r="B8" s="45" t="s">
        <v>2</v>
      </c>
      <c r="C8" s="45">
        <v>2</v>
      </c>
      <c r="D8" s="121">
        <v>101.16</v>
      </c>
      <c r="E8" s="122">
        <v>121.39</v>
      </c>
      <c r="F8" s="45">
        <v>400</v>
      </c>
      <c r="G8" s="30">
        <v>45931</v>
      </c>
      <c r="H8" s="30"/>
      <c r="I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242.78</v>
      </c>
      <c r="L8" t="s">
        <v>3</v>
      </c>
      <c r="M8" s="9">
        <v>37.090000000000003</v>
      </c>
      <c r="N8" s="9">
        <v>34.020000000000003</v>
      </c>
      <c r="O8" s="9">
        <v>33.72</v>
      </c>
      <c r="P8" s="9"/>
      <c r="Q8" s="9"/>
      <c r="R8" s="9"/>
      <c r="S8" s="9"/>
      <c r="T8" s="9"/>
      <c r="U8" s="9"/>
      <c r="V8" s="9"/>
      <c r="W8" s="9"/>
      <c r="AA8" t="s">
        <v>9</v>
      </c>
      <c r="AB8" s="124">
        <v>10</v>
      </c>
      <c r="AC8" s="124">
        <v>10</v>
      </c>
      <c r="AD8" s="124">
        <v>10</v>
      </c>
      <c r="AE8" s="124"/>
      <c r="AF8" s="124"/>
      <c r="AG8" s="124"/>
      <c r="AI8" t="s">
        <v>3</v>
      </c>
      <c r="AJ8" t="s">
        <v>315</v>
      </c>
      <c r="AK8" t="s">
        <v>55</v>
      </c>
      <c r="AW8" t="s">
        <v>3</v>
      </c>
      <c r="AX8" s="9">
        <v>30.91</v>
      </c>
      <c r="AY8" s="9">
        <v>28.35</v>
      </c>
      <c r="AZ8" s="9">
        <v>28.1</v>
      </c>
      <c r="BA8" s="9"/>
      <c r="BB8" s="9"/>
      <c r="BC8" s="9"/>
      <c r="BD8" s="9"/>
      <c r="BE8" s="9"/>
      <c r="BF8" s="9"/>
      <c r="BG8" s="9"/>
      <c r="BH8" s="9"/>
    </row>
    <row r="9" spans="1:60" x14ac:dyDescent="0.3">
      <c r="A9" s="44" t="s">
        <v>10</v>
      </c>
      <c r="B9" s="45" t="s">
        <v>2</v>
      </c>
      <c r="C9" s="45">
        <v>3</v>
      </c>
      <c r="D9" s="121">
        <v>78.95</v>
      </c>
      <c r="E9" s="122">
        <v>94.74</v>
      </c>
      <c r="F9" s="45">
        <v>400</v>
      </c>
      <c r="G9" s="30">
        <v>45931</v>
      </c>
      <c r="H9" s="30"/>
      <c r="I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284.22000000000003</v>
      </c>
      <c r="K9" t="s">
        <v>4</v>
      </c>
      <c r="L9" t="s">
        <v>16</v>
      </c>
      <c r="M9" s="9">
        <v>42.79</v>
      </c>
      <c r="N9" s="9">
        <v>39.229999999999997</v>
      </c>
      <c r="O9" s="9">
        <v>38.93</v>
      </c>
      <c r="P9" s="9">
        <v>38.68</v>
      </c>
      <c r="Q9" s="9">
        <v>38.340000000000003</v>
      </c>
      <c r="R9" s="9"/>
      <c r="S9" s="9"/>
      <c r="T9" s="9"/>
      <c r="U9" s="9"/>
      <c r="V9" s="9"/>
      <c r="W9" s="9"/>
      <c r="AA9" t="s">
        <v>51</v>
      </c>
      <c r="AB9" s="124">
        <v>1</v>
      </c>
      <c r="AC9" s="124">
        <v>1</v>
      </c>
      <c r="AD9" s="124">
        <v>1</v>
      </c>
      <c r="AE9" s="124"/>
      <c r="AF9" s="124"/>
      <c r="AG9" s="124"/>
      <c r="AI9" t="s">
        <v>16</v>
      </c>
      <c r="AJ9" t="s">
        <v>11</v>
      </c>
      <c r="AK9" t="s">
        <v>55</v>
      </c>
      <c r="AV9" t="s">
        <v>4</v>
      </c>
      <c r="AW9" t="s">
        <v>16</v>
      </c>
      <c r="AX9" s="9">
        <v>35.659999999999997</v>
      </c>
      <c r="AY9" s="9">
        <v>32.69</v>
      </c>
      <c r="AZ9" s="9">
        <v>32.44</v>
      </c>
      <c r="BA9" s="9">
        <v>32.229999999999997</v>
      </c>
      <c r="BB9" s="9">
        <v>31.95</v>
      </c>
      <c r="BC9" s="9"/>
      <c r="BD9" s="9"/>
      <c r="BE9" s="9"/>
      <c r="BF9" s="9"/>
      <c r="BG9" s="9"/>
      <c r="BH9" s="9"/>
    </row>
    <row r="10" spans="1:60" x14ac:dyDescent="0.3">
      <c r="A10" s="44" t="s">
        <v>10</v>
      </c>
      <c r="B10" s="45" t="s">
        <v>2</v>
      </c>
      <c r="C10" s="45">
        <v>4</v>
      </c>
      <c r="D10" s="121">
        <v>68.48</v>
      </c>
      <c r="E10" s="122">
        <v>82.18</v>
      </c>
      <c r="F10" s="45">
        <v>400</v>
      </c>
      <c r="G10" s="30">
        <v>45931</v>
      </c>
      <c r="H10" s="30"/>
      <c r="I1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328.7</v>
      </c>
      <c r="L10" t="s">
        <v>2</v>
      </c>
      <c r="M10" s="9">
        <v>161.86000000000001</v>
      </c>
      <c r="N10" s="9">
        <v>134.35</v>
      </c>
      <c r="O10" s="9">
        <v>104.57</v>
      </c>
      <c r="P10" s="9">
        <v>90.4</v>
      </c>
      <c r="Q10" s="9">
        <v>77.83</v>
      </c>
      <c r="R10" s="9">
        <v>77.260000000000005</v>
      </c>
      <c r="S10" s="9">
        <v>75.319999999999993</v>
      </c>
      <c r="T10" s="9">
        <v>73.44</v>
      </c>
      <c r="U10" s="9">
        <v>71.599999999999994</v>
      </c>
      <c r="V10" s="9">
        <v>69.84</v>
      </c>
      <c r="W10" s="9"/>
      <c r="AA10" t="s">
        <v>73</v>
      </c>
      <c r="AB10" s="124">
        <v>1</v>
      </c>
      <c r="AC10" s="124">
        <v>1</v>
      </c>
      <c r="AD10" s="124">
        <v>1</v>
      </c>
      <c r="AE10" s="124"/>
      <c r="AF10" s="124"/>
      <c r="AG10" s="124"/>
      <c r="AI10" t="s">
        <v>16</v>
      </c>
      <c r="AJ10" t="s">
        <v>4</v>
      </c>
      <c r="AK10" t="s">
        <v>55</v>
      </c>
      <c r="AW10" t="s">
        <v>2</v>
      </c>
      <c r="AX10" s="9">
        <v>134.88</v>
      </c>
      <c r="AY10" s="9">
        <v>111.96</v>
      </c>
      <c r="AZ10" s="9">
        <v>87.14</v>
      </c>
      <c r="BA10" s="9">
        <v>75.33</v>
      </c>
      <c r="BB10" s="9">
        <v>64.86</v>
      </c>
      <c r="BC10" s="9">
        <v>64.38</v>
      </c>
      <c r="BD10" s="9">
        <v>62.77</v>
      </c>
      <c r="BE10" s="9">
        <v>61.2</v>
      </c>
      <c r="BF10" s="9">
        <v>59.67</v>
      </c>
      <c r="BG10" s="9">
        <v>58.2</v>
      </c>
      <c r="BH10" s="9"/>
    </row>
    <row r="11" spans="1:60" x14ac:dyDescent="0.3">
      <c r="A11" s="44" t="s">
        <v>10</v>
      </c>
      <c r="B11" s="45" t="s">
        <v>2</v>
      </c>
      <c r="C11" s="45">
        <v>5</v>
      </c>
      <c r="D11" s="121">
        <v>59.16</v>
      </c>
      <c r="E11" s="122">
        <v>70.989999999999995</v>
      </c>
      <c r="F11" s="45">
        <v>400</v>
      </c>
      <c r="G11" s="30">
        <v>45931</v>
      </c>
      <c r="H11" s="30"/>
      <c r="I1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354.96</v>
      </c>
      <c r="L11" t="s">
        <v>1</v>
      </c>
      <c r="M11" s="9">
        <v>291.25</v>
      </c>
      <c r="N11" s="9">
        <v>242.44</v>
      </c>
      <c r="O11" s="9">
        <v>189.16</v>
      </c>
      <c r="P11" s="9">
        <v>163.91</v>
      </c>
      <c r="Q11" s="9">
        <v>141.52000000000001</v>
      </c>
      <c r="R11" s="9">
        <v>140.41999999999999</v>
      </c>
      <c r="S11" s="9">
        <v>136.94</v>
      </c>
      <c r="T11" s="9">
        <v>133.49</v>
      </c>
      <c r="U11" s="9">
        <v>130.15</v>
      </c>
      <c r="V11" s="9">
        <v>126.9</v>
      </c>
      <c r="W11" s="9"/>
      <c r="AA11" t="s">
        <v>245</v>
      </c>
      <c r="AB11" s="124"/>
      <c r="AC11" s="124"/>
      <c r="AD11" s="124"/>
      <c r="AE11" s="124"/>
      <c r="AF11" s="124"/>
      <c r="AG11" s="124"/>
      <c r="AI11" t="s">
        <v>16</v>
      </c>
      <c r="AJ11" t="s">
        <v>50</v>
      </c>
      <c r="AK11" t="s">
        <v>55</v>
      </c>
      <c r="AW11" t="s">
        <v>1</v>
      </c>
      <c r="AX11" s="9">
        <v>242.71</v>
      </c>
      <c r="AY11" s="9">
        <v>202.03</v>
      </c>
      <c r="AZ11" s="9">
        <v>157.63</v>
      </c>
      <c r="BA11" s="9">
        <v>136.59</v>
      </c>
      <c r="BB11" s="9">
        <v>117.93</v>
      </c>
      <c r="BC11" s="9">
        <v>117.02</v>
      </c>
      <c r="BD11" s="9">
        <v>114.12</v>
      </c>
      <c r="BE11" s="9">
        <v>111.24</v>
      </c>
      <c r="BF11" s="9">
        <v>108.46</v>
      </c>
      <c r="BG11" s="9">
        <v>105.75</v>
      </c>
      <c r="BH11" s="9"/>
    </row>
    <row r="12" spans="1:60" x14ac:dyDescent="0.3">
      <c r="A12" s="44" t="s">
        <v>10</v>
      </c>
      <c r="B12" s="45" t="s">
        <v>3</v>
      </c>
      <c r="C12" s="163">
        <v>1</v>
      </c>
      <c r="D12" s="164">
        <v>31.55</v>
      </c>
      <c r="E12" s="165">
        <v>37.86</v>
      </c>
      <c r="F12" s="155">
        <v>60</v>
      </c>
      <c r="G12" s="30">
        <v>45931</v>
      </c>
      <c r="H12" s="156"/>
      <c r="I1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37.86</v>
      </c>
      <c r="K12" t="s">
        <v>9</v>
      </c>
      <c r="L12" t="s">
        <v>16</v>
      </c>
      <c r="M12" s="9">
        <v>55.38</v>
      </c>
      <c r="N12" s="9">
        <v>50.75</v>
      </c>
      <c r="O12" s="9">
        <v>46.51</v>
      </c>
      <c r="P12" s="9">
        <v>42.54</v>
      </c>
      <c r="Q12" s="9">
        <v>38.99</v>
      </c>
      <c r="R12" s="9">
        <v>35.74</v>
      </c>
      <c r="S12" s="9">
        <v>32.15</v>
      </c>
      <c r="T12" s="9">
        <v>28.91</v>
      </c>
      <c r="U12" s="9">
        <v>26.05</v>
      </c>
      <c r="V12" s="9">
        <v>23.74</v>
      </c>
      <c r="W12" s="9"/>
      <c r="AA12" t="s">
        <v>246</v>
      </c>
      <c r="AB12" s="124"/>
      <c r="AC12" s="124"/>
      <c r="AD12" s="124"/>
      <c r="AE12" s="124"/>
      <c r="AF12" s="124"/>
      <c r="AG12" s="124"/>
      <c r="AI12" t="s">
        <v>16</v>
      </c>
      <c r="AJ12" t="s">
        <v>9</v>
      </c>
      <c r="AK12" t="s">
        <v>55</v>
      </c>
      <c r="AV12" t="s">
        <v>9</v>
      </c>
      <c r="AW12" t="s">
        <v>16</v>
      </c>
      <c r="AX12" s="9">
        <v>46.15</v>
      </c>
      <c r="AY12" s="9">
        <v>42.29</v>
      </c>
      <c r="AZ12" s="9">
        <v>38.76</v>
      </c>
      <c r="BA12" s="9">
        <v>35.450000000000003</v>
      </c>
      <c r="BB12" s="9">
        <v>32.49</v>
      </c>
      <c r="BC12" s="9">
        <v>29.78</v>
      </c>
      <c r="BD12" s="9">
        <v>26.79</v>
      </c>
      <c r="BE12" s="9">
        <v>24.09</v>
      </c>
      <c r="BF12" s="9">
        <v>21.71</v>
      </c>
      <c r="BG12" s="9">
        <v>19.78</v>
      </c>
      <c r="BH12" s="9"/>
    </row>
    <row r="13" spans="1:60" x14ac:dyDescent="0.3">
      <c r="A13" s="44" t="s">
        <v>10</v>
      </c>
      <c r="B13" s="45" t="s">
        <v>3</v>
      </c>
      <c r="C13" s="163">
        <v>2</v>
      </c>
      <c r="D13" s="164">
        <v>29.02</v>
      </c>
      <c r="E13" s="165">
        <v>34.82</v>
      </c>
      <c r="F13" s="155">
        <v>60</v>
      </c>
      <c r="G13" s="30">
        <v>45931</v>
      </c>
      <c r="H13" s="156"/>
      <c r="I1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69.650000000000006</v>
      </c>
      <c r="L13" t="s">
        <v>2</v>
      </c>
      <c r="M13" s="9">
        <v>318.83</v>
      </c>
      <c r="N13" s="9">
        <v>264.68</v>
      </c>
      <c r="O13" s="9">
        <v>206.04</v>
      </c>
      <c r="P13" s="9">
        <v>178.22</v>
      </c>
      <c r="Q13" s="9">
        <v>153.47999999999999</v>
      </c>
      <c r="R13" s="9">
        <v>135.32</v>
      </c>
      <c r="S13" s="9">
        <v>119.26</v>
      </c>
      <c r="T13" s="9">
        <v>106.46</v>
      </c>
      <c r="U13" s="9">
        <v>96.66</v>
      </c>
      <c r="V13" s="9">
        <v>90.05</v>
      </c>
      <c r="W13" s="9"/>
      <c r="AA13" t="s">
        <v>252</v>
      </c>
      <c r="AB13" s="124"/>
      <c r="AC13" s="124"/>
      <c r="AD13" s="124"/>
      <c r="AE13" s="124"/>
      <c r="AF13" s="124"/>
      <c r="AG13" s="124"/>
      <c r="AI13" t="s">
        <v>16</v>
      </c>
      <c r="AJ13" t="s">
        <v>51</v>
      </c>
      <c r="AK13" t="s">
        <v>55</v>
      </c>
      <c r="AW13" t="s">
        <v>2</v>
      </c>
      <c r="AX13" s="9">
        <v>265.69</v>
      </c>
      <c r="AY13" s="9">
        <v>220.57</v>
      </c>
      <c r="AZ13" s="9">
        <v>171.7</v>
      </c>
      <c r="BA13" s="9">
        <v>148.52000000000001</v>
      </c>
      <c r="BB13" s="9">
        <v>127.9</v>
      </c>
      <c r="BC13" s="9">
        <v>112.77</v>
      </c>
      <c r="BD13" s="9">
        <v>99.38</v>
      </c>
      <c r="BE13" s="9">
        <v>88.72</v>
      </c>
      <c r="BF13" s="9">
        <v>80.55</v>
      </c>
      <c r="BG13" s="9">
        <v>75.040000000000006</v>
      </c>
      <c r="BH13" s="9"/>
    </row>
    <row r="14" spans="1:60" x14ac:dyDescent="0.3">
      <c r="A14" s="44" t="s">
        <v>10</v>
      </c>
      <c r="B14" s="45" t="s">
        <v>3</v>
      </c>
      <c r="C14" s="45">
        <v>3</v>
      </c>
      <c r="D14" s="121">
        <v>28.86</v>
      </c>
      <c r="E14" s="122">
        <v>34.630000000000003</v>
      </c>
      <c r="F14" s="45">
        <v>60</v>
      </c>
      <c r="G14" s="30">
        <v>45931</v>
      </c>
      <c r="H14" s="30"/>
      <c r="I1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103.9</v>
      </c>
      <c r="L14" t="s">
        <v>1</v>
      </c>
      <c r="M14" s="9">
        <v>669.77</v>
      </c>
      <c r="N14" s="9">
        <v>557.52</v>
      </c>
      <c r="O14" s="9">
        <v>434.92</v>
      </c>
      <c r="P14" s="9">
        <v>377.05</v>
      </c>
      <c r="Q14" s="9">
        <v>325.45</v>
      </c>
      <c r="R14" s="9">
        <v>287.74</v>
      </c>
      <c r="S14" s="9">
        <v>254.23</v>
      </c>
      <c r="T14" s="9">
        <v>227.44</v>
      </c>
      <c r="U14" s="9">
        <v>207.08</v>
      </c>
      <c r="V14" s="9">
        <v>193.48</v>
      </c>
      <c r="W14" s="9"/>
      <c r="AA14" t="s">
        <v>253</v>
      </c>
      <c r="AB14" s="124"/>
      <c r="AC14" s="124"/>
      <c r="AD14" s="124"/>
      <c r="AE14" s="124"/>
      <c r="AF14" s="124"/>
      <c r="AG14" s="124"/>
      <c r="AI14" t="s">
        <v>16</v>
      </c>
      <c r="AJ14" t="s">
        <v>73</v>
      </c>
      <c r="AK14" t="s">
        <v>55</v>
      </c>
      <c r="AW14" t="s">
        <v>1</v>
      </c>
      <c r="AX14" s="9">
        <v>558.14</v>
      </c>
      <c r="AY14" s="9">
        <v>464.6</v>
      </c>
      <c r="AZ14" s="9">
        <v>362.43</v>
      </c>
      <c r="BA14" s="9">
        <v>314.20999999999998</v>
      </c>
      <c r="BB14" s="9">
        <v>271.20999999999998</v>
      </c>
      <c r="BC14" s="9">
        <v>239.78</v>
      </c>
      <c r="BD14" s="9">
        <v>211.86</v>
      </c>
      <c r="BE14" s="9">
        <v>189.53</v>
      </c>
      <c r="BF14" s="9">
        <v>172.57</v>
      </c>
      <c r="BG14" s="9">
        <v>161.22999999999999</v>
      </c>
      <c r="BH14" s="9"/>
    </row>
    <row r="15" spans="1:60" x14ac:dyDescent="0.3">
      <c r="A15" s="44" t="s">
        <v>4</v>
      </c>
      <c r="B15" s="45" t="s">
        <v>1</v>
      </c>
      <c r="C15" s="45">
        <v>1</v>
      </c>
      <c r="D15" s="121">
        <v>254.42</v>
      </c>
      <c r="E15" s="122">
        <v>305.3</v>
      </c>
      <c r="F15" s="45">
        <v>800</v>
      </c>
      <c r="G15" s="30">
        <v>45931</v>
      </c>
      <c r="H15" s="30"/>
      <c r="I1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305.3</v>
      </c>
      <c r="K15" t="s">
        <v>50</v>
      </c>
      <c r="L15" t="s">
        <v>16</v>
      </c>
      <c r="M15" s="9">
        <v>99.37</v>
      </c>
      <c r="N15" s="9"/>
      <c r="O15" s="9"/>
      <c r="P15" s="9"/>
      <c r="Q15" s="9"/>
      <c r="R15" s="9"/>
      <c r="S15" s="9"/>
      <c r="T15" s="9"/>
      <c r="U15" s="9"/>
      <c r="V15" s="9"/>
      <c r="W15" s="9"/>
      <c r="AA15" t="s">
        <v>257</v>
      </c>
      <c r="AB15" s="124"/>
      <c r="AC15" s="124">
        <v>5</v>
      </c>
      <c r="AD15" s="124">
        <v>5</v>
      </c>
      <c r="AE15" s="124">
        <v>3</v>
      </c>
      <c r="AF15" s="124"/>
      <c r="AG15" s="124"/>
      <c r="AI15" t="s">
        <v>16</v>
      </c>
      <c r="AJ15" t="s">
        <v>258</v>
      </c>
      <c r="AK15" t="s">
        <v>55</v>
      </c>
      <c r="AV15" t="s">
        <v>50</v>
      </c>
      <c r="AW15" t="s">
        <v>16</v>
      </c>
      <c r="AX15" s="9">
        <v>82.81</v>
      </c>
      <c r="AY15" s="9"/>
      <c r="AZ15" s="9"/>
      <c r="BA15" s="9"/>
      <c r="BB15" s="9"/>
      <c r="BC15" s="9"/>
      <c r="BD15" s="9"/>
      <c r="BE15" s="9"/>
      <c r="BF15" s="9"/>
      <c r="BG15" s="9"/>
      <c r="BH15" s="9"/>
    </row>
    <row r="16" spans="1:60" x14ac:dyDescent="0.3">
      <c r="A16" s="44" t="s">
        <v>4</v>
      </c>
      <c r="B16" s="45" t="s">
        <v>1</v>
      </c>
      <c r="C16" s="45">
        <v>2</v>
      </c>
      <c r="D16" s="121">
        <v>212.4</v>
      </c>
      <c r="E16" s="122">
        <v>254.88</v>
      </c>
      <c r="F16" s="45">
        <v>800</v>
      </c>
      <c r="G16" s="30">
        <v>45931</v>
      </c>
      <c r="H16" s="30"/>
      <c r="I1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509.76</v>
      </c>
      <c r="L16" t="s">
        <v>2</v>
      </c>
      <c r="M16" s="9">
        <v>235.28</v>
      </c>
      <c r="N16" s="9"/>
      <c r="O16" s="9"/>
      <c r="P16" s="9"/>
      <c r="Q16" s="9"/>
      <c r="R16" s="9"/>
      <c r="S16" s="9"/>
      <c r="T16" s="9"/>
      <c r="U16" s="9"/>
      <c r="V16" s="9"/>
      <c r="W16" s="9"/>
      <c r="AA16" t="s">
        <v>258</v>
      </c>
      <c r="AB16" s="124">
        <v>5</v>
      </c>
      <c r="AC16" s="124">
        <v>10</v>
      </c>
      <c r="AD16" s="124">
        <v>10</v>
      </c>
      <c r="AE16" s="124"/>
      <c r="AF16" s="124"/>
      <c r="AG16" s="124"/>
      <c r="AI16" t="s">
        <v>16</v>
      </c>
      <c r="AJ16" t="s">
        <v>259</v>
      </c>
      <c r="AK16" t="s">
        <v>55</v>
      </c>
      <c r="AW16" t="s">
        <v>2</v>
      </c>
      <c r="AX16" s="9">
        <v>196.07</v>
      </c>
      <c r="AY16" s="9"/>
      <c r="AZ16" s="9"/>
      <c r="BA16" s="9"/>
      <c r="BB16" s="9"/>
      <c r="BC16" s="9"/>
      <c r="BD16" s="9"/>
      <c r="BE16" s="9"/>
      <c r="BF16" s="9"/>
      <c r="BG16" s="9"/>
      <c r="BH16" s="9"/>
    </row>
    <row r="17" spans="1:60" x14ac:dyDescent="0.3">
      <c r="A17" s="44" t="s">
        <v>4</v>
      </c>
      <c r="B17" s="45" t="s">
        <v>1</v>
      </c>
      <c r="C17" s="45">
        <v>3</v>
      </c>
      <c r="D17" s="121">
        <v>166.21</v>
      </c>
      <c r="E17" s="122">
        <v>199.45</v>
      </c>
      <c r="F17" s="45">
        <v>800</v>
      </c>
      <c r="G17" s="30">
        <v>45931</v>
      </c>
      <c r="H17" s="30"/>
      <c r="I1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598.36</v>
      </c>
      <c r="L17" t="s">
        <v>1</v>
      </c>
      <c r="M17" s="9">
        <v>593.22</v>
      </c>
      <c r="N17" s="9"/>
      <c r="O17" s="9"/>
      <c r="P17" s="9"/>
      <c r="Q17" s="9"/>
      <c r="R17" s="9"/>
      <c r="S17" s="9"/>
      <c r="T17" s="9"/>
      <c r="U17" s="9"/>
      <c r="V17" s="9"/>
      <c r="W17" s="9"/>
      <c r="AA17" t="s">
        <v>259</v>
      </c>
      <c r="AB17" s="124">
        <v>10</v>
      </c>
      <c r="AC17" s="124">
        <v>10</v>
      </c>
      <c r="AD17" s="124">
        <v>10</v>
      </c>
      <c r="AE17" s="124"/>
      <c r="AF17" s="124"/>
      <c r="AG17" s="124"/>
      <c r="AI17" t="s">
        <v>16</v>
      </c>
      <c r="AJ17" t="s">
        <v>260</v>
      </c>
      <c r="AK17" t="s">
        <v>55</v>
      </c>
      <c r="AW17" t="s">
        <v>1</v>
      </c>
      <c r="AX17" s="9">
        <v>494.35</v>
      </c>
      <c r="AY17" s="9"/>
      <c r="AZ17" s="9"/>
      <c r="BA17" s="9"/>
      <c r="BB17" s="9"/>
      <c r="BC17" s="9"/>
      <c r="BD17" s="9"/>
      <c r="BE17" s="9"/>
      <c r="BF17" s="9"/>
      <c r="BG17" s="9"/>
      <c r="BH17" s="9"/>
    </row>
    <row r="18" spans="1:60" x14ac:dyDescent="0.3">
      <c r="A18" s="44" t="s">
        <v>4</v>
      </c>
      <c r="B18" s="45" t="s">
        <v>1</v>
      </c>
      <c r="C18" s="45">
        <v>4</v>
      </c>
      <c r="D18" s="121">
        <v>144.44999999999999</v>
      </c>
      <c r="E18" s="122">
        <v>173.34</v>
      </c>
      <c r="F18" s="45">
        <v>800</v>
      </c>
      <c r="G18" s="30">
        <v>45931</v>
      </c>
      <c r="H18" s="30"/>
      <c r="I1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693.36</v>
      </c>
      <c r="K18" t="s">
        <v>51</v>
      </c>
      <c r="L18" t="s">
        <v>16</v>
      </c>
      <c r="M18" s="9">
        <v>176.87</v>
      </c>
      <c r="N18" s="9"/>
      <c r="O18" s="9"/>
      <c r="P18" s="9"/>
      <c r="Q18" s="9"/>
      <c r="R18" s="9"/>
      <c r="S18" s="9"/>
      <c r="T18" s="9"/>
      <c r="U18" s="9"/>
      <c r="V18" s="9"/>
      <c r="W18" s="9"/>
      <c r="AA18" t="s">
        <v>260</v>
      </c>
      <c r="AB18" s="124">
        <v>10</v>
      </c>
      <c r="AC18" s="124">
        <v>10</v>
      </c>
      <c r="AD18" s="124">
        <v>10</v>
      </c>
      <c r="AE18" s="124"/>
      <c r="AF18" s="124"/>
      <c r="AG18" s="124"/>
      <c r="AI18" t="s">
        <v>16</v>
      </c>
      <c r="AJ18" t="s">
        <v>262</v>
      </c>
      <c r="AK18" t="s">
        <v>55</v>
      </c>
      <c r="AV18" t="s">
        <v>51</v>
      </c>
      <c r="AW18" t="s">
        <v>16</v>
      </c>
      <c r="AX18" s="9">
        <v>147.38999999999999</v>
      </c>
      <c r="AY18" s="9"/>
      <c r="AZ18" s="9"/>
      <c r="BA18" s="9"/>
      <c r="BB18" s="9"/>
      <c r="BC18" s="9"/>
      <c r="BD18" s="9"/>
      <c r="BE18" s="9"/>
      <c r="BF18" s="9"/>
      <c r="BG18" s="9"/>
      <c r="BH18" s="9"/>
    </row>
    <row r="19" spans="1:60" x14ac:dyDescent="0.3">
      <c r="A19" s="44" t="s">
        <v>4</v>
      </c>
      <c r="B19" s="45" t="s">
        <v>1</v>
      </c>
      <c r="C19" s="163">
        <v>5</v>
      </c>
      <c r="D19" s="164">
        <v>125.08</v>
      </c>
      <c r="E19" s="165">
        <v>150.1</v>
      </c>
      <c r="F19" s="45">
        <v>800</v>
      </c>
      <c r="G19" s="30">
        <v>45931</v>
      </c>
      <c r="H19" s="30"/>
      <c r="I1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750.48</v>
      </c>
      <c r="L19" t="s">
        <v>2</v>
      </c>
      <c r="M19" s="9">
        <v>419.18</v>
      </c>
      <c r="N19" s="9"/>
      <c r="O19" s="9"/>
      <c r="P19" s="9"/>
      <c r="Q19" s="9"/>
      <c r="R19" s="9"/>
      <c r="S19" s="9"/>
      <c r="T19" s="9"/>
      <c r="U19" s="9"/>
      <c r="V19" s="9"/>
      <c r="W19" s="9"/>
      <c r="AA19" t="s">
        <v>261</v>
      </c>
      <c r="AB19" s="124"/>
      <c r="AC19" s="124"/>
      <c r="AD19" s="124">
        <v>1</v>
      </c>
      <c r="AE19" s="124"/>
      <c r="AF19" s="124"/>
      <c r="AG19" s="124"/>
      <c r="AI19" t="s">
        <v>16</v>
      </c>
      <c r="AJ19" t="s">
        <v>263</v>
      </c>
      <c r="AK19" t="s">
        <v>55</v>
      </c>
      <c r="AW19" t="s">
        <v>2</v>
      </c>
      <c r="AX19" s="9">
        <v>349.32</v>
      </c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x14ac:dyDescent="0.3">
      <c r="A20" s="44" t="s">
        <v>4</v>
      </c>
      <c r="B20" s="45" t="s">
        <v>1</v>
      </c>
      <c r="C20" s="163">
        <v>6</v>
      </c>
      <c r="D20" s="164">
        <v>124.49</v>
      </c>
      <c r="E20" s="165">
        <v>149.38999999999999</v>
      </c>
      <c r="F20" s="45">
        <v>800</v>
      </c>
      <c r="G20" s="30">
        <v>45931</v>
      </c>
      <c r="H20" s="30"/>
      <c r="I2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896.33</v>
      </c>
      <c r="L20" t="s">
        <v>1</v>
      </c>
      <c r="M20" s="9">
        <v>1083.06</v>
      </c>
      <c r="N20" s="9"/>
      <c r="O20" s="9"/>
      <c r="P20" s="9"/>
      <c r="Q20" s="9"/>
      <c r="R20" s="9"/>
      <c r="S20" s="9"/>
      <c r="T20" s="9"/>
      <c r="U20" s="9"/>
      <c r="V20" s="9"/>
      <c r="W20" s="9"/>
      <c r="AA20" t="s">
        <v>262</v>
      </c>
      <c r="AB20" s="124">
        <v>1</v>
      </c>
      <c r="AC20" s="124">
        <v>1</v>
      </c>
      <c r="AD20" s="124">
        <v>1</v>
      </c>
      <c r="AE20" s="124"/>
      <c r="AF20" s="124"/>
      <c r="AG20" s="124"/>
      <c r="AI20" t="s">
        <v>16</v>
      </c>
      <c r="AJ20" t="s">
        <v>264</v>
      </c>
      <c r="AK20" t="s">
        <v>55</v>
      </c>
      <c r="AW20" t="s">
        <v>1</v>
      </c>
      <c r="AX20" s="9">
        <v>902.55</v>
      </c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x14ac:dyDescent="0.3">
      <c r="A21" s="44" t="s">
        <v>4</v>
      </c>
      <c r="B21" s="45" t="s">
        <v>1</v>
      </c>
      <c r="C21" s="163">
        <v>7</v>
      </c>
      <c r="D21" s="164">
        <v>121.39</v>
      </c>
      <c r="E21" s="165">
        <v>145.66999999999999</v>
      </c>
      <c r="F21" s="45">
        <v>800</v>
      </c>
      <c r="G21" s="30">
        <v>45931</v>
      </c>
      <c r="H21" s="30"/>
      <c r="I2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1019.68</v>
      </c>
      <c r="K21" t="s">
        <v>49</v>
      </c>
      <c r="L21" t="s">
        <v>1</v>
      </c>
      <c r="M21" s="9">
        <v>468</v>
      </c>
      <c r="N21" s="9"/>
      <c r="O21" s="9"/>
      <c r="P21" s="9"/>
      <c r="Q21" s="9"/>
      <c r="R21" s="9"/>
      <c r="S21" s="9"/>
      <c r="T21" s="9"/>
      <c r="U21" s="9"/>
      <c r="V21" s="9"/>
      <c r="W21" s="9"/>
      <c r="AA21" t="s">
        <v>263</v>
      </c>
      <c r="AB21" s="124">
        <v>1</v>
      </c>
      <c r="AC21" s="124">
        <v>1</v>
      </c>
      <c r="AD21" s="124">
        <v>1</v>
      </c>
      <c r="AE21" s="124"/>
      <c r="AF21" s="124"/>
      <c r="AG21" s="124"/>
      <c r="AI21" t="s">
        <v>2</v>
      </c>
      <c r="AJ21" t="s">
        <v>11</v>
      </c>
      <c r="AK21" t="s">
        <v>55</v>
      </c>
      <c r="AV21" t="s">
        <v>49</v>
      </c>
      <c r="AW21" t="s">
        <v>1</v>
      </c>
      <c r="AX21" s="9">
        <v>390</v>
      </c>
      <c r="AY21" s="9"/>
      <c r="AZ21" s="9"/>
      <c r="BA21" s="9"/>
      <c r="BB21" s="9"/>
      <c r="BC21" s="9"/>
      <c r="BD21" s="9"/>
      <c r="BE21" s="9"/>
      <c r="BF21" s="9"/>
      <c r="BG21" s="9"/>
      <c r="BH21" s="9"/>
    </row>
    <row r="22" spans="1:60" x14ac:dyDescent="0.3">
      <c r="A22" s="44" t="s">
        <v>4</v>
      </c>
      <c r="B22" s="45" t="s">
        <v>1</v>
      </c>
      <c r="C22" s="163">
        <v>8</v>
      </c>
      <c r="D22" s="164">
        <v>118.33</v>
      </c>
      <c r="E22" s="165">
        <v>142</v>
      </c>
      <c r="F22" s="45">
        <v>800</v>
      </c>
      <c r="G22" s="30">
        <v>45931</v>
      </c>
      <c r="H22" s="30"/>
      <c r="I2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1135.97</v>
      </c>
      <c r="K22" t="s">
        <v>73</v>
      </c>
      <c r="L22" t="s">
        <v>16</v>
      </c>
      <c r="M22" s="9">
        <v>374.87</v>
      </c>
      <c r="N22" s="9"/>
      <c r="O22" s="9"/>
      <c r="P22" s="9"/>
      <c r="Q22" s="9"/>
      <c r="R22" s="9"/>
      <c r="S22" s="9"/>
      <c r="T22" s="9"/>
      <c r="U22" s="9"/>
      <c r="V22" s="9"/>
      <c r="W22" s="9"/>
      <c r="AA22" t="s">
        <v>264</v>
      </c>
      <c r="AB22" s="124">
        <v>1</v>
      </c>
      <c r="AC22" s="124">
        <v>1</v>
      </c>
      <c r="AD22" s="124">
        <v>1</v>
      </c>
      <c r="AE22" s="124"/>
      <c r="AF22" s="124"/>
      <c r="AG22" s="124"/>
      <c r="AI22" t="s">
        <v>2</v>
      </c>
      <c r="AJ22" t="s">
        <v>10</v>
      </c>
      <c r="AK22" t="s">
        <v>55</v>
      </c>
      <c r="AV22" t="s">
        <v>73</v>
      </c>
      <c r="AW22" t="s">
        <v>16</v>
      </c>
      <c r="AX22" s="9">
        <v>312.39</v>
      </c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x14ac:dyDescent="0.3">
      <c r="A23" s="44" t="s">
        <v>4</v>
      </c>
      <c r="B23" s="45" t="s">
        <v>1</v>
      </c>
      <c r="C23" s="163">
        <v>9</v>
      </c>
      <c r="D23" s="164">
        <v>115.38</v>
      </c>
      <c r="E23" s="165">
        <v>138.46</v>
      </c>
      <c r="F23" s="45">
        <v>800</v>
      </c>
      <c r="G23" s="30">
        <v>45931</v>
      </c>
      <c r="H23" s="30"/>
      <c r="I2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1246.0999999999999</v>
      </c>
      <c r="L23" t="s">
        <v>2</v>
      </c>
      <c r="M23" s="9">
        <v>857.42</v>
      </c>
      <c r="N23" s="9"/>
      <c r="O23" s="9"/>
      <c r="P23" s="9"/>
      <c r="Q23" s="9"/>
      <c r="R23" s="9"/>
      <c r="S23" s="9"/>
      <c r="T23" s="9"/>
      <c r="U23" s="9"/>
      <c r="V23" s="9"/>
      <c r="W23" s="9"/>
      <c r="AA23" t="s">
        <v>312</v>
      </c>
      <c r="AB23" s="124"/>
      <c r="AC23" s="124">
        <v>1</v>
      </c>
      <c r="AD23" s="124">
        <v>1</v>
      </c>
      <c r="AE23" s="124">
        <v>1</v>
      </c>
      <c r="AF23" s="124">
        <v>1</v>
      </c>
      <c r="AG23" s="124"/>
      <c r="AI23" t="s">
        <v>2</v>
      </c>
      <c r="AJ23" t="s">
        <v>4</v>
      </c>
      <c r="AK23" t="s">
        <v>55</v>
      </c>
      <c r="AW23" t="s">
        <v>2</v>
      </c>
      <c r="AX23" s="9">
        <v>714.52</v>
      </c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x14ac:dyDescent="0.3">
      <c r="A24" s="44" t="s">
        <v>4</v>
      </c>
      <c r="B24" s="45" t="s">
        <v>1</v>
      </c>
      <c r="C24" s="45">
        <v>10</v>
      </c>
      <c r="D24" s="121">
        <v>112.5</v>
      </c>
      <c r="E24" s="122">
        <v>135</v>
      </c>
      <c r="F24" s="45">
        <v>800</v>
      </c>
      <c r="G24" s="30">
        <v>45931</v>
      </c>
      <c r="H24" s="30"/>
      <c r="I2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1350</v>
      </c>
      <c r="L24" t="s">
        <v>1</v>
      </c>
      <c r="M24" s="9">
        <v>2193.96</v>
      </c>
      <c r="N24" s="9"/>
      <c r="O24" s="9"/>
      <c r="P24" s="9"/>
      <c r="Q24" s="9"/>
      <c r="R24" s="9"/>
      <c r="S24" s="9"/>
      <c r="T24" s="9"/>
      <c r="U24" s="9"/>
      <c r="V24" s="9"/>
      <c r="W24" s="9"/>
      <c r="AA24" t="s">
        <v>313</v>
      </c>
      <c r="AB24" s="124"/>
      <c r="AC24" s="124">
        <v>1</v>
      </c>
      <c r="AD24" s="124">
        <v>1</v>
      </c>
      <c r="AE24" s="124">
        <v>1</v>
      </c>
      <c r="AF24" s="124">
        <v>1</v>
      </c>
      <c r="AG24" s="124"/>
      <c r="AI24" t="s">
        <v>2</v>
      </c>
      <c r="AJ24" t="s">
        <v>50</v>
      </c>
      <c r="AK24" t="s">
        <v>55</v>
      </c>
      <c r="AW24" t="s">
        <v>1</v>
      </c>
      <c r="AX24" s="9">
        <v>1828.3</v>
      </c>
      <c r="AY24" s="9"/>
      <c r="AZ24" s="9"/>
      <c r="BA24" s="9"/>
      <c r="BB24" s="9"/>
      <c r="BC24" s="9"/>
      <c r="BD24" s="9"/>
      <c r="BE24" s="9"/>
      <c r="BF24" s="9"/>
      <c r="BG24" s="9"/>
      <c r="BH24" s="9"/>
    </row>
    <row r="25" spans="1:60" x14ac:dyDescent="0.3">
      <c r="A25" s="44" t="s">
        <v>4</v>
      </c>
      <c r="B25" s="45" t="s">
        <v>2</v>
      </c>
      <c r="C25" s="45">
        <v>1</v>
      </c>
      <c r="D25" s="121">
        <v>139.72</v>
      </c>
      <c r="E25" s="122">
        <v>167.66</v>
      </c>
      <c r="F25" s="45">
        <v>400</v>
      </c>
      <c r="G25" s="30">
        <v>45931</v>
      </c>
      <c r="H25" s="30"/>
      <c r="I2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167.66</v>
      </c>
      <c r="K25" t="s">
        <v>245</v>
      </c>
      <c r="L25" t="s">
        <v>251</v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>
        <v>15.36</v>
      </c>
      <c r="AA25" t="s">
        <v>314</v>
      </c>
      <c r="AB25" s="124"/>
      <c r="AC25" s="124">
        <v>1</v>
      </c>
      <c r="AD25" s="124">
        <v>1</v>
      </c>
      <c r="AE25" s="124">
        <v>1</v>
      </c>
      <c r="AF25" s="124">
        <v>1</v>
      </c>
      <c r="AG25" s="124"/>
      <c r="AI25" t="s">
        <v>2</v>
      </c>
      <c r="AJ25" t="s">
        <v>9</v>
      </c>
      <c r="AK25" t="s">
        <v>55</v>
      </c>
      <c r="AV25" t="s">
        <v>245</v>
      </c>
      <c r="AW25" t="s">
        <v>251</v>
      </c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>
        <v>12.8</v>
      </c>
    </row>
    <row r="26" spans="1:60" x14ac:dyDescent="0.3">
      <c r="A26" s="44" t="s">
        <v>4</v>
      </c>
      <c r="B26" s="45" t="s">
        <v>2</v>
      </c>
      <c r="C26" s="45">
        <v>2</v>
      </c>
      <c r="D26" s="121">
        <v>116.32</v>
      </c>
      <c r="E26" s="122">
        <v>139.58000000000001</v>
      </c>
      <c r="F26" s="45">
        <v>400</v>
      </c>
      <c r="G26" s="30">
        <v>45931</v>
      </c>
      <c r="H26" s="30"/>
      <c r="I2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279.17</v>
      </c>
      <c r="K26" t="s">
        <v>246</v>
      </c>
      <c r="L26" t="s">
        <v>251</v>
      </c>
      <c r="M26" s="9"/>
      <c r="N26" s="9"/>
      <c r="O26" s="9"/>
      <c r="P26" s="9"/>
      <c r="Q26" s="9"/>
      <c r="R26" s="9"/>
      <c r="S26" s="9"/>
      <c r="T26" s="9"/>
      <c r="U26" s="9"/>
      <c r="V26" s="9"/>
      <c r="W26" s="9">
        <v>14.9</v>
      </c>
      <c r="AA26" t="s">
        <v>315</v>
      </c>
      <c r="AB26" s="124"/>
      <c r="AC26" s="124">
        <v>1</v>
      </c>
      <c r="AD26" s="124">
        <v>1</v>
      </c>
      <c r="AE26" s="124">
        <v>1</v>
      </c>
      <c r="AF26" s="124">
        <v>1</v>
      </c>
      <c r="AG26" s="124"/>
      <c r="AI26" t="s">
        <v>2</v>
      </c>
      <c r="AJ26" t="s">
        <v>51</v>
      </c>
      <c r="AK26" t="s">
        <v>55</v>
      </c>
      <c r="AV26" t="s">
        <v>246</v>
      </c>
      <c r="AW26" t="s">
        <v>251</v>
      </c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>
        <v>12.42</v>
      </c>
    </row>
    <row r="27" spans="1:60" x14ac:dyDescent="0.3">
      <c r="A27" s="44" t="s">
        <v>4</v>
      </c>
      <c r="B27" s="45" t="s">
        <v>2</v>
      </c>
      <c r="C27" s="45">
        <v>3</v>
      </c>
      <c r="D27" s="121">
        <v>90.81</v>
      </c>
      <c r="E27" s="122">
        <v>108.97</v>
      </c>
      <c r="F27" s="45">
        <v>400</v>
      </c>
      <c r="G27" s="30">
        <v>45931</v>
      </c>
      <c r="H27" s="30"/>
      <c r="I2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326.92</v>
      </c>
      <c r="K27" t="s">
        <v>252</v>
      </c>
      <c r="L27" t="s">
        <v>251</v>
      </c>
      <c r="M27" s="9"/>
      <c r="N27" s="9"/>
      <c r="O27" s="9"/>
      <c r="P27" s="9"/>
      <c r="Q27" s="9"/>
      <c r="R27" s="9"/>
      <c r="S27" s="9"/>
      <c r="T27" s="9"/>
      <c r="U27" s="9"/>
      <c r="V27" s="9"/>
      <c r="W27" s="9">
        <v>15.36</v>
      </c>
      <c r="AA27" t="s">
        <v>316</v>
      </c>
      <c r="AB27" s="124"/>
      <c r="AC27" s="124"/>
      <c r="AD27" s="124"/>
      <c r="AE27" s="124"/>
      <c r="AF27" s="124"/>
      <c r="AG27" s="124"/>
      <c r="AI27" t="s">
        <v>2</v>
      </c>
      <c r="AJ27" t="s">
        <v>73</v>
      </c>
      <c r="AK27" t="s">
        <v>55</v>
      </c>
      <c r="AV27" t="s">
        <v>252</v>
      </c>
      <c r="AW27" t="s">
        <v>251</v>
      </c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>
        <v>12.8</v>
      </c>
    </row>
    <row r="28" spans="1:60" x14ac:dyDescent="0.3">
      <c r="A28" s="44" t="s">
        <v>4</v>
      </c>
      <c r="B28" s="45" t="s">
        <v>2</v>
      </c>
      <c r="C28" s="45">
        <v>4</v>
      </c>
      <c r="D28" s="121">
        <v>78.73</v>
      </c>
      <c r="E28" s="122">
        <v>94.48</v>
      </c>
      <c r="F28" s="45">
        <v>400</v>
      </c>
      <c r="G28" s="30">
        <v>45931</v>
      </c>
      <c r="H28" s="30"/>
      <c r="I2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377.9</v>
      </c>
      <c r="K28" t="s">
        <v>253</v>
      </c>
      <c r="L28" t="s">
        <v>251</v>
      </c>
      <c r="M28" s="9"/>
      <c r="N28" s="9"/>
      <c r="O28" s="9"/>
      <c r="P28" s="9"/>
      <c r="Q28" s="9"/>
      <c r="R28" s="9"/>
      <c r="S28" s="9"/>
      <c r="T28" s="9"/>
      <c r="U28" s="9"/>
      <c r="V28" s="9"/>
      <c r="W28" s="9">
        <v>14.9</v>
      </c>
      <c r="AA28" t="s">
        <v>318</v>
      </c>
      <c r="AB28" s="124"/>
      <c r="AC28" s="124"/>
      <c r="AD28" s="124"/>
      <c r="AE28" s="124"/>
      <c r="AF28" s="124"/>
      <c r="AG28" s="124"/>
      <c r="AI28" t="s">
        <v>2</v>
      </c>
      <c r="AJ28" t="s">
        <v>257</v>
      </c>
      <c r="AK28" t="s">
        <v>55</v>
      </c>
      <c r="AV28" t="s">
        <v>253</v>
      </c>
      <c r="AW28" t="s">
        <v>251</v>
      </c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>
        <v>12.42</v>
      </c>
    </row>
    <row r="29" spans="1:60" x14ac:dyDescent="0.3">
      <c r="A29" s="162" t="s">
        <v>4</v>
      </c>
      <c r="B29" s="163" t="s">
        <v>2</v>
      </c>
      <c r="C29" s="163">
        <v>5</v>
      </c>
      <c r="D29" s="164">
        <v>67.989999999999995</v>
      </c>
      <c r="E29" s="165">
        <v>81.59</v>
      </c>
      <c r="F29" s="45">
        <v>400</v>
      </c>
      <c r="G29" s="30">
        <v>45931</v>
      </c>
      <c r="H29" s="30"/>
      <c r="I2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407.94</v>
      </c>
      <c r="K29" t="s">
        <v>257</v>
      </c>
      <c r="L29" t="s">
        <v>2</v>
      </c>
      <c r="M29" s="9">
        <v>141.47999999999999</v>
      </c>
      <c r="N29" s="9">
        <v>117.53</v>
      </c>
      <c r="O29" s="9">
        <v>91.46</v>
      </c>
      <c r="P29" s="9">
        <v>79.09</v>
      </c>
      <c r="Q29" s="9">
        <v>68.14</v>
      </c>
      <c r="R29" s="9"/>
      <c r="S29" s="9"/>
      <c r="T29" s="9"/>
      <c r="U29" s="9"/>
      <c r="V29" s="9"/>
      <c r="W29" s="9"/>
      <c r="Z29" s="8">
        <v>45870</v>
      </c>
      <c r="AA29" t="s">
        <v>11</v>
      </c>
      <c r="AB29" s="124">
        <v>10</v>
      </c>
      <c r="AC29" s="124">
        <v>10</v>
      </c>
      <c r="AD29" s="124">
        <v>10</v>
      </c>
      <c r="AE29" s="124"/>
      <c r="AF29" s="124"/>
      <c r="AG29" s="124"/>
      <c r="AI29" t="s">
        <v>2</v>
      </c>
      <c r="AJ29" t="s">
        <v>258</v>
      </c>
      <c r="AK29" t="s">
        <v>55</v>
      </c>
      <c r="AV29" t="s">
        <v>257</v>
      </c>
      <c r="AW29" t="s">
        <v>2</v>
      </c>
      <c r="AX29" s="9">
        <v>117.9</v>
      </c>
      <c r="AY29" s="9">
        <v>97.94</v>
      </c>
      <c r="AZ29" s="9">
        <v>76.22</v>
      </c>
      <c r="BA29" s="9">
        <v>65.91</v>
      </c>
      <c r="BB29" s="9">
        <v>56.78</v>
      </c>
      <c r="BC29" s="9"/>
      <c r="BD29" s="9"/>
      <c r="BE29" s="9"/>
      <c r="BF29" s="9"/>
      <c r="BG29" s="9"/>
      <c r="BH29" s="9"/>
    </row>
    <row r="30" spans="1:60" x14ac:dyDescent="0.3">
      <c r="A30" s="162" t="s">
        <v>4</v>
      </c>
      <c r="B30" s="163" t="s">
        <v>2</v>
      </c>
      <c r="C30" s="163">
        <v>6</v>
      </c>
      <c r="D30" s="164">
        <v>67.680000000000007</v>
      </c>
      <c r="E30" s="165">
        <v>81.22</v>
      </c>
      <c r="F30" s="45">
        <v>400</v>
      </c>
      <c r="G30" s="30">
        <v>45931</v>
      </c>
      <c r="H30" s="30"/>
      <c r="I3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487.3</v>
      </c>
      <c r="L30" t="s">
        <v>1</v>
      </c>
      <c r="M30" s="9">
        <v>236.81</v>
      </c>
      <c r="N30" s="9">
        <v>197.05</v>
      </c>
      <c r="O30" s="9">
        <v>153.78</v>
      </c>
      <c r="P30" s="9">
        <v>133.28</v>
      </c>
      <c r="Q30" s="9">
        <v>115.09</v>
      </c>
      <c r="R30" s="9"/>
      <c r="S30" s="9"/>
      <c r="T30" s="9"/>
      <c r="U30" s="9"/>
      <c r="V30" s="9"/>
      <c r="W30" s="9"/>
      <c r="AA30" t="s">
        <v>10</v>
      </c>
      <c r="AB30" s="124"/>
      <c r="AC30" s="124">
        <v>5</v>
      </c>
      <c r="AD30" s="124">
        <v>5</v>
      </c>
      <c r="AE30" s="124">
        <v>3</v>
      </c>
      <c r="AF30" s="124"/>
      <c r="AG30" s="124"/>
      <c r="AI30" t="s">
        <v>2</v>
      </c>
      <c r="AJ30" t="s">
        <v>259</v>
      </c>
      <c r="AK30" t="s">
        <v>55</v>
      </c>
      <c r="AW30" t="s">
        <v>1</v>
      </c>
      <c r="AX30" s="9">
        <v>197.34</v>
      </c>
      <c r="AY30" s="9">
        <v>164.21</v>
      </c>
      <c r="AZ30" s="9">
        <v>128.15</v>
      </c>
      <c r="BA30" s="9">
        <v>111.07</v>
      </c>
      <c r="BB30" s="9">
        <v>95.91</v>
      </c>
      <c r="BC30" s="9"/>
      <c r="BD30" s="9"/>
      <c r="BE30" s="9"/>
      <c r="BF30" s="9"/>
      <c r="BG30" s="9"/>
      <c r="BH30" s="9"/>
    </row>
    <row r="31" spans="1:60" x14ac:dyDescent="0.3">
      <c r="A31" s="162" t="s">
        <v>4</v>
      </c>
      <c r="B31" s="163" t="s">
        <v>2</v>
      </c>
      <c r="C31" s="163">
        <v>7</v>
      </c>
      <c r="D31" s="164">
        <v>65.989999999999995</v>
      </c>
      <c r="E31" s="165">
        <v>79.19</v>
      </c>
      <c r="F31" s="45">
        <v>400</v>
      </c>
      <c r="G31" s="30">
        <v>45931</v>
      </c>
      <c r="H31" s="30"/>
      <c r="I3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554.32000000000005</v>
      </c>
      <c r="L31" t="s">
        <v>3</v>
      </c>
      <c r="M31" s="9">
        <v>37.090000000000003</v>
      </c>
      <c r="N31" s="9">
        <v>34.020000000000003</v>
      </c>
      <c r="O31" s="9">
        <v>33.72</v>
      </c>
      <c r="P31" s="9"/>
      <c r="Q31" s="9"/>
      <c r="R31" s="9"/>
      <c r="S31" s="9"/>
      <c r="T31" s="9"/>
      <c r="U31" s="9"/>
      <c r="V31" s="9"/>
      <c r="W31" s="9"/>
      <c r="AA31" t="s">
        <v>49</v>
      </c>
      <c r="AB31" s="124"/>
      <c r="AC31" s="124"/>
      <c r="AD31" s="124">
        <v>1</v>
      </c>
      <c r="AE31" s="124"/>
      <c r="AF31" s="124"/>
      <c r="AG31" s="124"/>
      <c r="AI31" t="s">
        <v>2</v>
      </c>
      <c r="AJ31" t="s">
        <v>260</v>
      </c>
      <c r="AK31" t="s">
        <v>55</v>
      </c>
      <c r="AW31" t="s">
        <v>3</v>
      </c>
      <c r="AX31" s="9">
        <v>30.91</v>
      </c>
      <c r="AY31" s="9">
        <v>28.35</v>
      </c>
      <c r="AZ31" s="9">
        <v>28.1</v>
      </c>
      <c r="BA31" s="9"/>
      <c r="BB31" s="9"/>
      <c r="BC31" s="9"/>
      <c r="BD31" s="9"/>
      <c r="BE31" s="9"/>
      <c r="BF31" s="9"/>
      <c r="BG31" s="9"/>
      <c r="BH31" s="9"/>
    </row>
    <row r="32" spans="1:60" x14ac:dyDescent="0.3">
      <c r="A32" s="162" t="s">
        <v>4</v>
      </c>
      <c r="B32" s="163" t="s">
        <v>2</v>
      </c>
      <c r="C32" s="163">
        <v>8</v>
      </c>
      <c r="D32" s="164">
        <v>64.349999999999994</v>
      </c>
      <c r="E32" s="165">
        <v>77.22</v>
      </c>
      <c r="F32" s="45">
        <v>400</v>
      </c>
      <c r="G32" s="30">
        <v>45931</v>
      </c>
      <c r="H32" s="30"/>
      <c r="I3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617.76</v>
      </c>
      <c r="K32" t="s">
        <v>258</v>
      </c>
      <c r="L32" t="s">
        <v>16</v>
      </c>
      <c r="M32" s="9">
        <v>42.79</v>
      </c>
      <c r="N32" s="9">
        <v>39.229999999999997</v>
      </c>
      <c r="O32" s="9">
        <v>38.93</v>
      </c>
      <c r="P32" s="9">
        <v>38.68</v>
      </c>
      <c r="Q32" s="9">
        <v>38.340000000000003</v>
      </c>
      <c r="R32" s="9"/>
      <c r="S32" s="9"/>
      <c r="T32" s="9"/>
      <c r="U32" s="9"/>
      <c r="V32" s="9"/>
      <c r="W32" s="9"/>
      <c r="AA32" t="s">
        <v>4</v>
      </c>
      <c r="AB32" s="124">
        <v>5</v>
      </c>
      <c r="AC32" s="124">
        <v>10</v>
      </c>
      <c r="AD32" s="124">
        <v>10</v>
      </c>
      <c r="AE32" s="124"/>
      <c r="AF32" s="124"/>
      <c r="AG32" s="124"/>
      <c r="AI32" t="s">
        <v>2</v>
      </c>
      <c r="AJ32" t="s">
        <v>262</v>
      </c>
      <c r="AK32" t="s">
        <v>55</v>
      </c>
      <c r="AV32" t="s">
        <v>258</v>
      </c>
      <c r="AW32" t="s">
        <v>16</v>
      </c>
      <c r="AX32" s="9">
        <v>35.659999999999997</v>
      </c>
      <c r="AY32" s="9">
        <v>32.69</v>
      </c>
      <c r="AZ32" s="9">
        <v>32.44</v>
      </c>
      <c r="BA32" s="9">
        <v>32.229999999999997</v>
      </c>
      <c r="BB32" s="9">
        <v>31.95</v>
      </c>
      <c r="BC32" s="9"/>
      <c r="BD32" s="9"/>
      <c r="BE32" s="9"/>
      <c r="BF32" s="9"/>
      <c r="BG32" s="9"/>
      <c r="BH32" s="9"/>
    </row>
    <row r="33" spans="1:60" x14ac:dyDescent="0.3">
      <c r="A33" s="162" t="s">
        <v>4</v>
      </c>
      <c r="B33" s="163" t="s">
        <v>2</v>
      </c>
      <c r="C33" s="163">
        <v>9</v>
      </c>
      <c r="D33" s="164">
        <v>62.73</v>
      </c>
      <c r="E33" s="165">
        <v>75.28</v>
      </c>
      <c r="F33" s="45">
        <v>400</v>
      </c>
      <c r="G33" s="30">
        <v>45931</v>
      </c>
      <c r="H33" s="30"/>
      <c r="I3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677.48</v>
      </c>
      <c r="L33" t="s">
        <v>2</v>
      </c>
      <c r="M33" s="9">
        <v>161.86000000000001</v>
      </c>
      <c r="N33" s="9">
        <v>134.35</v>
      </c>
      <c r="O33" s="9">
        <v>104.57</v>
      </c>
      <c r="P33" s="9">
        <v>90.4</v>
      </c>
      <c r="Q33" s="9">
        <v>77.83</v>
      </c>
      <c r="R33" s="9">
        <v>77.260000000000005</v>
      </c>
      <c r="S33" s="9">
        <v>75.319999999999993</v>
      </c>
      <c r="T33" s="9">
        <v>73.44</v>
      </c>
      <c r="U33" s="9">
        <v>71.599999999999994</v>
      </c>
      <c r="V33" s="9">
        <v>69.84</v>
      </c>
      <c r="W33" s="9"/>
      <c r="AA33" t="s">
        <v>50</v>
      </c>
      <c r="AB33" s="124">
        <v>1</v>
      </c>
      <c r="AC33" s="124">
        <v>1</v>
      </c>
      <c r="AD33" s="124">
        <v>1</v>
      </c>
      <c r="AE33" s="124"/>
      <c r="AF33" s="124"/>
      <c r="AG33" s="124"/>
      <c r="AI33" t="s">
        <v>2</v>
      </c>
      <c r="AJ33" t="s">
        <v>263</v>
      </c>
      <c r="AK33" t="s">
        <v>55</v>
      </c>
      <c r="AW33" t="s">
        <v>2</v>
      </c>
      <c r="AX33" s="9">
        <v>134.88</v>
      </c>
      <c r="AY33" s="9">
        <v>111.96</v>
      </c>
      <c r="AZ33" s="9">
        <v>87.14</v>
      </c>
      <c r="BA33" s="9">
        <v>75.33</v>
      </c>
      <c r="BB33" s="9">
        <v>64.86</v>
      </c>
      <c r="BC33" s="9">
        <v>64.38</v>
      </c>
      <c r="BD33" s="9">
        <v>62.77</v>
      </c>
      <c r="BE33" s="9">
        <v>61.2</v>
      </c>
      <c r="BF33" s="9">
        <v>59.67</v>
      </c>
      <c r="BG33" s="9">
        <v>58.2</v>
      </c>
      <c r="BH33" s="9"/>
    </row>
    <row r="34" spans="1:60" x14ac:dyDescent="0.3">
      <c r="A34" s="44" t="s">
        <v>4</v>
      </c>
      <c r="B34" s="45" t="s">
        <v>2</v>
      </c>
      <c r="C34" s="45">
        <v>10</v>
      </c>
      <c r="D34" s="121">
        <v>61.18</v>
      </c>
      <c r="E34" s="122">
        <v>73.42</v>
      </c>
      <c r="F34" s="45">
        <v>400</v>
      </c>
      <c r="G34" s="30">
        <v>45931</v>
      </c>
      <c r="H34" s="30"/>
      <c r="I3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734.16</v>
      </c>
      <c r="L34" t="s">
        <v>1</v>
      </c>
      <c r="M34" s="9">
        <v>291.25</v>
      </c>
      <c r="N34" s="9">
        <v>242.44</v>
      </c>
      <c r="O34" s="9">
        <v>189.16</v>
      </c>
      <c r="P34" s="9">
        <v>163.91</v>
      </c>
      <c r="Q34" s="9">
        <v>141.52000000000001</v>
      </c>
      <c r="R34" s="9">
        <v>140.41999999999999</v>
      </c>
      <c r="S34" s="9">
        <v>136.94</v>
      </c>
      <c r="T34" s="9">
        <v>133.49</v>
      </c>
      <c r="U34" s="9">
        <v>130.15</v>
      </c>
      <c r="V34" s="9">
        <v>126.9</v>
      </c>
      <c r="W34" s="9"/>
      <c r="AA34" t="s">
        <v>9</v>
      </c>
      <c r="AB34" s="124">
        <v>10</v>
      </c>
      <c r="AC34" s="124">
        <v>10</v>
      </c>
      <c r="AD34" s="124">
        <v>10</v>
      </c>
      <c r="AE34" s="124"/>
      <c r="AF34" s="124"/>
      <c r="AG34" s="124"/>
      <c r="AI34" t="s">
        <v>2</v>
      </c>
      <c r="AJ34" t="s">
        <v>264</v>
      </c>
      <c r="AK34" t="s">
        <v>55</v>
      </c>
      <c r="AW34" t="s">
        <v>1</v>
      </c>
      <c r="AX34" s="9">
        <v>242.71</v>
      </c>
      <c r="AY34" s="9">
        <v>202.03</v>
      </c>
      <c r="AZ34" s="9">
        <v>157.63</v>
      </c>
      <c r="BA34" s="9">
        <v>136.59</v>
      </c>
      <c r="BB34" s="9">
        <v>117.93</v>
      </c>
      <c r="BC34" s="9">
        <v>117.02</v>
      </c>
      <c r="BD34" s="9">
        <v>114.12</v>
      </c>
      <c r="BE34" s="9">
        <v>111.24</v>
      </c>
      <c r="BF34" s="9">
        <v>108.46</v>
      </c>
      <c r="BG34" s="9">
        <v>105.75</v>
      </c>
      <c r="BH34" s="9"/>
    </row>
    <row r="35" spans="1:60" x14ac:dyDescent="0.3">
      <c r="A35" s="162" t="s">
        <v>4</v>
      </c>
      <c r="B35" s="163" t="s">
        <v>16</v>
      </c>
      <c r="C35" s="163">
        <v>1</v>
      </c>
      <c r="D35" s="164">
        <v>36.5</v>
      </c>
      <c r="E35" s="165">
        <v>43.8</v>
      </c>
      <c r="F35" s="45">
        <v>60</v>
      </c>
      <c r="G35" s="30">
        <v>45931</v>
      </c>
      <c r="H35" s="30"/>
      <c r="I3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43.8</v>
      </c>
      <c r="K35" t="s">
        <v>259</v>
      </c>
      <c r="L35" t="s">
        <v>16</v>
      </c>
      <c r="M35" s="9">
        <v>55.38</v>
      </c>
      <c r="N35" s="9">
        <v>50.75</v>
      </c>
      <c r="O35" s="9">
        <v>46.51</v>
      </c>
      <c r="P35" s="9">
        <v>42.54</v>
      </c>
      <c r="Q35" s="9">
        <v>38.99</v>
      </c>
      <c r="R35" s="9">
        <v>35.74</v>
      </c>
      <c r="S35" s="9">
        <v>32.15</v>
      </c>
      <c r="T35" s="9">
        <v>28.91</v>
      </c>
      <c r="U35" s="9">
        <v>26.05</v>
      </c>
      <c r="V35" s="9">
        <v>23.74</v>
      </c>
      <c r="W35" s="9"/>
      <c r="AA35" t="s">
        <v>51</v>
      </c>
      <c r="AB35" s="124">
        <v>1</v>
      </c>
      <c r="AC35" s="124">
        <v>1</v>
      </c>
      <c r="AD35" s="124">
        <v>1</v>
      </c>
      <c r="AE35" s="124"/>
      <c r="AF35" s="124"/>
      <c r="AG35" s="124"/>
      <c r="AI35" t="s">
        <v>2</v>
      </c>
      <c r="AJ35" t="s">
        <v>312</v>
      </c>
      <c r="AK35" t="s">
        <v>55</v>
      </c>
      <c r="AV35" t="s">
        <v>259</v>
      </c>
      <c r="AW35" t="s">
        <v>16</v>
      </c>
      <c r="AX35" s="9">
        <v>46.15</v>
      </c>
      <c r="AY35" s="9">
        <v>42.29</v>
      </c>
      <c r="AZ35" s="9">
        <v>38.76</v>
      </c>
      <c r="BA35" s="9">
        <v>35.450000000000003</v>
      </c>
      <c r="BB35" s="9">
        <v>32.49</v>
      </c>
      <c r="BC35" s="9">
        <v>29.78</v>
      </c>
      <c r="BD35" s="9">
        <v>26.79</v>
      </c>
      <c r="BE35" s="9">
        <v>24.09</v>
      </c>
      <c r="BF35" s="9">
        <v>21.71</v>
      </c>
      <c r="BG35" s="9">
        <v>19.78</v>
      </c>
      <c r="BH35" s="9"/>
    </row>
    <row r="36" spans="1:60" x14ac:dyDescent="0.3">
      <c r="A36" s="162" t="s">
        <v>4</v>
      </c>
      <c r="B36" s="163" t="s">
        <v>16</v>
      </c>
      <c r="C36" s="163">
        <v>2</v>
      </c>
      <c r="D36" s="164">
        <v>33.56</v>
      </c>
      <c r="E36" s="165">
        <v>40.270000000000003</v>
      </c>
      <c r="F36" s="45">
        <v>60</v>
      </c>
      <c r="G36" s="30">
        <v>45931</v>
      </c>
      <c r="H36" s="30"/>
      <c r="I3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80.540000000000006</v>
      </c>
      <c r="L36" t="s">
        <v>2</v>
      </c>
      <c r="M36" s="9">
        <v>318.83</v>
      </c>
      <c r="N36" s="9">
        <v>264.68</v>
      </c>
      <c r="O36" s="9">
        <v>206.04</v>
      </c>
      <c r="P36" s="9">
        <v>178.22</v>
      </c>
      <c r="Q36" s="9">
        <v>153.47999999999999</v>
      </c>
      <c r="R36" s="9">
        <v>135.32</v>
      </c>
      <c r="S36" s="9">
        <v>119.26</v>
      </c>
      <c r="T36" s="9">
        <v>106.46</v>
      </c>
      <c r="U36" s="9">
        <v>96.66</v>
      </c>
      <c r="V36" s="9">
        <v>90.05</v>
      </c>
      <c r="W36" s="9"/>
      <c r="AA36" t="s">
        <v>73</v>
      </c>
      <c r="AB36" s="124">
        <v>1</v>
      </c>
      <c r="AC36" s="124">
        <v>1</v>
      </c>
      <c r="AD36" s="124">
        <v>1</v>
      </c>
      <c r="AE36" s="124"/>
      <c r="AF36" s="124"/>
      <c r="AG36" s="124"/>
      <c r="AI36" t="s">
        <v>2</v>
      </c>
      <c r="AJ36" t="s">
        <v>313</v>
      </c>
      <c r="AK36" t="s">
        <v>55</v>
      </c>
      <c r="AW36" t="s">
        <v>2</v>
      </c>
      <c r="AX36" s="9">
        <v>265.69</v>
      </c>
      <c r="AY36" s="9">
        <v>220.57</v>
      </c>
      <c r="AZ36" s="9">
        <v>171.7</v>
      </c>
      <c r="BA36" s="9">
        <v>148.52000000000001</v>
      </c>
      <c r="BB36" s="9">
        <v>127.9</v>
      </c>
      <c r="BC36" s="9">
        <v>112.77</v>
      </c>
      <c r="BD36" s="9">
        <v>99.38</v>
      </c>
      <c r="BE36" s="9">
        <v>88.72</v>
      </c>
      <c r="BF36" s="9">
        <v>80.55</v>
      </c>
      <c r="BG36" s="9">
        <v>75.040000000000006</v>
      </c>
      <c r="BH36" s="9"/>
    </row>
    <row r="37" spans="1:60" x14ac:dyDescent="0.3">
      <c r="A37" s="162" t="s">
        <v>4</v>
      </c>
      <c r="B37" s="163" t="s">
        <v>16</v>
      </c>
      <c r="C37" s="163">
        <v>3</v>
      </c>
      <c r="D37" s="164">
        <v>33.4</v>
      </c>
      <c r="E37" s="165">
        <v>40.08</v>
      </c>
      <c r="F37" s="45">
        <v>60</v>
      </c>
      <c r="G37" s="30">
        <v>45931</v>
      </c>
      <c r="H37" s="30"/>
      <c r="I3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120.24</v>
      </c>
      <c r="L37" t="s">
        <v>1</v>
      </c>
      <c r="M37" s="9">
        <v>669.77</v>
      </c>
      <c r="N37" s="9">
        <v>557.52</v>
      </c>
      <c r="O37" s="9">
        <v>434.92</v>
      </c>
      <c r="P37" s="9">
        <v>377.05</v>
      </c>
      <c r="Q37" s="9">
        <v>325.45</v>
      </c>
      <c r="R37" s="9">
        <v>287.74</v>
      </c>
      <c r="S37" s="9">
        <v>254.23</v>
      </c>
      <c r="T37" s="9">
        <v>227.44</v>
      </c>
      <c r="U37" s="9">
        <v>207.08</v>
      </c>
      <c r="V37" s="9">
        <v>193.48</v>
      </c>
      <c r="W37" s="9"/>
      <c r="AA37" t="s">
        <v>245</v>
      </c>
      <c r="AB37" s="124"/>
      <c r="AC37" s="124"/>
      <c r="AD37" s="124"/>
      <c r="AE37" s="124"/>
      <c r="AF37" s="124"/>
      <c r="AG37" s="124"/>
      <c r="AI37" t="s">
        <v>2</v>
      </c>
      <c r="AJ37" t="s">
        <v>314</v>
      </c>
      <c r="AK37" t="s">
        <v>55</v>
      </c>
      <c r="AW37" t="s">
        <v>1</v>
      </c>
      <c r="AX37" s="9">
        <v>558.14</v>
      </c>
      <c r="AY37" s="9">
        <v>464.6</v>
      </c>
      <c r="AZ37" s="9">
        <v>362.43</v>
      </c>
      <c r="BA37" s="9">
        <v>314.20999999999998</v>
      </c>
      <c r="BB37" s="9">
        <v>271.20999999999998</v>
      </c>
      <c r="BC37" s="9">
        <v>239.78</v>
      </c>
      <c r="BD37" s="9">
        <v>211.86</v>
      </c>
      <c r="BE37" s="9">
        <v>189.53</v>
      </c>
      <c r="BF37" s="9">
        <v>172.57</v>
      </c>
      <c r="BG37" s="9">
        <v>161.22999999999999</v>
      </c>
      <c r="BH37" s="9"/>
    </row>
    <row r="38" spans="1:60" x14ac:dyDescent="0.3">
      <c r="A38" s="162" t="s">
        <v>4</v>
      </c>
      <c r="B38" s="163" t="s">
        <v>16</v>
      </c>
      <c r="C38" s="163">
        <v>4</v>
      </c>
      <c r="D38" s="164">
        <v>33.28</v>
      </c>
      <c r="E38" s="165">
        <v>39.94</v>
      </c>
      <c r="F38" s="45">
        <v>60</v>
      </c>
      <c r="G38" s="30">
        <v>45931</v>
      </c>
      <c r="H38" s="30"/>
      <c r="I3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159.74</v>
      </c>
      <c r="K38" t="s">
        <v>260</v>
      </c>
      <c r="L38" t="s">
        <v>16</v>
      </c>
      <c r="M38" s="9">
        <v>64.36</v>
      </c>
      <c r="N38" s="9">
        <v>58.94</v>
      </c>
      <c r="O38" s="9">
        <v>53.96</v>
      </c>
      <c r="P38" s="9">
        <v>49.49</v>
      </c>
      <c r="Q38" s="9">
        <v>45.3</v>
      </c>
      <c r="R38" s="9">
        <v>41.51</v>
      </c>
      <c r="S38" s="9">
        <v>37.369999999999997</v>
      </c>
      <c r="T38" s="9">
        <v>33.619999999999997</v>
      </c>
      <c r="U38" s="9">
        <v>30.26</v>
      </c>
      <c r="V38" s="9">
        <v>27.54</v>
      </c>
      <c r="W38" s="9"/>
      <c r="AA38" t="s">
        <v>246</v>
      </c>
      <c r="AB38" s="124"/>
      <c r="AC38" s="124"/>
      <c r="AD38" s="124"/>
      <c r="AE38" s="124"/>
      <c r="AF38" s="124"/>
      <c r="AG38" s="124"/>
      <c r="AI38" t="s">
        <v>2</v>
      </c>
      <c r="AJ38" t="s">
        <v>315</v>
      </c>
      <c r="AK38" t="s">
        <v>55</v>
      </c>
      <c r="AV38" t="s">
        <v>260</v>
      </c>
      <c r="AW38" t="s">
        <v>16</v>
      </c>
      <c r="AX38" s="9">
        <v>53.63</v>
      </c>
      <c r="AY38" s="9">
        <v>49.12</v>
      </c>
      <c r="AZ38" s="9">
        <v>44.97</v>
      </c>
      <c r="BA38" s="9">
        <v>41.24</v>
      </c>
      <c r="BB38" s="9">
        <v>37.75</v>
      </c>
      <c r="BC38" s="9">
        <v>34.590000000000003</v>
      </c>
      <c r="BD38" s="9">
        <v>31.14</v>
      </c>
      <c r="BE38" s="9">
        <v>28.02</v>
      </c>
      <c r="BF38" s="9">
        <v>25.22</v>
      </c>
      <c r="BG38" s="9">
        <v>22.95</v>
      </c>
      <c r="BH38" s="9"/>
    </row>
    <row r="39" spans="1:60" x14ac:dyDescent="0.3">
      <c r="A39" s="44" t="s">
        <v>4</v>
      </c>
      <c r="B39" s="45" t="s">
        <v>16</v>
      </c>
      <c r="C39" s="45">
        <v>5</v>
      </c>
      <c r="D39" s="121">
        <v>33.090000000000003</v>
      </c>
      <c r="E39" s="122">
        <v>39.71</v>
      </c>
      <c r="F39" s="45">
        <v>60</v>
      </c>
      <c r="G39" s="30">
        <v>45931</v>
      </c>
      <c r="H39" s="30"/>
      <c r="I3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198.54</v>
      </c>
      <c r="L39" t="s">
        <v>2</v>
      </c>
      <c r="M39" s="9">
        <v>524.76</v>
      </c>
      <c r="N39" s="9">
        <v>462.97</v>
      </c>
      <c r="O39" s="9">
        <v>408.38</v>
      </c>
      <c r="P39" s="9">
        <v>360.22</v>
      </c>
      <c r="Q39" s="9">
        <v>317.64999999999998</v>
      </c>
      <c r="R39" s="9">
        <v>280.12</v>
      </c>
      <c r="S39" s="9">
        <v>246.97</v>
      </c>
      <c r="T39" s="9">
        <v>220.42</v>
      </c>
      <c r="U39" s="9">
        <v>200.11</v>
      </c>
      <c r="V39" s="9">
        <v>186.44</v>
      </c>
      <c r="W39" s="9"/>
      <c r="AA39" t="s">
        <v>252</v>
      </c>
      <c r="AB39" s="124"/>
      <c r="AC39" s="124"/>
      <c r="AD39" s="124"/>
      <c r="AE39" s="124"/>
      <c r="AF39" s="124"/>
      <c r="AG39" s="124"/>
      <c r="AI39" t="s">
        <v>1</v>
      </c>
      <c r="AJ39" t="s">
        <v>11</v>
      </c>
      <c r="AK39" t="s">
        <v>55</v>
      </c>
      <c r="AW39" t="s">
        <v>2</v>
      </c>
      <c r="AX39" s="9">
        <v>437.3</v>
      </c>
      <c r="AY39" s="9">
        <v>385.81</v>
      </c>
      <c r="AZ39" s="9">
        <v>340.32</v>
      </c>
      <c r="BA39" s="9">
        <v>300.18</v>
      </c>
      <c r="BB39" s="9">
        <v>264.70999999999998</v>
      </c>
      <c r="BC39" s="9">
        <v>233.43</v>
      </c>
      <c r="BD39" s="9">
        <v>205.81</v>
      </c>
      <c r="BE39" s="9">
        <v>183.68</v>
      </c>
      <c r="BF39" s="9">
        <v>166.76</v>
      </c>
      <c r="BG39" s="9">
        <v>155.37</v>
      </c>
      <c r="BH39" s="9"/>
    </row>
    <row r="40" spans="1:60" x14ac:dyDescent="0.3">
      <c r="A40" s="44" t="s">
        <v>9</v>
      </c>
      <c r="B40" s="45" t="s">
        <v>1</v>
      </c>
      <c r="C40" s="45">
        <v>1</v>
      </c>
      <c r="D40" s="121">
        <v>591.11</v>
      </c>
      <c r="E40" s="122">
        <v>709.33</v>
      </c>
      <c r="F40" s="45">
        <v>800</v>
      </c>
      <c r="G40" s="30">
        <v>45931</v>
      </c>
      <c r="H40" s="30"/>
      <c r="I4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709.33</v>
      </c>
      <c r="L40" t="s">
        <v>1</v>
      </c>
      <c r="M40" s="9">
        <v>845.88</v>
      </c>
      <c r="N40" s="9">
        <v>747.98</v>
      </c>
      <c r="O40" s="9">
        <v>661.4</v>
      </c>
      <c r="P40" s="9">
        <v>584.82000000000005</v>
      </c>
      <c r="Q40" s="9">
        <v>517.02</v>
      </c>
      <c r="R40" s="9">
        <v>456.96</v>
      </c>
      <c r="S40" s="9">
        <v>403.96</v>
      </c>
      <c r="T40" s="9">
        <v>361.42</v>
      </c>
      <c r="U40" s="9">
        <v>328.8</v>
      </c>
      <c r="V40" s="9">
        <v>307.12</v>
      </c>
      <c r="W40" s="9"/>
      <c r="AA40" t="s">
        <v>253</v>
      </c>
      <c r="AB40" s="124"/>
      <c r="AC40" s="124"/>
      <c r="AD40" s="124"/>
      <c r="AE40" s="124"/>
      <c r="AF40" s="124"/>
      <c r="AG40" s="124"/>
      <c r="AI40" t="s">
        <v>1</v>
      </c>
      <c r="AJ40" t="s">
        <v>10</v>
      </c>
      <c r="AK40" t="s">
        <v>55</v>
      </c>
      <c r="AW40" t="s">
        <v>1</v>
      </c>
      <c r="AX40" s="9">
        <v>704.9</v>
      </c>
      <c r="AY40" s="9">
        <v>623.32000000000005</v>
      </c>
      <c r="AZ40" s="9">
        <v>551.16999999999996</v>
      </c>
      <c r="BA40" s="9">
        <v>487.35</v>
      </c>
      <c r="BB40" s="9">
        <v>430.85</v>
      </c>
      <c r="BC40" s="9">
        <v>380.8</v>
      </c>
      <c r="BD40" s="9">
        <v>336.63</v>
      </c>
      <c r="BE40" s="9">
        <v>301.18</v>
      </c>
      <c r="BF40" s="9">
        <v>274</v>
      </c>
      <c r="BG40" s="9">
        <v>255.93</v>
      </c>
      <c r="BH40" s="9"/>
    </row>
    <row r="41" spans="1:60" x14ac:dyDescent="0.3">
      <c r="A41" s="44" t="s">
        <v>9</v>
      </c>
      <c r="B41" s="45" t="s">
        <v>1</v>
      </c>
      <c r="C41" s="45">
        <v>2</v>
      </c>
      <c r="D41" s="121">
        <v>493.49</v>
      </c>
      <c r="E41" s="122">
        <v>592.19000000000005</v>
      </c>
      <c r="F41" s="45">
        <v>800</v>
      </c>
      <c r="G41" s="30">
        <v>45931</v>
      </c>
      <c r="H41" s="30"/>
      <c r="I4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1184.3800000000001</v>
      </c>
      <c r="K41" t="s">
        <v>261</v>
      </c>
      <c r="L41" t="s">
        <v>1</v>
      </c>
      <c r="M41" s="9">
        <v>468</v>
      </c>
      <c r="N41" s="9"/>
      <c r="O41" s="9"/>
      <c r="P41" s="9"/>
      <c r="Q41" s="9"/>
      <c r="R41" s="9"/>
      <c r="S41" s="9"/>
      <c r="T41" s="9"/>
      <c r="U41" s="9"/>
      <c r="V41" s="9"/>
      <c r="W41" s="9"/>
      <c r="AA41" t="s">
        <v>257</v>
      </c>
      <c r="AB41" s="124"/>
      <c r="AC41" s="124">
        <v>5</v>
      </c>
      <c r="AD41" s="124">
        <v>5</v>
      </c>
      <c r="AE41" s="124">
        <v>3</v>
      </c>
      <c r="AF41" s="124"/>
      <c r="AG41" s="124"/>
      <c r="AI41" t="s">
        <v>1</v>
      </c>
      <c r="AJ41" t="s">
        <v>49</v>
      </c>
      <c r="AK41" t="s">
        <v>55</v>
      </c>
      <c r="AV41" t="s">
        <v>261</v>
      </c>
      <c r="AW41" t="s">
        <v>1</v>
      </c>
      <c r="AX41" s="9">
        <v>390</v>
      </c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x14ac:dyDescent="0.3">
      <c r="A42" s="44" t="s">
        <v>9</v>
      </c>
      <c r="B42" s="45" t="s">
        <v>1</v>
      </c>
      <c r="C42" s="45">
        <v>3</v>
      </c>
      <c r="D42" s="121">
        <v>386.1</v>
      </c>
      <c r="E42" s="122">
        <v>463.32</v>
      </c>
      <c r="F42" s="45">
        <v>800</v>
      </c>
      <c r="G42" s="30">
        <v>45931</v>
      </c>
      <c r="H42" s="30"/>
      <c r="I4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1389.96</v>
      </c>
      <c r="K42" t="s">
        <v>262</v>
      </c>
      <c r="L42" t="s">
        <v>16</v>
      </c>
      <c r="M42" s="9">
        <v>99.37</v>
      </c>
      <c r="N42" s="9"/>
      <c r="O42" s="9"/>
      <c r="P42" s="9"/>
      <c r="Q42" s="9"/>
      <c r="R42" s="9"/>
      <c r="S42" s="9"/>
      <c r="T42" s="9"/>
      <c r="U42" s="9"/>
      <c r="V42" s="9"/>
      <c r="W42" s="9"/>
      <c r="AA42" t="s">
        <v>258</v>
      </c>
      <c r="AB42" s="124">
        <v>5</v>
      </c>
      <c r="AC42" s="124">
        <v>10</v>
      </c>
      <c r="AD42" s="124">
        <v>10</v>
      </c>
      <c r="AE42" s="124"/>
      <c r="AF42" s="124"/>
      <c r="AG42" s="124"/>
      <c r="AI42" t="s">
        <v>1</v>
      </c>
      <c r="AJ42" t="s">
        <v>4</v>
      </c>
      <c r="AK42" t="s">
        <v>55</v>
      </c>
      <c r="AV42" t="s">
        <v>262</v>
      </c>
      <c r="AW42" t="s">
        <v>16</v>
      </c>
      <c r="AX42" s="9">
        <v>82.81</v>
      </c>
      <c r="AY42" s="9"/>
      <c r="AZ42" s="9"/>
      <c r="BA42" s="9"/>
      <c r="BB42" s="9"/>
      <c r="BC42" s="9"/>
      <c r="BD42" s="9"/>
      <c r="BE42" s="9"/>
      <c r="BF42" s="9"/>
      <c r="BG42" s="9"/>
      <c r="BH42" s="9"/>
    </row>
    <row r="43" spans="1:60" x14ac:dyDescent="0.3">
      <c r="A43" s="44" t="s">
        <v>9</v>
      </c>
      <c r="B43" s="45" t="s">
        <v>1</v>
      </c>
      <c r="C43" s="45">
        <v>4</v>
      </c>
      <c r="D43" s="121">
        <v>335.73</v>
      </c>
      <c r="E43" s="122">
        <v>402.88</v>
      </c>
      <c r="F43" s="45">
        <v>800</v>
      </c>
      <c r="G43" s="30">
        <v>45931</v>
      </c>
      <c r="H43" s="30"/>
      <c r="I4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1611.5</v>
      </c>
      <c r="L43" t="s">
        <v>2</v>
      </c>
      <c r="M43" s="9">
        <v>235.28</v>
      </c>
      <c r="N43" s="9"/>
      <c r="O43" s="9"/>
      <c r="P43" s="9"/>
      <c r="Q43" s="9"/>
      <c r="R43" s="9"/>
      <c r="S43" s="9"/>
      <c r="T43" s="9"/>
      <c r="U43" s="9"/>
      <c r="V43" s="9"/>
      <c r="W43" s="9"/>
      <c r="AA43" t="s">
        <v>259</v>
      </c>
      <c r="AB43" s="124">
        <v>10</v>
      </c>
      <c r="AC43" s="124">
        <v>10</v>
      </c>
      <c r="AD43" s="124">
        <v>10</v>
      </c>
      <c r="AE43" s="124"/>
      <c r="AF43" s="124"/>
      <c r="AG43" s="124"/>
      <c r="AI43" t="s">
        <v>1</v>
      </c>
      <c r="AJ43" t="s">
        <v>50</v>
      </c>
      <c r="AK43" t="s">
        <v>55</v>
      </c>
      <c r="AW43" t="s">
        <v>2</v>
      </c>
      <c r="AX43" s="9">
        <v>196.07</v>
      </c>
      <c r="AY43" s="9"/>
      <c r="AZ43" s="9"/>
      <c r="BA43" s="9"/>
      <c r="BB43" s="9"/>
      <c r="BC43" s="9"/>
      <c r="BD43" s="9"/>
      <c r="BE43" s="9"/>
      <c r="BF43" s="9"/>
      <c r="BG43" s="9"/>
      <c r="BH43" s="9"/>
    </row>
    <row r="44" spans="1:60" x14ac:dyDescent="0.3">
      <c r="A44" s="44" t="s">
        <v>9</v>
      </c>
      <c r="B44" s="45" t="s">
        <v>1</v>
      </c>
      <c r="C44" s="45">
        <v>5</v>
      </c>
      <c r="D44" s="121">
        <v>290.63</v>
      </c>
      <c r="E44" s="122">
        <v>348.76</v>
      </c>
      <c r="F44" s="45">
        <v>800</v>
      </c>
      <c r="G44" s="30">
        <v>45931</v>
      </c>
      <c r="H44" s="30"/>
      <c r="I4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1743.78</v>
      </c>
      <c r="L44" t="s">
        <v>1</v>
      </c>
      <c r="M44" s="9">
        <v>593.22</v>
      </c>
      <c r="N44" s="9"/>
      <c r="O44" s="9"/>
      <c r="P44" s="9"/>
      <c r="Q44" s="9"/>
      <c r="R44" s="9"/>
      <c r="S44" s="9"/>
      <c r="T44" s="9"/>
      <c r="U44" s="9"/>
      <c r="V44" s="9"/>
      <c r="W44" s="9"/>
      <c r="AA44" t="s">
        <v>260</v>
      </c>
      <c r="AB44" s="124">
        <v>10</v>
      </c>
      <c r="AC44" s="124">
        <v>10</v>
      </c>
      <c r="AD44" s="124">
        <v>10</v>
      </c>
      <c r="AE44" s="124"/>
      <c r="AF44" s="124"/>
      <c r="AG44" s="124"/>
      <c r="AI44" t="s">
        <v>1</v>
      </c>
      <c r="AJ44" t="s">
        <v>9</v>
      </c>
      <c r="AK44" t="s">
        <v>55</v>
      </c>
      <c r="AW44" t="s">
        <v>1</v>
      </c>
      <c r="AX44" s="9">
        <v>494.35</v>
      </c>
      <c r="AY44" s="9"/>
      <c r="AZ44" s="9"/>
      <c r="BA44" s="9"/>
      <c r="BB44" s="9"/>
      <c r="BC44" s="9"/>
      <c r="BD44" s="9"/>
      <c r="BE44" s="9"/>
      <c r="BF44" s="9"/>
      <c r="BG44" s="9"/>
      <c r="BH44" s="9"/>
    </row>
    <row r="45" spans="1:60" x14ac:dyDescent="0.3">
      <c r="A45" s="44" t="s">
        <v>9</v>
      </c>
      <c r="B45" s="45" t="s">
        <v>1</v>
      </c>
      <c r="C45" s="45">
        <v>6</v>
      </c>
      <c r="D45" s="121">
        <v>257.7</v>
      </c>
      <c r="E45" s="122">
        <v>309.24</v>
      </c>
      <c r="F45" s="45">
        <v>800</v>
      </c>
      <c r="G45" s="30">
        <v>45931</v>
      </c>
      <c r="H45" s="30"/>
      <c r="I4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1855.44</v>
      </c>
      <c r="K45" t="s">
        <v>263</v>
      </c>
      <c r="L45" t="s">
        <v>16</v>
      </c>
      <c r="M45" s="9">
        <v>176.87</v>
      </c>
      <c r="N45" s="9"/>
      <c r="O45" s="9"/>
      <c r="P45" s="9"/>
      <c r="Q45" s="9"/>
      <c r="R45" s="9"/>
      <c r="S45" s="9"/>
      <c r="T45" s="9"/>
      <c r="U45" s="9"/>
      <c r="V45" s="9"/>
      <c r="W45" s="9"/>
      <c r="AA45" t="s">
        <v>261</v>
      </c>
      <c r="AB45" s="124"/>
      <c r="AC45" s="124"/>
      <c r="AD45" s="124">
        <v>1</v>
      </c>
      <c r="AE45" s="124"/>
      <c r="AF45" s="124"/>
      <c r="AG45" s="124"/>
      <c r="AI45" t="s">
        <v>1</v>
      </c>
      <c r="AJ45" t="s">
        <v>51</v>
      </c>
      <c r="AK45" t="s">
        <v>55</v>
      </c>
      <c r="AV45" t="s">
        <v>263</v>
      </c>
      <c r="AW45" t="s">
        <v>16</v>
      </c>
      <c r="AX45" s="9">
        <v>147.38999999999999</v>
      </c>
      <c r="AY45" s="9"/>
      <c r="AZ45" s="9"/>
      <c r="BA45" s="9"/>
      <c r="BB45" s="9"/>
      <c r="BC45" s="9"/>
      <c r="BD45" s="9"/>
      <c r="BE45" s="9"/>
      <c r="BF45" s="9"/>
      <c r="BG45" s="9"/>
      <c r="BH45" s="9"/>
    </row>
    <row r="46" spans="1:60" x14ac:dyDescent="0.3">
      <c r="A46" s="44" t="s">
        <v>9</v>
      </c>
      <c r="B46" s="45" t="s">
        <v>1</v>
      </c>
      <c r="C46" s="45">
        <v>7</v>
      </c>
      <c r="D46" s="121">
        <v>227.7</v>
      </c>
      <c r="E46" s="122">
        <v>273.24</v>
      </c>
      <c r="F46" s="45">
        <v>800</v>
      </c>
      <c r="G46" s="30">
        <v>45931</v>
      </c>
      <c r="H46" s="30"/>
      <c r="I4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1912.68</v>
      </c>
      <c r="L46" t="s">
        <v>2</v>
      </c>
      <c r="M46" s="9">
        <v>419.18</v>
      </c>
      <c r="N46" s="9"/>
      <c r="O46" s="9"/>
      <c r="P46" s="9"/>
      <c r="Q46" s="9"/>
      <c r="R46" s="9"/>
      <c r="S46" s="9"/>
      <c r="T46" s="9"/>
      <c r="U46" s="9"/>
      <c r="V46" s="9"/>
      <c r="W46" s="9"/>
      <c r="AA46" t="s">
        <v>262</v>
      </c>
      <c r="AB46" s="124">
        <v>1</v>
      </c>
      <c r="AC46" s="124">
        <v>1</v>
      </c>
      <c r="AD46" s="124">
        <v>1</v>
      </c>
      <c r="AE46" s="124"/>
      <c r="AF46" s="124"/>
      <c r="AG46" s="124"/>
      <c r="AI46" t="s">
        <v>1</v>
      </c>
      <c r="AJ46" t="s">
        <v>73</v>
      </c>
      <c r="AK46" t="s">
        <v>55</v>
      </c>
      <c r="AW46" t="s">
        <v>2</v>
      </c>
      <c r="AX46" s="9">
        <v>349.32</v>
      </c>
      <c r="AY46" s="9"/>
      <c r="AZ46" s="9"/>
      <c r="BA46" s="9"/>
      <c r="BB46" s="9"/>
      <c r="BC46" s="9"/>
      <c r="BD46" s="9"/>
      <c r="BE46" s="9"/>
      <c r="BF46" s="9"/>
      <c r="BG46" s="9"/>
      <c r="BH46" s="9"/>
    </row>
    <row r="47" spans="1:60" x14ac:dyDescent="0.3">
      <c r="A47" s="44" t="s">
        <v>9</v>
      </c>
      <c r="B47" s="45" t="s">
        <v>1</v>
      </c>
      <c r="C47" s="45">
        <v>8</v>
      </c>
      <c r="D47" s="121">
        <v>203.69</v>
      </c>
      <c r="E47" s="122">
        <v>244.43</v>
      </c>
      <c r="F47" s="45">
        <v>800</v>
      </c>
      <c r="G47" s="30">
        <v>45931</v>
      </c>
      <c r="H47" s="30"/>
      <c r="I4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1955.42</v>
      </c>
      <c r="L47" t="s">
        <v>1</v>
      </c>
      <c r="M47" s="9">
        <v>1083.06</v>
      </c>
      <c r="N47" s="9"/>
      <c r="O47" s="9"/>
      <c r="P47" s="9"/>
      <c r="Q47" s="9"/>
      <c r="R47" s="9"/>
      <c r="S47" s="9"/>
      <c r="T47" s="9"/>
      <c r="U47" s="9"/>
      <c r="V47" s="9"/>
      <c r="W47" s="9"/>
      <c r="AA47" t="s">
        <v>263</v>
      </c>
      <c r="AB47" s="124">
        <v>1</v>
      </c>
      <c r="AC47" s="124">
        <v>1</v>
      </c>
      <c r="AD47" s="124">
        <v>1</v>
      </c>
      <c r="AE47" s="124"/>
      <c r="AF47" s="124"/>
      <c r="AG47" s="124"/>
      <c r="AI47" t="s">
        <v>1</v>
      </c>
      <c r="AJ47" t="s">
        <v>257</v>
      </c>
      <c r="AK47" t="s">
        <v>55</v>
      </c>
      <c r="AW47" t="s">
        <v>1</v>
      </c>
      <c r="AX47" s="9">
        <v>902.55</v>
      </c>
      <c r="AY47" s="9"/>
      <c r="AZ47" s="9"/>
      <c r="BA47" s="9"/>
      <c r="BB47" s="9"/>
      <c r="BC47" s="9"/>
      <c r="BD47" s="9"/>
      <c r="BE47" s="9"/>
      <c r="BF47" s="9"/>
      <c r="BG47" s="9"/>
      <c r="BH47" s="9"/>
    </row>
    <row r="48" spans="1:60" x14ac:dyDescent="0.3">
      <c r="A48" s="44" t="s">
        <v>9</v>
      </c>
      <c r="B48" s="45" t="s">
        <v>1</v>
      </c>
      <c r="C48" s="45">
        <v>9</v>
      </c>
      <c r="D48" s="121">
        <v>185.47</v>
      </c>
      <c r="E48" s="122">
        <v>222.56</v>
      </c>
      <c r="F48" s="45">
        <v>800</v>
      </c>
      <c r="G48" s="30">
        <v>45931</v>
      </c>
      <c r="H48" s="30"/>
      <c r="I4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2003.08</v>
      </c>
      <c r="K48" t="s">
        <v>264</v>
      </c>
      <c r="L48" t="s">
        <v>16</v>
      </c>
      <c r="M48" s="9">
        <v>374.87</v>
      </c>
      <c r="N48" s="9"/>
      <c r="O48" s="9"/>
      <c r="P48" s="9"/>
      <c r="Q48" s="9"/>
      <c r="R48" s="9"/>
      <c r="S48" s="9"/>
      <c r="T48" s="9"/>
      <c r="U48" s="9"/>
      <c r="V48" s="9"/>
      <c r="W48" s="9"/>
      <c r="AA48" t="s">
        <v>264</v>
      </c>
      <c r="AB48" s="124">
        <v>1</v>
      </c>
      <c r="AC48" s="124">
        <v>1</v>
      </c>
      <c r="AD48" s="124">
        <v>1</v>
      </c>
      <c r="AE48" s="124"/>
      <c r="AF48" s="124"/>
      <c r="AG48" s="124"/>
      <c r="AI48" t="s">
        <v>1</v>
      </c>
      <c r="AJ48" t="s">
        <v>258</v>
      </c>
      <c r="AK48" t="s">
        <v>55</v>
      </c>
      <c r="AV48" t="s">
        <v>264</v>
      </c>
      <c r="AW48" t="s">
        <v>16</v>
      </c>
      <c r="AX48" s="9">
        <v>312.39</v>
      </c>
      <c r="AY48" s="9"/>
      <c r="AZ48" s="9"/>
      <c r="BA48" s="9"/>
      <c r="BB48" s="9"/>
      <c r="BC48" s="9"/>
      <c r="BD48" s="9"/>
      <c r="BE48" s="9"/>
      <c r="BF48" s="9"/>
      <c r="BG48" s="9"/>
      <c r="BH48" s="9"/>
    </row>
    <row r="49" spans="1:60" x14ac:dyDescent="0.3">
      <c r="A49" s="44" t="s">
        <v>9</v>
      </c>
      <c r="B49" s="45" t="s">
        <v>1</v>
      </c>
      <c r="C49" s="45">
        <v>10</v>
      </c>
      <c r="D49" s="121">
        <v>173.28</v>
      </c>
      <c r="E49" s="122">
        <v>207.94</v>
      </c>
      <c r="F49" s="45">
        <v>800</v>
      </c>
      <c r="G49" s="30">
        <v>45931</v>
      </c>
      <c r="H49" s="30"/>
      <c r="I4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2079.36</v>
      </c>
      <c r="L49" t="s">
        <v>2</v>
      </c>
      <c r="M49" s="9">
        <v>857.42</v>
      </c>
      <c r="N49" s="9"/>
      <c r="O49" s="9"/>
      <c r="P49" s="9"/>
      <c r="Q49" s="9"/>
      <c r="R49" s="9"/>
      <c r="S49" s="9"/>
      <c r="T49" s="9"/>
      <c r="U49" s="9"/>
      <c r="V49" s="9"/>
      <c r="W49" s="9"/>
      <c r="AA49" t="s">
        <v>312</v>
      </c>
      <c r="AB49" s="124"/>
      <c r="AC49" s="124">
        <v>1</v>
      </c>
      <c r="AD49" s="124">
        <v>1</v>
      </c>
      <c r="AE49" s="124">
        <v>1</v>
      </c>
      <c r="AF49" s="124">
        <v>1</v>
      </c>
      <c r="AG49" s="124"/>
      <c r="AI49" t="s">
        <v>1</v>
      </c>
      <c r="AJ49" t="s">
        <v>259</v>
      </c>
      <c r="AK49" t="s">
        <v>55</v>
      </c>
      <c r="AW49" t="s">
        <v>2</v>
      </c>
      <c r="AX49" s="9">
        <v>714.52</v>
      </c>
      <c r="AY49" s="9"/>
      <c r="AZ49" s="9"/>
      <c r="BA49" s="9"/>
      <c r="BB49" s="9"/>
      <c r="BC49" s="9"/>
      <c r="BD49" s="9"/>
      <c r="BE49" s="9"/>
      <c r="BF49" s="9"/>
      <c r="BG49" s="9"/>
      <c r="BH49" s="9"/>
    </row>
    <row r="50" spans="1:60" x14ac:dyDescent="0.3">
      <c r="A50" s="44" t="s">
        <v>9</v>
      </c>
      <c r="B50" s="45" t="s">
        <v>2</v>
      </c>
      <c r="C50" s="45">
        <v>1</v>
      </c>
      <c r="D50" s="121">
        <v>278.08999999999997</v>
      </c>
      <c r="E50" s="122">
        <v>333.71</v>
      </c>
      <c r="F50" s="45">
        <v>400</v>
      </c>
      <c r="G50" s="30">
        <v>45931</v>
      </c>
      <c r="H50" s="30"/>
      <c r="I5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333.71</v>
      </c>
      <c r="L50" t="s">
        <v>1</v>
      </c>
      <c r="M50" s="9">
        <v>2193.96</v>
      </c>
      <c r="N50" s="9"/>
      <c r="O50" s="9"/>
      <c r="P50" s="9"/>
      <c r="Q50" s="9"/>
      <c r="R50" s="9"/>
      <c r="S50" s="9"/>
      <c r="T50" s="9"/>
      <c r="U50" s="9"/>
      <c r="V50" s="9"/>
      <c r="W50" s="9"/>
      <c r="AA50" t="s">
        <v>313</v>
      </c>
      <c r="AB50" s="124"/>
      <c r="AC50" s="124">
        <v>1</v>
      </c>
      <c r="AD50" s="124">
        <v>1</v>
      </c>
      <c r="AE50" s="124">
        <v>1</v>
      </c>
      <c r="AF50" s="124">
        <v>1</v>
      </c>
      <c r="AG50" s="124"/>
      <c r="AI50" t="s">
        <v>1</v>
      </c>
      <c r="AJ50" t="s">
        <v>260</v>
      </c>
      <c r="AK50" t="s">
        <v>55</v>
      </c>
      <c r="AW50" t="s">
        <v>1</v>
      </c>
      <c r="AX50" s="9">
        <v>1828.3</v>
      </c>
      <c r="AY50" s="9"/>
      <c r="AZ50" s="9"/>
      <c r="BA50" s="9"/>
      <c r="BB50" s="9"/>
      <c r="BC50" s="9"/>
      <c r="BD50" s="9"/>
      <c r="BE50" s="9"/>
      <c r="BF50" s="9"/>
      <c r="BG50" s="9"/>
      <c r="BH50" s="9"/>
    </row>
    <row r="51" spans="1:60" x14ac:dyDescent="0.3">
      <c r="A51" s="44" t="s">
        <v>9</v>
      </c>
      <c r="B51" s="45" t="s">
        <v>2</v>
      </c>
      <c r="C51" s="45">
        <v>2</v>
      </c>
      <c r="D51" s="121">
        <v>231.54</v>
      </c>
      <c r="E51" s="122">
        <v>277.85000000000002</v>
      </c>
      <c r="F51" s="45">
        <v>400</v>
      </c>
      <c r="G51" s="30">
        <v>45931</v>
      </c>
      <c r="H51" s="30"/>
      <c r="I5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555.70000000000005</v>
      </c>
      <c r="K51" t="s">
        <v>312</v>
      </c>
      <c r="L51" t="s">
        <v>2</v>
      </c>
      <c r="M51" s="9">
        <v>92.26</v>
      </c>
      <c r="N51" s="9"/>
      <c r="O51" s="9"/>
      <c r="P51" s="9"/>
      <c r="Q51" s="9"/>
      <c r="R51" s="9"/>
      <c r="S51" s="9"/>
      <c r="T51" s="9"/>
      <c r="U51" s="9"/>
      <c r="V51" s="9"/>
      <c r="W51" s="9"/>
      <c r="AA51" t="s">
        <v>314</v>
      </c>
      <c r="AB51" s="124"/>
      <c r="AC51" s="124">
        <v>1</v>
      </c>
      <c r="AD51" s="124">
        <v>1</v>
      </c>
      <c r="AE51" s="124">
        <v>1</v>
      </c>
      <c r="AF51" s="124">
        <v>1</v>
      </c>
      <c r="AG51" s="124"/>
      <c r="AI51" t="s">
        <v>1</v>
      </c>
      <c r="AJ51" t="s">
        <v>261</v>
      </c>
      <c r="AK51" t="s">
        <v>55</v>
      </c>
      <c r="AV51" t="s">
        <v>312</v>
      </c>
      <c r="AW51" t="s">
        <v>2</v>
      </c>
      <c r="AX51" s="9">
        <v>76.88</v>
      </c>
      <c r="AY51" s="9"/>
      <c r="AZ51" s="9"/>
      <c r="BA51" s="9"/>
      <c r="BB51" s="9"/>
      <c r="BC51" s="9"/>
      <c r="BD51" s="9"/>
      <c r="BE51" s="9"/>
      <c r="BF51" s="9"/>
      <c r="BG51" s="9"/>
      <c r="BH51" s="9"/>
    </row>
    <row r="52" spans="1:60" x14ac:dyDescent="0.3">
      <c r="A52" s="44" t="s">
        <v>9</v>
      </c>
      <c r="B52" s="45" t="s">
        <v>2</v>
      </c>
      <c r="C52" s="45">
        <v>3</v>
      </c>
      <c r="D52" s="121">
        <v>180.77</v>
      </c>
      <c r="E52" s="122">
        <v>216.92</v>
      </c>
      <c r="F52" s="45">
        <v>400</v>
      </c>
      <c r="G52" s="30">
        <v>45931</v>
      </c>
      <c r="H52" s="30"/>
      <c r="I5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650.77</v>
      </c>
      <c r="L52" t="s">
        <v>1</v>
      </c>
      <c r="M52" s="9">
        <v>236.53</v>
      </c>
      <c r="N52" s="9"/>
      <c r="O52" s="9"/>
      <c r="P52" s="9"/>
      <c r="Q52" s="9"/>
      <c r="R52" s="9"/>
      <c r="S52" s="9"/>
      <c r="T52" s="9"/>
      <c r="U52" s="9"/>
      <c r="V52" s="9"/>
      <c r="W52" s="9"/>
      <c r="AA52" t="s">
        <v>315</v>
      </c>
      <c r="AB52" s="124"/>
      <c r="AC52" s="124">
        <v>1</v>
      </c>
      <c r="AD52" s="124">
        <v>1</v>
      </c>
      <c r="AE52" s="124">
        <v>1</v>
      </c>
      <c r="AF52" s="124">
        <v>1</v>
      </c>
      <c r="AG52" s="124"/>
      <c r="AI52" t="s">
        <v>1</v>
      </c>
      <c r="AJ52" t="s">
        <v>262</v>
      </c>
      <c r="AK52" t="s">
        <v>55</v>
      </c>
      <c r="AW52" t="s">
        <v>1</v>
      </c>
      <c r="AX52" s="9">
        <v>197.11</v>
      </c>
      <c r="AY52" s="9"/>
      <c r="AZ52" s="9"/>
      <c r="BA52" s="9"/>
      <c r="BB52" s="9"/>
      <c r="BC52" s="9"/>
      <c r="BD52" s="9"/>
      <c r="BE52" s="9"/>
      <c r="BF52" s="9"/>
      <c r="BG52" s="9"/>
      <c r="BH52" s="9"/>
    </row>
    <row r="53" spans="1:60" x14ac:dyDescent="0.3">
      <c r="A53" s="44" t="s">
        <v>9</v>
      </c>
      <c r="B53" s="45" t="s">
        <v>2</v>
      </c>
      <c r="C53" s="45">
        <v>4</v>
      </c>
      <c r="D53" s="121">
        <v>156.83000000000001</v>
      </c>
      <c r="E53" s="122">
        <v>188.2</v>
      </c>
      <c r="F53" s="45">
        <v>400</v>
      </c>
      <c r="G53" s="30">
        <v>45931</v>
      </c>
      <c r="H53" s="30"/>
      <c r="I5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752.78</v>
      </c>
      <c r="L53" t="s">
        <v>3</v>
      </c>
      <c r="M53" s="9">
        <v>40.69</v>
      </c>
      <c r="N53" s="9"/>
      <c r="O53" s="9"/>
      <c r="P53" s="9"/>
      <c r="Q53" s="9"/>
      <c r="R53" s="9"/>
      <c r="S53" s="9"/>
      <c r="T53" s="9"/>
      <c r="U53" s="9"/>
      <c r="V53" s="9"/>
      <c r="W53" s="9"/>
      <c r="AA53" t="s">
        <v>316</v>
      </c>
      <c r="AB53" s="124"/>
      <c r="AC53" s="124"/>
      <c r="AD53" s="124"/>
      <c r="AE53" s="124"/>
      <c r="AF53" s="124"/>
      <c r="AG53" s="124"/>
      <c r="AI53" t="s">
        <v>1</v>
      </c>
      <c r="AJ53" t="s">
        <v>263</v>
      </c>
      <c r="AK53" t="s">
        <v>55</v>
      </c>
      <c r="AW53" t="s">
        <v>3</v>
      </c>
      <c r="AX53" s="9">
        <v>33.909999999999997</v>
      </c>
      <c r="AY53" s="9"/>
      <c r="AZ53" s="9"/>
      <c r="BA53" s="9"/>
      <c r="BB53" s="9"/>
      <c r="BC53" s="9"/>
      <c r="BD53" s="9"/>
      <c r="BE53" s="9"/>
      <c r="BF53" s="9"/>
      <c r="BG53" s="9"/>
      <c r="BH53" s="9"/>
    </row>
    <row r="54" spans="1:60" x14ac:dyDescent="0.3">
      <c r="A54" s="44" t="s">
        <v>9</v>
      </c>
      <c r="B54" s="45" t="s">
        <v>2</v>
      </c>
      <c r="C54" s="45">
        <v>5</v>
      </c>
      <c r="D54" s="121">
        <v>135.46</v>
      </c>
      <c r="E54" s="122">
        <v>162.55000000000001</v>
      </c>
      <c r="F54" s="45">
        <v>400</v>
      </c>
      <c r="G54" s="30">
        <v>45931</v>
      </c>
      <c r="H54" s="30"/>
      <c r="I5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812.76</v>
      </c>
      <c r="L54" t="s">
        <v>74</v>
      </c>
      <c r="M54" s="9">
        <v>107.28</v>
      </c>
      <c r="N54" s="9"/>
      <c r="O54" s="9"/>
      <c r="P54" s="9"/>
      <c r="Q54" s="9"/>
      <c r="R54" s="9"/>
      <c r="S54" s="9"/>
      <c r="T54" s="9"/>
      <c r="U54" s="9"/>
      <c r="V54" s="9"/>
      <c r="W54" s="9"/>
      <c r="AA54" t="s">
        <v>318</v>
      </c>
      <c r="AB54" s="124"/>
      <c r="AC54" s="124"/>
      <c r="AD54" s="124"/>
      <c r="AE54" s="124"/>
      <c r="AF54" s="124"/>
      <c r="AG54" s="124"/>
      <c r="AI54" t="s">
        <v>1</v>
      </c>
      <c r="AJ54" t="s">
        <v>264</v>
      </c>
      <c r="AK54" t="s">
        <v>55</v>
      </c>
      <c r="AW54" t="s">
        <v>74</v>
      </c>
      <c r="AX54" s="9">
        <v>89.4</v>
      </c>
      <c r="AY54" s="9"/>
      <c r="AZ54" s="9"/>
      <c r="BA54" s="9"/>
      <c r="BB54" s="9"/>
      <c r="BC54" s="9"/>
      <c r="BD54" s="9"/>
      <c r="BE54" s="9"/>
      <c r="BF54" s="9"/>
      <c r="BG54" s="9"/>
      <c r="BH54" s="9"/>
    </row>
    <row r="55" spans="1:60" x14ac:dyDescent="0.3">
      <c r="A55" s="44" t="s">
        <v>9</v>
      </c>
      <c r="B55" s="45" t="s">
        <v>2</v>
      </c>
      <c r="C55" s="45">
        <v>6</v>
      </c>
      <c r="D55" s="121">
        <v>119.78</v>
      </c>
      <c r="E55" s="122">
        <v>143.74</v>
      </c>
      <c r="F55" s="45">
        <v>400</v>
      </c>
      <c r="G55" s="30">
        <v>45931</v>
      </c>
      <c r="H55" s="30"/>
      <c r="I5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862.42</v>
      </c>
      <c r="K55" t="s">
        <v>313</v>
      </c>
      <c r="L55" t="s">
        <v>2</v>
      </c>
      <c r="M55" s="9">
        <v>200.89</v>
      </c>
      <c r="N55" s="9"/>
      <c r="O55" s="9"/>
      <c r="P55" s="9"/>
      <c r="Q55" s="9"/>
      <c r="R55" s="9"/>
      <c r="S55" s="9"/>
      <c r="T55" s="9"/>
      <c r="U55" s="9"/>
      <c r="V55" s="9"/>
      <c r="W55" s="9"/>
      <c r="Z55" s="8">
        <v>45901</v>
      </c>
      <c r="AA55" t="s">
        <v>11</v>
      </c>
      <c r="AB55" s="124">
        <v>10</v>
      </c>
      <c r="AC55" s="124">
        <v>10</v>
      </c>
      <c r="AD55" s="124">
        <v>10</v>
      </c>
      <c r="AE55" s="124"/>
      <c r="AF55" s="124"/>
      <c r="AG55" s="124"/>
      <c r="AI55" t="s">
        <v>1</v>
      </c>
      <c r="AJ55" t="s">
        <v>312</v>
      </c>
      <c r="AK55" t="s">
        <v>55</v>
      </c>
      <c r="AV55" t="s">
        <v>313</v>
      </c>
      <c r="AW55" t="s">
        <v>2</v>
      </c>
      <c r="AX55" s="9">
        <v>167.41</v>
      </c>
      <c r="AY55" s="9"/>
      <c r="AZ55" s="9"/>
      <c r="BA55" s="9"/>
      <c r="BB55" s="9"/>
      <c r="BC55" s="9"/>
      <c r="BD55" s="9"/>
      <c r="BE55" s="9"/>
      <c r="BF55" s="9"/>
      <c r="BG55" s="9"/>
      <c r="BH55" s="9"/>
    </row>
    <row r="56" spans="1:60" x14ac:dyDescent="0.3">
      <c r="A56" s="44" t="s">
        <v>9</v>
      </c>
      <c r="B56" s="45" t="s">
        <v>2</v>
      </c>
      <c r="C56" s="45">
        <v>7</v>
      </c>
      <c r="D56" s="121">
        <v>105.55</v>
      </c>
      <c r="E56" s="122">
        <v>126.66</v>
      </c>
      <c r="F56" s="45">
        <v>400</v>
      </c>
      <c r="G56" s="30">
        <v>45931</v>
      </c>
      <c r="H56" s="30"/>
      <c r="I5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886.62</v>
      </c>
      <c r="L56" t="s">
        <v>1</v>
      </c>
      <c r="M56" s="9">
        <v>468</v>
      </c>
      <c r="N56" s="9"/>
      <c r="O56" s="9"/>
      <c r="P56" s="9"/>
      <c r="Q56" s="9"/>
      <c r="R56" s="9"/>
      <c r="S56" s="9"/>
      <c r="T56" s="9"/>
      <c r="U56" s="9"/>
      <c r="V56" s="9"/>
      <c r="W56" s="9"/>
      <c r="AA56" t="s">
        <v>10</v>
      </c>
      <c r="AB56" s="124"/>
      <c r="AC56" s="124">
        <v>5</v>
      </c>
      <c r="AD56" s="124">
        <v>5</v>
      </c>
      <c r="AE56" s="124">
        <v>3</v>
      </c>
      <c r="AF56" s="124"/>
      <c r="AG56" s="124"/>
      <c r="AI56" t="s">
        <v>1</v>
      </c>
      <c r="AJ56" t="s">
        <v>313</v>
      </c>
      <c r="AK56" t="s">
        <v>55</v>
      </c>
      <c r="AW56" t="s">
        <v>1</v>
      </c>
      <c r="AX56" s="9">
        <v>390</v>
      </c>
      <c r="AY56" s="9"/>
      <c r="AZ56" s="9"/>
      <c r="BA56" s="9"/>
      <c r="BB56" s="9"/>
      <c r="BC56" s="9"/>
      <c r="BD56" s="9"/>
      <c r="BE56" s="9"/>
      <c r="BF56" s="9"/>
      <c r="BG56" s="9"/>
      <c r="BH56" s="9"/>
    </row>
    <row r="57" spans="1:60" x14ac:dyDescent="0.3">
      <c r="A57" s="44" t="s">
        <v>9</v>
      </c>
      <c r="B57" s="45" t="s">
        <v>2</v>
      </c>
      <c r="C57" s="45">
        <v>8</v>
      </c>
      <c r="D57" s="121">
        <v>94.23</v>
      </c>
      <c r="E57" s="122">
        <v>113.08</v>
      </c>
      <c r="F57" s="45">
        <v>400</v>
      </c>
      <c r="G57" s="30">
        <v>45931</v>
      </c>
      <c r="H57" s="30"/>
      <c r="I5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904.61</v>
      </c>
      <c r="L57" t="s">
        <v>3</v>
      </c>
      <c r="M57" s="9">
        <v>84.07</v>
      </c>
      <c r="N57" s="9"/>
      <c r="O57" s="9"/>
      <c r="P57" s="9"/>
      <c r="Q57" s="9"/>
      <c r="R57" s="9"/>
      <c r="S57" s="9"/>
      <c r="T57" s="9"/>
      <c r="U57" s="9"/>
      <c r="V57" s="9"/>
      <c r="W57" s="9"/>
      <c r="AA57" t="s">
        <v>49</v>
      </c>
      <c r="AB57" s="124"/>
      <c r="AC57" s="124"/>
      <c r="AD57" s="124">
        <v>1</v>
      </c>
      <c r="AE57" s="124"/>
      <c r="AF57" s="124"/>
      <c r="AG57" s="124"/>
      <c r="AI57" t="s">
        <v>1</v>
      </c>
      <c r="AJ57" t="s">
        <v>314</v>
      </c>
      <c r="AK57" t="s">
        <v>55</v>
      </c>
      <c r="AW57" t="s">
        <v>3</v>
      </c>
      <c r="AX57" s="9">
        <v>70.06</v>
      </c>
      <c r="AY57" s="9"/>
      <c r="AZ57" s="9"/>
      <c r="BA57" s="9"/>
      <c r="BB57" s="9"/>
      <c r="BC57" s="9"/>
      <c r="BD57" s="9"/>
      <c r="BE57" s="9"/>
      <c r="BF57" s="9"/>
      <c r="BG57" s="9"/>
      <c r="BH57" s="9"/>
    </row>
    <row r="58" spans="1:60" x14ac:dyDescent="0.3">
      <c r="A58" s="44" t="s">
        <v>9</v>
      </c>
      <c r="B58" s="45" t="s">
        <v>2</v>
      </c>
      <c r="C58" s="45">
        <v>9</v>
      </c>
      <c r="D58" s="121">
        <v>85.56</v>
      </c>
      <c r="E58" s="122">
        <v>102.67</v>
      </c>
      <c r="F58" s="45">
        <v>400</v>
      </c>
      <c r="G58" s="30">
        <v>45931</v>
      </c>
      <c r="H58" s="30"/>
      <c r="I5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924.05</v>
      </c>
      <c r="L58" t="s">
        <v>74</v>
      </c>
      <c r="M58" s="9">
        <v>233.22</v>
      </c>
      <c r="N58" s="9"/>
      <c r="O58" s="9"/>
      <c r="P58" s="9"/>
      <c r="Q58" s="9"/>
      <c r="R58" s="9"/>
      <c r="S58" s="9"/>
      <c r="T58" s="9"/>
      <c r="U58" s="9"/>
      <c r="V58" s="9"/>
      <c r="W58" s="9"/>
      <c r="AA58" t="s">
        <v>4</v>
      </c>
      <c r="AB58" s="124">
        <v>5</v>
      </c>
      <c r="AC58" s="124">
        <v>10</v>
      </c>
      <c r="AD58" s="124">
        <v>10</v>
      </c>
      <c r="AE58" s="124"/>
      <c r="AF58" s="124"/>
      <c r="AG58" s="124"/>
      <c r="AI58" t="s">
        <v>1</v>
      </c>
      <c r="AJ58" t="s">
        <v>315</v>
      </c>
      <c r="AK58" t="s">
        <v>55</v>
      </c>
      <c r="AW58" t="s">
        <v>74</v>
      </c>
      <c r="AX58" s="9">
        <v>194.35</v>
      </c>
      <c r="AY58" s="9"/>
      <c r="AZ58" s="9"/>
      <c r="BA58" s="9"/>
      <c r="BB58" s="9"/>
      <c r="BC58" s="9"/>
      <c r="BD58" s="9"/>
      <c r="BE58" s="9"/>
      <c r="BF58" s="9"/>
      <c r="BG58" s="9"/>
      <c r="BH58" s="9"/>
    </row>
    <row r="59" spans="1:60" x14ac:dyDescent="0.3">
      <c r="A59" s="44" t="s">
        <v>9</v>
      </c>
      <c r="B59" s="45" t="s">
        <v>2</v>
      </c>
      <c r="C59" s="45">
        <v>10</v>
      </c>
      <c r="D59" s="121">
        <v>79.709999999999994</v>
      </c>
      <c r="E59" s="122">
        <v>95.65</v>
      </c>
      <c r="F59" s="45">
        <v>400</v>
      </c>
      <c r="G59" s="30">
        <v>45931</v>
      </c>
      <c r="H59" s="30"/>
      <c r="I5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956.52</v>
      </c>
      <c r="K59" t="s">
        <v>314</v>
      </c>
      <c r="L59" t="s">
        <v>2</v>
      </c>
      <c r="M59" s="9">
        <v>92.26</v>
      </c>
      <c r="N59" s="9"/>
      <c r="O59" s="9"/>
      <c r="P59" s="9"/>
      <c r="Q59" s="9"/>
      <c r="R59" s="9"/>
      <c r="S59" s="9"/>
      <c r="T59" s="9"/>
      <c r="U59" s="9"/>
      <c r="V59" s="9"/>
      <c r="W59" s="9"/>
      <c r="AA59" t="s">
        <v>50</v>
      </c>
      <c r="AB59" s="124">
        <v>1</v>
      </c>
      <c r="AC59" s="124">
        <v>1</v>
      </c>
      <c r="AD59" s="124">
        <v>1</v>
      </c>
      <c r="AE59" s="124"/>
      <c r="AF59" s="124"/>
      <c r="AG59" s="124"/>
      <c r="AI59" t="s">
        <v>74</v>
      </c>
      <c r="AJ59" t="s">
        <v>312</v>
      </c>
      <c r="AK59" t="s">
        <v>55</v>
      </c>
      <c r="AV59" t="s">
        <v>314</v>
      </c>
      <c r="AW59" t="s">
        <v>2</v>
      </c>
      <c r="AX59" s="9">
        <v>76.88</v>
      </c>
      <c r="AY59" s="9"/>
      <c r="AZ59" s="9"/>
      <c r="BA59" s="9"/>
      <c r="BB59" s="9"/>
      <c r="BC59" s="9"/>
      <c r="BD59" s="9"/>
      <c r="BE59" s="9"/>
      <c r="BF59" s="9"/>
      <c r="BG59" s="9"/>
      <c r="BH59" s="9"/>
    </row>
    <row r="60" spans="1:60" x14ac:dyDescent="0.3">
      <c r="A60" s="44" t="s">
        <v>9</v>
      </c>
      <c r="B60" s="45" t="s">
        <v>16</v>
      </c>
      <c r="C60" s="45">
        <v>1</v>
      </c>
      <c r="D60" s="121">
        <v>47.74</v>
      </c>
      <c r="E60" s="122">
        <v>57.29</v>
      </c>
      <c r="F60" s="45">
        <v>60</v>
      </c>
      <c r="G60" s="30">
        <v>45931</v>
      </c>
      <c r="H60" s="30"/>
      <c r="I6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57.29</v>
      </c>
      <c r="L60" t="s">
        <v>1</v>
      </c>
      <c r="M60" s="9">
        <v>236.53</v>
      </c>
      <c r="N60" s="9"/>
      <c r="O60" s="9"/>
      <c r="P60" s="9"/>
      <c r="Q60" s="9"/>
      <c r="R60" s="9"/>
      <c r="S60" s="9"/>
      <c r="T60" s="9"/>
      <c r="U60" s="9"/>
      <c r="V60" s="9"/>
      <c r="W60" s="9"/>
      <c r="AA60" t="s">
        <v>9</v>
      </c>
      <c r="AB60" s="124">
        <v>10</v>
      </c>
      <c r="AC60" s="124">
        <v>10</v>
      </c>
      <c r="AD60" s="124">
        <v>10</v>
      </c>
      <c r="AE60" s="124"/>
      <c r="AF60" s="124"/>
      <c r="AG60" s="124"/>
      <c r="AI60" t="s">
        <v>74</v>
      </c>
      <c r="AJ60" t="s">
        <v>313</v>
      </c>
      <c r="AK60" t="s">
        <v>55</v>
      </c>
      <c r="AW60" t="s">
        <v>1</v>
      </c>
      <c r="AX60" s="9">
        <v>197.11</v>
      </c>
      <c r="AY60" s="9"/>
      <c r="AZ60" s="9"/>
      <c r="BA60" s="9"/>
      <c r="BB60" s="9"/>
      <c r="BC60" s="9"/>
      <c r="BD60" s="9"/>
      <c r="BE60" s="9"/>
      <c r="BF60" s="9"/>
      <c r="BG60" s="9"/>
      <c r="BH60" s="9"/>
    </row>
    <row r="61" spans="1:60" x14ac:dyDescent="0.3">
      <c r="A61" s="44" t="s">
        <v>9</v>
      </c>
      <c r="B61" s="45" t="s">
        <v>16</v>
      </c>
      <c r="C61" s="45">
        <v>2</v>
      </c>
      <c r="D61" s="121">
        <v>43.87</v>
      </c>
      <c r="E61" s="122">
        <v>52.64</v>
      </c>
      <c r="F61" s="45">
        <v>60</v>
      </c>
      <c r="G61" s="30">
        <v>45931</v>
      </c>
      <c r="H61" s="30"/>
      <c r="I6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105.29</v>
      </c>
      <c r="L61" t="s">
        <v>3</v>
      </c>
      <c r="M61" s="9">
        <v>40.69</v>
      </c>
      <c r="N61" s="9"/>
      <c r="O61" s="9"/>
      <c r="P61" s="9"/>
      <c r="Q61" s="9"/>
      <c r="R61" s="9"/>
      <c r="S61" s="9"/>
      <c r="T61" s="9"/>
      <c r="U61" s="9"/>
      <c r="V61" s="9"/>
      <c r="W61" s="9"/>
      <c r="AA61" t="s">
        <v>51</v>
      </c>
      <c r="AB61" s="124">
        <v>1</v>
      </c>
      <c r="AC61" s="124">
        <v>1</v>
      </c>
      <c r="AD61" s="124">
        <v>1</v>
      </c>
      <c r="AE61" s="124"/>
      <c r="AF61" s="124"/>
      <c r="AG61" s="124"/>
      <c r="AI61" t="s">
        <v>74</v>
      </c>
      <c r="AJ61" t="s">
        <v>314</v>
      </c>
      <c r="AK61" t="s">
        <v>55</v>
      </c>
      <c r="AW61" t="s">
        <v>3</v>
      </c>
      <c r="AX61" s="9">
        <v>33.909999999999997</v>
      </c>
      <c r="AY61" s="9"/>
      <c r="AZ61" s="9"/>
      <c r="BA61" s="9"/>
      <c r="BB61" s="9"/>
      <c r="BC61" s="9"/>
      <c r="BD61" s="9"/>
      <c r="BE61" s="9"/>
      <c r="BF61" s="9"/>
      <c r="BG61" s="9"/>
      <c r="BH61" s="9"/>
    </row>
    <row r="62" spans="1:60" x14ac:dyDescent="0.3">
      <c r="A62" s="44" t="s">
        <v>9</v>
      </c>
      <c r="B62" s="45" t="s">
        <v>16</v>
      </c>
      <c r="C62" s="45">
        <v>3</v>
      </c>
      <c r="D62" s="121">
        <v>40.33</v>
      </c>
      <c r="E62" s="122">
        <v>48.4</v>
      </c>
      <c r="F62" s="45">
        <v>60</v>
      </c>
      <c r="G62" s="30">
        <v>45931</v>
      </c>
      <c r="H62" s="30"/>
      <c r="I6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145.19</v>
      </c>
      <c r="L62" t="s">
        <v>74</v>
      </c>
      <c r="M62" s="9">
        <v>107.28</v>
      </c>
      <c r="N62" s="9"/>
      <c r="O62" s="9"/>
      <c r="P62" s="9"/>
      <c r="Q62" s="9"/>
      <c r="R62" s="9"/>
      <c r="S62" s="9"/>
      <c r="T62" s="9"/>
      <c r="U62" s="9"/>
      <c r="V62" s="9"/>
      <c r="W62" s="9"/>
      <c r="AA62" t="s">
        <v>73</v>
      </c>
      <c r="AB62" s="124">
        <v>1</v>
      </c>
      <c r="AC62" s="124">
        <v>1</v>
      </c>
      <c r="AD62" s="124">
        <v>1</v>
      </c>
      <c r="AE62" s="124"/>
      <c r="AF62" s="124"/>
      <c r="AG62" s="124"/>
      <c r="AI62" t="s">
        <v>74</v>
      </c>
      <c r="AJ62" t="s">
        <v>315</v>
      </c>
      <c r="AK62" t="s">
        <v>55</v>
      </c>
      <c r="AW62" t="s">
        <v>74</v>
      </c>
      <c r="AX62" s="9">
        <v>89.4</v>
      </c>
      <c r="AY62" s="9"/>
      <c r="AZ62" s="9"/>
      <c r="BA62" s="9"/>
      <c r="BB62" s="9"/>
      <c r="BC62" s="9"/>
      <c r="BD62" s="9"/>
      <c r="BE62" s="9"/>
      <c r="BF62" s="9"/>
      <c r="BG62" s="9"/>
      <c r="BH62" s="9"/>
    </row>
    <row r="63" spans="1:60" x14ac:dyDescent="0.3">
      <c r="A63" s="44" t="s">
        <v>9</v>
      </c>
      <c r="B63" s="45" t="s">
        <v>16</v>
      </c>
      <c r="C63" s="45">
        <v>4</v>
      </c>
      <c r="D63" s="121">
        <v>37</v>
      </c>
      <c r="E63" s="122">
        <v>44.4</v>
      </c>
      <c r="F63" s="45">
        <v>60</v>
      </c>
      <c r="G63" s="30">
        <v>45931</v>
      </c>
      <c r="H63" s="30"/>
      <c r="I6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177.6</v>
      </c>
      <c r="K63" t="s">
        <v>315</v>
      </c>
      <c r="L63" t="s">
        <v>2</v>
      </c>
      <c r="M63" s="9">
        <v>200.89</v>
      </c>
      <c r="N63" s="9"/>
      <c r="O63" s="9"/>
      <c r="P63" s="9"/>
      <c r="Q63" s="9"/>
      <c r="R63" s="9"/>
      <c r="S63" s="9"/>
      <c r="T63" s="9"/>
      <c r="U63" s="9"/>
      <c r="V63" s="9"/>
      <c r="W63" s="9"/>
      <c r="AA63" t="s">
        <v>245</v>
      </c>
      <c r="AB63" s="124"/>
      <c r="AC63" s="124"/>
      <c r="AD63" s="124"/>
      <c r="AE63" s="124"/>
      <c r="AF63" s="124"/>
      <c r="AG63" s="124"/>
      <c r="AI63" t="s">
        <v>251</v>
      </c>
      <c r="AJ63" t="s">
        <v>245</v>
      </c>
      <c r="AK63" t="s">
        <v>55</v>
      </c>
      <c r="AV63" t="s">
        <v>315</v>
      </c>
      <c r="AW63" t="s">
        <v>2</v>
      </c>
      <c r="AX63" s="9">
        <v>167.41</v>
      </c>
      <c r="AY63" s="9"/>
      <c r="AZ63" s="9"/>
      <c r="BA63" s="9"/>
      <c r="BB63" s="9"/>
      <c r="BC63" s="9"/>
      <c r="BD63" s="9"/>
      <c r="BE63" s="9"/>
      <c r="BF63" s="9"/>
      <c r="BG63" s="9"/>
      <c r="BH63" s="9"/>
    </row>
    <row r="64" spans="1:60" x14ac:dyDescent="0.3">
      <c r="A64" s="44" t="s">
        <v>9</v>
      </c>
      <c r="B64" s="45" t="s">
        <v>16</v>
      </c>
      <c r="C64" s="45">
        <v>5</v>
      </c>
      <c r="D64" s="121">
        <v>34</v>
      </c>
      <c r="E64" s="122">
        <v>40.799999999999997</v>
      </c>
      <c r="F64" s="45">
        <v>60</v>
      </c>
      <c r="G64" s="30">
        <v>45931</v>
      </c>
      <c r="H64" s="30"/>
      <c r="I6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204</v>
      </c>
      <c r="L64" t="s">
        <v>1</v>
      </c>
      <c r="M64" s="9">
        <v>468</v>
      </c>
      <c r="N64" s="9"/>
      <c r="O64" s="9"/>
      <c r="P64" s="9"/>
      <c r="Q64" s="9"/>
      <c r="R64" s="9"/>
      <c r="S64" s="9"/>
      <c r="T64" s="9"/>
      <c r="U64" s="9"/>
      <c r="V64" s="9"/>
      <c r="W64" s="9"/>
      <c r="AA64" t="s">
        <v>246</v>
      </c>
      <c r="AB64" s="124"/>
      <c r="AC64" s="124"/>
      <c r="AD64" s="124"/>
      <c r="AE64" s="124"/>
      <c r="AF64" s="124"/>
      <c r="AG64" s="124"/>
      <c r="AI64" t="s">
        <v>251</v>
      </c>
      <c r="AJ64" t="s">
        <v>246</v>
      </c>
      <c r="AK64" t="s">
        <v>55</v>
      </c>
      <c r="AW64" t="s">
        <v>1</v>
      </c>
      <c r="AX64" s="9">
        <v>390</v>
      </c>
      <c r="AY64" s="9"/>
      <c r="AZ64" s="9"/>
      <c r="BA64" s="9"/>
      <c r="BB64" s="9"/>
      <c r="BC64" s="9"/>
      <c r="BD64" s="9"/>
      <c r="BE64" s="9"/>
      <c r="BF64" s="9"/>
      <c r="BG64" s="9"/>
      <c r="BH64" s="9"/>
    </row>
    <row r="65" spans="1:60" x14ac:dyDescent="0.3">
      <c r="A65" s="44" t="s">
        <v>9</v>
      </c>
      <c r="B65" s="45" t="s">
        <v>16</v>
      </c>
      <c r="C65" s="45">
        <v>6</v>
      </c>
      <c r="D65" s="121">
        <v>31.26</v>
      </c>
      <c r="E65" s="122">
        <v>37.51</v>
      </c>
      <c r="F65" s="45">
        <v>60</v>
      </c>
      <c r="G65" s="30">
        <v>45931</v>
      </c>
      <c r="H65" s="30"/>
      <c r="I6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225.07</v>
      </c>
      <c r="L65" t="s">
        <v>3</v>
      </c>
      <c r="M65" s="9">
        <v>84.07</v>
      </c>
      <c r="N65" s="9"/>
      <c r="O65" s="9"/>
      <c r="P65" s="9"/>
      <c r="Q65" s="9"/>
      <c r="R65" s="9"/>
      <c r="S65" s="9"/>
      <c r="T65" s="9"/>
      <c r="U65" s="9"/>
      <c r="V65" s="9"/>
      <c r="W65" s="9"/>
      <c r="AA65" t="s">
        <v>252</v>
      </c>
      <c r="AB65" s="124"/>
      <c r="AC65" s="124"/>
      <c r="AD65" s="124"/>
      <c r="AE65" s="124"/>
      <c r="AF65" s="124"/>
      <c r="AG65" s="124"/>
      <c r="AI65" t="s">
        <v>251</v>
      </c>
      <c r="AJ65" t="s">
        <v>252</v>
      </c>
      <c r="AK65" t="s">
        <v>55</v>
      </c>
      <c r="AW65" t="s">
        <v>3</v>
      </c>
      <c r="AX65" s="9">
        <v>70.06</v>
      </c>
      <c r="AY65" s="9"/>
      <c r="AZ65" s="9"/>
      <c r="BA65" s="9"/>
      <c r="BB65" s="9"/>
      <c r="BC65" s="9"/>
      <c r="BD65" s="9"/>
      <c r="BE65" s="9"/>
      <c r="BF65" s="9"/>
      <c r="BG65" s="9"/>
      <c r="BH65" s="9"/>
    </row>
    <row r="66" spans="1:60" x14ac:dyDescent="0.3">
      <c r="A66" s="44" t="s">
        <v>9</v>
      </c>
      <c r="B66" s="45" t="s">
        <v>16</v>
      </c>
      <c r="C66" s="45">
        <v>7</v>
      </c>
      <c r="D66" s="121">
        <v>28.12</v>
      </c>
      <c r="E66" s="122">
        <v>33.74</v>
      </c>
      <c r="F66" s="45">
        <v>60</v>
      </c>
      <c r="G66" s="30">
        <v>45931</v>
      </c>
      <c r="H66" s="30"/>
      <c r="I6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236.21</v>
      </c>
      <c r="L66" t="s">
        <v>74</v>
      </c>
      <c r="M66" s="9">
        <v>233.22</v>
      </c>
      <c r="N66" s="9"/>
      <c r="O66" s="9"/>
      <c r="P66" s="9"/>
      <c r="Q66" s="9"/>
      <c r="R66" s="9"/>
      <c r="S66" s="9"/>
      <c r="T66" s="9"/>
      <c r="U66" s="9"/>
      <c r="V66" s="9"/>
      <c r="W66" s="9"/>
      <c r="AA66" t="s">
        <v>253</v>
      </c>
      <c r="AB66" s="124"/>
      <c r="AC66" s="124"/>
      <c r="AD66" s="124"/>
      <c r="AE66" s="124"/>
      <c r="AF66" s="124"/>
      <c r="AG66" s="124"/>
      <c r="AI66" t="s">
        <v>251</v>
      </c>
      <c r="AJ66" t="s">
        <v>253</v>
      </c>
      <c r="AK66" t="s">
        <v>55</v>
      </c>
      <c r="AW66" t="s">
        <v>74</v>
      </c>
      <c r="AX66" s="9">
        <v>194.35</v>
      </c>
      <c r="AY66" s="9"/>
      <c r="AZ66" s="9"/>
      <c r="BA66" s="9"/>
      <c r="BB66" s="9"/>
      <c r="BC66" s="9"/>
      <c r="BD66" s="9"/>
      <c r="BE66" s="9"/>
      <c r="BF66" s="9"/>
      <c r="BG66" s="9"/>
      <c r="BH66" s="9"/>
    </row>
    <row r="67" spans="1:60" x14ac:dyDescent="0.3">
      <c r="A67" s="44" t="s">
        <v>9</v>
      </c>
      <c r="B67" s="45" t="s">
        <v>16</v>
      </c>
      <c r="C67" s="45">
        <v>8</v>
      </c>
      <c r="D67" s="121">
        <v>25.29</v>
      </c>
      <c r="E67" s="122">
        <v>30.35</v>
      </c>
      <c r="F67" s="45">
        <v>60</v>
      </c>
      <c r="G67" s="30">
        <v>45931</v>
      </c>
      <c r="H67" s="30"/>
      <c r="I6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242.78</v>
      </c>
      <c r="K67" t="s">
        <v>316</v>
      </c>
      <c r="L67" t="s">
        <v>251</v>
      </c>
      <c r="M67" s="9"/>
      <c r="N67" s="9"/>
      <c r="O67" s="9"/>
      <c r="P67" s="9"/>
      <c r="Q67" s="9"/>
      <c r="R67" s="9"/>
      <c r="S67" s="9"/>
      <c r="T67" s="9"/>
      <c r="U67" s="9"/>
      <c r="V67" s="9"/>
      <c r="W67" s="9">
        <v>14.9</v>
      </c>
      <c r="AA67" t="s">
        <v>257</v>
      </c>
      <c r="AB67" s="124"/>
      <c r="AC67" s="124">
        <v>5</v>
      </c>
      <c r="AD67" s="124">
        <v>5</v>
      </c>
      <c r="AE67" s="124">
        <v>3</v>
      </c>
      <c r="AF67" s="124"/>
      <c r="AG67" s="124"/>
      <c r="AI67" t="s">
        <v>251</v>
      </c>
      <c r="AJ67" t="s">
        <v>316</v>
      </c>
      <c r="AK67" t="s">
        <v>55</v>
      </c>
      <c r="AV67" t="s">
        <v>316</v>
      </c>
      <c r="AW67" t="s">
        <v>251</v>
      </c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>
        <v>12.42</v>
      </c>
    </row>
    <row r="68" spans="1:60" x14ac:dyDescent="0.3">
      <c r="A68" s="44" t="s">
        <v>9</v>
      </c>
      <c r="B68" s="45" t="s">
        <v>16</v>
      </c>
      <c r="C68" s="45">
        <v>9</v>
      </c>
      <c r="D68" s="121">
        <v>22.8</v>
      </c>
      <c r="E68" s="122">
        <v>27.36</v>
      </c>
      <c r="F68" s="45">
        <v>60</v>
      </c>
      <c r="G68" s="30">
        <v>45931</v>
      </c>
      <c r="H68" s="30"/>
      <c r="I6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246.24</v>
      </c>
      <c r="K68" t="s">
        <v>318</v>
      </c>
      <c r="L68" t="s">
        <v>251</v>
      </c>
      <c r="M68" s="9"/>
      <c r="N68" s="9"/>
      <c r="O68" s="9"/>
      <c r="P68" s="9"/>
      <c r="Q68" s="9"/>
      <c r="R68" s="9"/>
      <c r="S68" s="9"/>
      <c r="T68" s="9"/>
      <c r="U68" s="9"/>
      <c r="V68" s="9"/>
      <c r="W68" s="9">
        <v>14.9</v>
      </c>
      <c r="AA68" t="s">
        <v>258</v>
      </c>
      <c r="AB68" s="124">
        <v>5</v>
      </c>
      <c r="AC68" s="124">
        <v>10</v>
      </c>
      <c r="AD68" s="124">
        <v>10</v>
      </c>
      <c r="AE68" s="124"/>
      <c r="AF68" s="124"/>
      <c r="AG68" s="124"/>
      <c r="AI68" t="s">
        <v>251</v>
      </c>
      <c r="AJ68" t="s">
        <v>318</v>
      </c>
      <c r="AK68" t="s">
        <v>55</v>
      </c>
      <c r="AV68" t="s">
        <v>318</v>
      </c>
      <c r="AW68" t="s">
        <v>251</v>
      </c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>
        <v>12.42</v>
      </c>
    </row>
    <row r="69" spans="1:60" x14ac:dyDescent="0.3">
      <c r="A69" s="44" t="s">
        <v>9</v>
      </c>
      <c r="B69" s="45" t="s">
        <v>16</v>
      </c>
      <c r="C69" s="45">
        <v>10</v>
      </c>
      <c r="D69" s="121">
        <v>20.77</v>
      </c>
      <c r="E69" s="122">
        <v>24.92</v>
      </c>
      <c r="F69" s="45">
        <v>60</v>
      </c>
      <c r="G69" s="30">
        <v>45931</v>
      </c>
      <c r="H69" s="30"/>
      <c r="I6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249.24</v>
      </c>
      <c r="J69" s="8">
        <v>45870</v>
      </c>
      <c r="K69" t="s">
        <v>11</v>
      </c>
      <c r="L69" t="s">
        <v>16</v>
      </c>
      <c r="M69" s="9">
        <v>65.41</v>
      </c>
      <c r="N69" s="9">
        <v>59.98</v>
      </c>
      <c r="O69" s="9">
        <v>54.96</v>
      </c>
      <c r="P69" s="9">
        <v>50.45</v>
      </c>
      <c r="Q69" s="9">
        <v>46.22</v>
      </c>
      <c r="R69" s="9">
        <v>42.4</v>
      </c>
      <c r="S69" s="9">
        <v>38.17</v>
      </c>
      <c r="T69" s="9">
        <v>34.340000000000003</v>
      </c>
      <c r="U69" s="9">
        <v>30.91</v>
      </c>
      <c r="V69" s="9">
        <v>28.13</v>
      </c>
      <c r="W69" s="9"/>
      <c r="AA69" t="s">
        <v>259</v>
      </c>
      <c r="AB69" s="124">
        <v>10</v>
      </c>
      <c r="AC69" s="124">
        <v>10</v>
      </c>
      <c r="AD69" s="124">
        <v>10</v>
      </c>
      <c r="AE69" s="124"/>
      <c r="AF69" s="124"/>
      <c r="AG69" s="124"/>
      <c r="AI69" t="s">
        <v>243</v>
      </c>
      <c r="AU69" s="8">
        <v>45870</v>
      </c>
      <c r="AV69" t="s">
        <v>11</v>
      </c>
      <c r="AW69" t="s">
        <v>16</v>
      </c>
      <c r="AX69" s="9">
        <v>54.51</v>
      </c>
      <c r="AY69" s="9">
        <v>49.98</v>
      </c>
      <c r="AZ69" s="9">
        <v>45.8</v>
      </c>
      <c r="BA69" s="9">
        <v>42.04</v>
      </c>
      <c r="BB69" s="9">
        <v>38.520000000000003</v>
      </c>
      <c r="BC69" s="9">
        <v>35.33</v>
      </c>
      <c r="BD69" s="9">
        <v>31.81</v>
      </c>
      <c r="BE69" s="9">
        <v>28.62</v>
      </c>
      <c r="BF69" s="9">
        <v>25.76</v>
      </c>
      <c r="BG69" s="9">
        <v>23.44</v>
      </c>
      <c r="BH69" s="9"/>
    </row>
    <row r="70" spans="1:60" x14ac:dyDescent="0.3">
      <c r="A70" s="44" t="s">
        <v>11</v>
      </c>
      <c r="B70" s="45" t="s">
        <v>1</v>
      </c>
      <c r="C70" s="45">
        <v>1</v>
      </c>
      <c r="D70" s="121">
        <v>748.75</v>
      </c>
      <c r="E70" s="122">
        <v>898.5</v>
      </c>
      <c r="F70" s="45">
        <v>800</v>
      </c>
      <c r="G70" s="30">
        <v>45931</v>
      </c>
      <c r="H70" s="30"/>
      <c r="I7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898.5</v>
      </c>
      <c r="L70" t="s">
        <v>2</v>
      </c>
      <c r="M70" s="9">
        <v>535.51</v>
      </c>
      <c r="N70" s="9">
        <v>472.92</v>
      </c>
      <c r="O70" s="9">
        <v>417.58</v>
      </c>
      <c r="P70" s="9">
        <v>368.68</v>
      </c>
      <c r="Q70" s="9">
        <v>325.44</v>
      </c>
      <c r="R70" s="9">
        <v>287.26</v>
      </c>
      <c r="S70" s="9">
        <v>253.27</v>
      </c>
      <c r="T70" s="9">
        <v>226.03</v>
      </c>
      <c r="U70" s="9">
        <v>205.21</v>
      </c>
      <c r="V70" s="9">
        <v>191.2</v>
      </c>
      <c r="W70" s="9"/>
      <c r="AA70" t="s">
        <v>260</v>
      </c>
      <c r="AB70" s="124">
        <v>10</v>
      </c>
      <c r="AC70" s="124">
        <v>10</v>
      </c>
      <c r="AD70" s="124">
        <v>10</v>
      </c>
      <c r="AE70" s="124"/>
      <c r="AF70" s="124"/>
      <c r="AG70" s="124"/>
      <c r="AW70" t="s">
        <v>2</v>
      </c>
      <c r="AX70" s="9">
        <v>446.26</v>
      </c>
      <c r="AY70" s="9">
        <v>394.1</v>
      </c>
      <c r="AZ70" s="9">
        <v>347.98</v>
      </c>
      <c r="BA70" s="9">
        <v>307.23</v>
      </c>
      <c r="BB70" s="9">
        <v>271.2</v>
      </c>
      <c r="BC70" s="9">
        <v>239.38</v>
      </c>
      <c r="BD70" s="9">
        <v>211.06</v>
      </c>
      <c r="BE70" s="9">
        <v>188.36</v>
      </c>
      <c r="BF70" s="9">
        <v>171.01</v>
      </c>
      <c r="BG70" s="9">
        <v>159.33000000000001</v>
      </c>
      <c r="BH70" s="9"/>
    </row>
    <row r="71" spans="1:60" x14ac:dyDescent="0.3">
      <c r="A71" s="44" t="s">
        <v>11</v>
      </c>
      <c r="B71" s="45" t="s">
        <v>1</v>
      </c>
      <c r="C71" s="45">
        <v>2</v>
      </c>
      <c r="D71" s="121">
        <v>664.03</v>
      </c>
      <c r="E71" s="122">
        <v>796.84</v>
      </c>
      <c r="F71" s="45">
        <v>800</v>
      </c>
      <c r="G71" s="30">
        <v>45931</v>
      </c>
      <c r="H71" s="30"/>
      <c r="I7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1593.67</v>
      </c>
      <c r="L71" t="s">
        <v>1</v>
      </c>
      <c r="M71" s="9">
        <v>866.6</v>
      </c>
      <c r="N71" s="9">
        <v>767.05</v>
      </c>
      <c r="O71" s="9">
        <v>678.94</v>
      </c>
      <c r="P71" s="9">
        <v>600.9</v>
      </c>
      <c r="Q71" s="9">
        <v>531.76</v>
      </c>
      <c r="R71" s="9">
        <v>470.44</v>
      </c>
      <c r="S71" s="9">
        <v>415.87</v>
      </c>
      <c r="T71" s="9">
        <v>372.07</v>
      </c>
      <c r="U71" s="9">
        <v>338.5</v>
      </c>
      <c r="V71" s="9">
        <v>316.18</v>
      </c>
      <c r="W71" s="9"/>
      <c r="AA71" t="s">
        <v>261</v>
      </c>
      <c r="AB71" s="124"/>
      <c r="AC71" s="124"/>
      <c r="AD71" s="124">
        <v>1</v>
      </c>
      <c r="AE71" s="124"/>
      <c r="AF71" s="124"/>
      <c r="AG71" s="124"/>
      <c r="AW71" t="s">
        <v>1</v>
      </c>
      <c r="AX71" s="9">
        <v>722.17</v>
      </c>
      <c r="AY71" s="9">
        <v>639.21</v>
      </c>
      <c r="AZ71" s="9">
        <v>565.78</v>
      </c>
      <c r="BA71" s="9">
        <v>500.75</v>
      </c>
      <c r="BB71" s="9">
        <v>443.13</v>
      </c>
      <c r="BC71" s="9">
        <v>392.03</v>
      </c>
      <c r="BD71" s="9">
        <v>346.56</v>
      </c>
      <c r="BE71" s="9">
        <v>310.06</v>
      </c>
      <c r="BF71" s="9">
        <v>282.08</v>
      </c>
      <c r="BG71" s="9">
        <v>263.48</v>
      </c>
      <c r="BH71" s="9"/>
    </row>
    <row r="72" spans="1:60" x14ac:dyDescent="0.3">
      <c r="A72" s="44" t="s">
        <v>11</v>
      </c>
      <c r="B72" s="45" t="s">
        <v>1</v>
      </c>
      <c r="C72" s="45">
        <v>3</v>
      </c>
      <c r="D72" s="121">
        <v>588.9</v>
      </c>
      <c r="E72" s="122">
        <v>706.68</v>
      </c>
      <c r="F72" s="45">
        <v>800</v>
      </c>
      <c r="G72" s="30">
        <v>45931</v>
      </c>
      <c r="H72" s="30"/>
      <c r="I7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2120.04</v>
      </c>
      <c r="K72" t="s">
        <v>10</v>
      </c>
      <c r="L72" t="s">
        <v>2</v>
      </c>
      <c r="M72" s="9">
        <v>143.46</v>
      </c>
      <c r="N72" s="9">
        <v>119.29</v>
      </c>
      <c r="O72" s="9">
        <v>92.93</v>
      </c>
      <c r="P72" s="9">
        <v>80.44</v>
      </c>
      <c r="Q72" s="9">
        <v>69.36</v>
      </c>
      <c r="R72" s="9"/>
      <c r="S72" s="9"/>
      <c r="T72" s="9"/>
      <c r="U72" s="9"/>
      <c r="V72" s="9"/>
      <c r="W72" s="9"/>
      <c r="AA72" t="s">
        <v>262</v>
      </c>
      <c r="AB72" s="124">
        <v>1</v>
      </c>
      <c r="AC72" s="124">
        <v>1</v>
      </c>
      <c r="AD72" s="124">
        <v>1</v>
      </c>
      <c r="AE72" s="124"/>
      <c r="AF72" s="124"/>
      <c r="AG72" s="124"/>
      <c r="AV72" t="s">
        <v>10</v>
      </c>
      <c r="AW72" t="s">
        <v>2</v>
      </c>
      <c r="AX72" s="9">
        <v>119.55</v>
      </c>
      <c r="AY72" s="9">
        <v>99.41</v>
      </c>
      <c r="AZ72" s="9">
        <v>77.44</v>
      </c>
      <c r="BA72" s="9">
        <v>67.03</v>
      </c>
      <c r="BB72" s="9">
        <v>57.8</v>
      </c>
      <c r="BC72" s="9"/>
      <c r="BD72" s="9"/>
      <c r="BE72" s="9"/>
      <c r="BF72" s="9"/>
      <c r="BG72" s="9"/>
      <c r="BH72" s="9"/>
    </row>
    <row r="73" spans="1:60" x14ac:dyDescent="0.3">
      <c r="A73" s="44" t="s">
        <v>11</v>
      </c>
      <c r="B73" s="45" t="s">
        <v>1</v>
      </c>
      <c r="C73" s="45">
        <v>4</v>
      </c>
      <c r="D73" s="121">
        <v>522.24</v>
      </c>
      <c r="E73" s="122">
        <v>626.69000000000005</v>
      </c>
      <c r="F73" s="45">
        <v>800</v>
      </c>
      <c r="G73" s="30">
        <v>45931</v>
      </c>
      <c r="H73" s="30"/>
      <c r="I7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2506.75</v>
      </c>
      <c r="L73" t="s">
        <v>1</v>
      </c>
      <c r="M73" s="9">
        <v>241.07</v>
      </c>
      <c r="N73" s="9">
        <v>200.8</v>
      </c>
      <c r="O73" s="9">
        <v>156.85</v>
      </c>
      <c r="P73" s="9">
        <v>136.08000000000001</v>
      </c>
      <c r="Q73" s="9">
        <v>117.62</v>
      </c>
      <c r="R73" s="9"/>
      <c r="S73" s="9"/>
      <c r="T73" s="9"/>
      <c r="U73" s="9"/>
      <c r="V73" s="9"/>
      <c r="W73" s="9"/>
      <c r="AA73" t="s">
        <v>263</v>
      </c>
      <c r="AB73" s="124">
        <v>1</v>
      </c>
      <c r="AC73" s="124">
        <v>1</v>
      </c>
      <c r="AD73" s="124">
        <v>1</v>
      </c>
      <c r="AE73" s="124"/>
      <c r="AF73" s="124"/>
      <c r="AG73" s="124"/>
      <c r="AW73" t="s">
        <v>1</v>
      </c>
      <c r="AX73" s="9">
        <v>200.89</v>
      </c>
      <c r="AY73" s="9">
        <v>167.33</v>
      </c>
      <c r="AZ73" s="9">
        <v>130.71</v>
      </c>
      <c r="BA73" s="9">
        <v>113.4</v>
      </c>
      <c r="BB73" s="9">
        <v>98.02</v>
      </c>
      <c r="BC73" s="9"/>
      <c r="BD73" s="9"/>
      <c r="BE73" s="9"/>
      <c r="BF73" s="9"/>
      <c r="BG73" s="9"/>
      <c r="BH73" s="9"/>
    </row>
    <row r="74" spans="1:60" x14ac:dyDescent="0.3">
      <c r="A74" s="44" t="s">
        <v>11</v>
      </c>
      <c r="B74" s="45" t="s">
        <v>1</v>
      </c>
      <c r="C74" s="45">
        <v>5</v>
      </c>
      <c r="D74" s="121">
        <v>463.05</v>
      </c>
      <c r="E74" s="122">
        <v>555.66</v>
      </c>
      <c r="F74" s="45">
        <v>800</v>
      </c>
      <c r="G74" s="30">
        <v>45931</v>
      </c>
      <c r="H74" s="30"/>
      <c r="I7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2778.3</v>
      </c>
      <c r="L74" t="s">
        <v>3</v>
      </c>
      <c r="M74" s="9">
        <v>37.5</v>
      </c>
      <c r="N74" s="9">
        <v>34.43</v>
      </c>
      <c r="O74" s="9">
        <v>34.159999999999997</v>
      </c>
      <c r="P74" s="9"/>
      <c r="Q74" s="9"/>
      <c r="R74" s="9"/>
      <c r="S74" s="9"/>
      <c r="T74" s="9"/>
      <c r="U74" s="9"/>
      <c r="V74" s="9"/>
      <c r="W74" s="9"/>
      <c r="AA74" t="s">
        <v>264</v>
      </c>
      <c r="AB74" s="124">
        <v>1</v>
      </c>
      <c r="AC74" s="124">
        <v>1</v>
      </c>
      <c r="AD74" s="124">
        <v>1</v>
      </c>
      <c r="AE74" s="124"/>
      <c r="AF74" s="124"/>
      <c r="AG74" s="124"/>
      <c r="AW74" t="s">
        <v>3</v>
      </c>
      <c r="AX74" s="9">
        <v>31.25</v>
      </c>
      <c r="AY74" s="9">
        <v>28.69</v>
      </c>
      <c r="AZ74" s="9">
        <v>28.47</v>
      </c>
      <c r="BA74" s="9"/>
      <c r="BB74" s="9"/>
      <c r="BC74" s="9"/>
      <c r="BD74" s="9"/>
      <c r="BE74" s="9"/>
      <c r="BF74" s="9"/>
      <c r="BG74" s="9"/>
      <c r="BH74" s="9"/>
    </row>
    <row r="75" spans="1:60" x14ac:dyDescent="0.3">
      <c r="A75" s="44" t="s">
        <v>11</v>
      </c>
      <c r="B75" s="45" t="s">
        <v>1</v>
      </c>
      <c r="C75" s="45">
        <v>6</v>
      </c>
      <c r="D75" s="121">
        <v>410.45</v>
      </c>
      <c r="E75" s="122">
        <v>492.54</v>
      </c>
      <c r="F75" s="45">
        <v>800</v>
      </c>
      <c r="G75" s="30">
        <v>45931</v>
      </c>
      <c r="H75" s="30"/>
      <c r="I7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2955.24</v>
      </c>
      <c r="K75" t="s">
        <v>4</v>
      </c>
      <c r="L75" t="s">
        <v>16</v>
      </c>
      <c r="M75" s="9">
        <v>43.31</v>
      </c>
      <c r="N75" s="9">
        <v>39.729999999999997</v>
      </c>
      <c r="O75" s="9">
        <v>39.47</v>
      </c>
      <c r="P75" s="9">
        <v>39.25</v>
      </c>
      <c r="Q75" s="9">
        <v>38.950000000000003</v>
      </c>
      <c r="R75" s="9"/>
      <c r="S75" s="9"/>
      <c r="T75" s="9"/>
      <c r="U75" s="9"/>
      <c r="V75" s="9"/>
      <c r="W75" s="9"/>
      <c r="AA75" t="s">
        <v>312</v>
      </c>
      <c r="AB75" s="124"/>
      <c r="AC75" s="124">
        <v>1</v>
      </c>
      <c r="AD75" s="124">
        <v>1</v>
      </c>
      <c r="AE75" s="124">
        <v>1</v>
      </c>
      <c r="AF75" s="124">
        <v>1</v>
      </c>
      <c r="AG75" s="124"/>
      <c r="AV75" t="s">
        <v>4</v>
      </c>
      <c r="AW75" t="s">
        <v>16</v>
      </c>
      <c r="AX75" s="9">
        <v>36.090000000000003</v>
      </c>
      <c r="AY75" s="9">
        <v>33.11</v>
      </c>
      <c r="AZ75" s="9">
        <v>32.89</v>
      </c>
      <c r="BA75" s="9">
        <v>32.71</v>
      </c>
      <c r="BB75" s="9">
        <v>32.46</v>
      </c>
      <c r="BC75" s="9"/>
      <c r="BD75" s="9"/>
      <c r="BE75" s="9"/>
      <c r="BF75" s="9"/>
      <c r="BG75" s="9"/>
      <c r="BH75" s="9"/>
    </row>
    <row r="76" spans="1:60" x14ac:dyDescent="0.3">
      <c r="A76" s="44" t="s">
        <v>11</v>
      </c>
      <c r="B76" s="45" t="s">
        <v>1</v>
      </c>
      <c r="C76" s="45">
        <v>7</v>
      </c>
      <c r="D76" s="121">
        <v>362.85</v>
      </c>
      <c r="E76" s="122">
        <v>435.42</v>
      </c>
      <c r="F76" s="45">
        <v>800</v>
      </c>
      <c r="G76" s="30">
        <v>45931</v>
      </c>
      <c r="H76" s="30"/>
      <c r="I7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3047.94</v>
      </c>
      <c r="L76" t="s">
        <v>2</v>
      </c>
      <c r="M76" s="9">
        <v>164.45</v>
      </c>
      <c r="N76" s="9">
        <v>136.63</v>
      </c>
      <c r="O76" s="9">
        <v>106.45</v>
      </c>
      <c r="P76" s="9">
        <v>92.11</v>
      </c>
      <c r="Q76" s="9">
        <v>79.39</v>
      </c>
      <c r="R76" s="9">
        <v>78.88</v>
      </c>
      <c r="S76" s="9">
        <v>76.91</v>
      </c>
      <c r="T76" s="9">
        <v>74.989999999999995</v>
      </c>
      <c r="U76" s="9">
        <v>73.099999999999994</v>
      </c>
      <c r="V76" s="9">
        <v>71.3</v>
      </c>
      <c r="W76" s="9"/>
      <c r="AA76" t="s">
        <v>313</v>
      </c>
      <c r="AB76" s="124"/>
      <c r="AC76" s="124">
        <v>1</v>
      </c>
      <c r="AD76" s="124">
        <v>1</v>
      </c>
      <c r="AE76" s="124">
        <v>1</v>
      </c>
      <c r="AF76" s="124">
        <v>1</v>
      </c>
      <c r="AG76" s="124"/>
      <c r="AW76" t="s">
        <v>2</v>
      </c>
      <c r="AX76" s="9">
        <v>137.04</v>
      </c>
      <c r="AY76" s="9">
        <v>113.86</v>
      </c>
      <c r="AZ76" s="9">
        <v>88.71</v>
      </c>
      <c r="BA76" s="9">
        <v>76.760000000000005</v>
      </c>
      <c r="BB76" s="9">
        <v>66.16</v>
      </c>
      <c r="BC76" s="9">
        <v>65.73</v>
      </c>
      <c r="BD76" s="9">
        <v>64.09</v>
      </c>
      <c r="BE76" s="9">
        <v>62.49</v>
      </c>
      <c r="BF76" s="9">
        <v>60.92</v>
      </c>
      <c r="BG76" s="9">
        <v>59.42</v>
      </c>
      <c r="BH76" s="9"/>
    </row>
    <row r="77" spans="1:60" x14ac:dyDescent="0.3">
      <c r="A77" s="44" t="s">
        <v>11</v>
      </c>
      <c r="B77" s="45" t="s">
        <v>1</v>
      </c>
      <c r="C77" s="45">
        <v>8</v>
      </c>
      <c r="D77" s="121">
        <v>324.63</v>
      </c>
      <c r="E77" s="122">
        <v>389.56</v>
      </c>
      <c r="F77" s="45">
        <v>800</v>
      </c>
      <c r="G77" s="30">
        <v>45931</v>
      </c>
      <c r="H77" s="30"/>
      <c r="I7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3116.45</v>
      </c>
      <c r="L77" t="s">
        <v>1</v>
      </c>
      <c r="M77" s="9">
        <v>297.07</v>
      </c>
      <c r="N77" s="9">
        <v>247.52</v>
      </c>
      <c r="O77" s="9">
        <v>193.32</v>
      </c>
      <c r="P77" s="9">
        <v>167.68</v>
      </c>
      <c r="Q77" s="9">
        <v>144.91</v>
      </c>
      <c r="R77" s="9">
        <v>143.94</v>
      </c>
      <c r="S77" s="9">
        <v>140.36000000000001</v>
      </c>
      <c r="T77" s="9">
        <v>136.82</v>
      </c>
      <c r="U77" s="9">
        <v>133.4</v>
      </c>
      <c r="V77" s="9">
        <v>130.07</v>
      </c>
      <c r="W77" s="9"/>
      <c r="AA77" t="s">
        <v>314</v>
      </c>
      <c r="AB77" s="124"/>
      <c r="AC77" s="124">
        <v>1</v>
      </c>
      <c r="AD77" s="124">
        <v>1</v>
      </c>
      <c r="AE77" s="124">
        <v>1</v>
      </c>
      <c r="AF77" s="124">
        <v>1</v>
      </c>
      <c r="AG77" s="124"/>
      <c r="AW77" t="s">
        <v>1</v>
      </c>
      <c r="AX77" s="9">
        <v>247.56</v>
      </c>
      <c r="AY77" s="9">
        <v>206.27</v>
      </c>
      <c r="AZ77" s="9">
        <v>161.1</v>
      </c>
      <c r="BA77" s="9">
        <v>139.72999999999999</v>
      </c>
      <c r="BB77" s="9">
        <v>120.76</v>
      </c>
      <c r="BC77" s="9">
        <v>119.95</v>
      </c>
      <c r="BD77" s="9">
        <v>116.97</v>
      </c>
      <c r="BE77" s="9">
        <v>114.02</v>
      </c>
      <c r="BF77" s="9">
        <v>111.17</v>
      </c>
      <c r="BG77" s="9">
        <v>108.39</v>
      </c>
      <c r="BH77" s="9"/>
    </row>
    <row r="78" spans="1:60" x14ac:dyDescent="0.3">
      <c r="A78" s="44" t="s">
        <v>11</v>
      </c>
      <c r="B78" s="45" t="s">
        <v>1</v>
      </c>
      <c r="C78" s="45">
        <v>9</v>
      </c>
      <c r="D78" s="121">
        <v>295.33999999999997</v>
      </c>
      <c r="E78" s="122">
        <v>354.41</v>
      </c>
      <c r="F78" s="45">
        <v>800</v>
      </c>
      <c r="G78" s="30">
        <v>45931</v>
      </c>
      <c r="H78" s="30"/>
      <c r="I7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3189.67</v>
      </c>
      <c r="K78" t="s">
        <v>9</v>
      </c>
      <c r="L78" t="s">
        <v>16</v>
      </c>
      <c r="M78" s="9">
        <v>56.24</v>
      </c>
      <c r="N78" s="9">
        <v>51.59</v>
      </c>
      <c r="O78" s="9">
        <v>47.33</v>
      </c>
      <c r="P78" s="9">
        <v>43.33</v>
      </c>
      <c r="Q78" s="9">
        <v>39.74</v>
      </c>
      <c r="R78" s="9">
        <v>36.47</v>
      </c>
      <c r="S78" s="9">
        <v>32.81</v>
      </c>
      <c r="T78" s="9">
        <v>29.5</v>
      </c>
      <c r="U78" s="9">
        <v>26.59</v>
      </c>
      <c r="V78" s="9">
        <v>24.23</v>
      </c>
      <c r="W78" s="9"/>
      <c r="AA78" t="s">
        <v>315</v>
      </c>
      <c r="AB78" s="124"/>
      <c r="AC78" s="124">
        <v>1</v>
      </c>
      <c r="AD78" s="124">
        <v>1</v>
      </c>
      <c r="AE78" s="124">
        <v>1</v>
      </c>
      <c r="AF78" s="124">
        <v>1</v>
      </c>
      <c r="AG78" s="124"/>
      <c r="AV78" t="s">
        <v>9</v>
      </c>
      <c r="AW78" t="s">
        <v>16</v>
      </c>
      <c r="AX78" s="9">
        <v>46.87</v>
      </c>
      <c r="AY78" s="9">
        <v>42.99</v>
      </c>
      <c r="AZ78" s="9">
        <v>39.44</v>
      </c>
      <c r="BA78" s="9">
        <v>36.11</v>
      </c>
      <c r="BB78" s="9">
        <v>33.119999999999997</v>
      </c>
      <c r="BC78" s="9">
        <v>30.39</v>
      </c>
      <c r="BD78" s="9">
        <v>27.34</v>
      </c>
      <c r="BE78" s="9">
        <v>24.58</v>
      </c>
      <c r="BF78" s="9">
        <v>22.16</v>
      </c>
      <c r="BG78" s="9">
        <v>20.190000000000001</v>
      </c>
      <c r="BH78" s="9"/>
    </row>
    <row r="79" spans="1:60" x14ac:dyDescent="0.3">
      <c r="A79" s="44" t="s">
        <v>11</v>
      </c>
      <c r="B79" s="45" t="s">
        <v>1</v>
      </c>
      <c r="C79" s="45">
        <v>10</v>
      </c>
      <c r="D79" s="121">
        <v>275.86</v>
      </c>
      <c r="E79" s="122">
        <v>331.03</v>
      </c>
      <c r="F79" s="45">
        <v>800</v>
      </c>
      <c r="G79" s="30">
        <v>45931</v>
      </c>
      <c r="H79" s="30"/>
      <c r="I7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3310.32</v>
      </c>
      <c r="L79" t="s">
        <v>2</v>
      </c>
      <c r="M79" s="9">
        <v>325.04000000000002</v>
      </c>
      <c r="N79" s="9">
        <v>270.11</v>
      </c>
      <c r="O79" s="9">
        <v>210.47</v>
      </c>
      <c r="P79" s="9">
        <v>182.23</v>
      </c>
      <c r="Q79" s="9">
        <v>157.09</v>
      </c>
      <c r="R79" s="9">
        <v>138.63999999999999</v>
      </c>
      <c r="S79" s="9">
        <v>122.17</v>
      </c>
      <c r="T79" s="9">
        <v>109.07</v>
      </c>
      <c r="U79" s="9">
        <v>99.02</v>
      </c>
      <c r="V79" s="9">
        <v>92.26</v>
      </c>
      <c r="W79" s="9"/>
      <c r="AA79" t="s">
        <v>316</v>
      </c>
      <c r="AB79" s="124"/>
      <c r="AC79" s="124"/>
      <c r="AD79" s="124"/>
      <c r="AE79" s="124"/>
      <c r="AF79" s="124"/>
      <c r="AG79" s="124"/>
      <c r="AW79" t="s">
        <v>2</v>
      </c>
      <c r="AX79" s="9">
        <v>270.87</v>
      </c>
      <c r="AY79" s="9">
        <v>225.09</v>
      </c>
      <c r="AZ79" s="9">
        <v>175.39</v>
      </c>
      <c r="BA79" s="9">
        <v>151.86000000000001</v>
      </c>
      <c r="BB79" s="9">
        <v>130.91</v>
      </c>
      <c r="BC79" s="9">
        <v>115.53</v>
      </c>
      <c r="BD79" s="9">
        <v>101.81</v>
      </c>
      <c r="BE79" s="9">
        <v>90.89</v>
      </c>
      <c r="BF79" s="9">
        <v>82.52</v>
      </c>
      <c r="BG79" s="9">
        <v>76.88</v>
      </c>
      <c r="BH79" s="9"/>
    </row>
    <row r="80" spans="1:60" x14ac:dyDescent="0.3">
      <c r="A80" s="44" t="s">
        <v>11</v>
      </c>
      <c r="B80" s="45" t="s">
        <v>2</v>
      </c>
      <c r="C80" s="45">
        <v>1</v>
      </c>
      <c r="D80" s="121">
        <v>459.05</v>
      </c>
      <c r="E80" s="122">
        <v>550.86</v>
      </c>
      <c r="F80" s="45">
        <v>400</v>
      </c>
      <c r="G80" s="30">
        <v>45931</v>
      </c>
      <c r="H80" s="30"/>
      <c r="I8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550.86</v>
      </c>
      <c r="L80" t="s">
        <v>1</v>
      </c>
      <c r="M80" s="9">
        <v>685.51</v>
      </c>
      <c r="N80" s="9">
        <v>571.17999999999995</v>
      </c>
      <c r="O80" s="9">
        <v>446</v>
      </c>
      <c r="P80" s="9">
        <v>387.05</v>
      </c>
      <c r="Q80" s="9">
        <v>334.4</v>
      </c>
      <c r="R80" s="9">
        <v>295.93</v>
      </c>
      <c r="S80" s="9">
        <v>261.48</v>
      </c>
      <c r="T80" s="9">
        <v>233.92</v>
      </c>
      <c r="U80" s="9">
        <v>212.99</v>
      </c>
      <c r="V80" s="9">
        <v>199</v>
      </c>
      <c r="W80" s="9"/>
      <c r="AA80" t="s">
        <v>318</v>
      </c>
      <c r="AB80" s="124"/>
      <c r="AC80" s="124"/>
      <c r="AD80" s="124"/>
      <c r="AE80" s="124"/>
      <c r="AF80" s="124"/>
      <c r="AG80" s="124"/>
      <c r="AW80" t="s">
        <v>1</v>
      </c>
      <c r="AX80" s="9">
        <v>571.26</v>
      </c>
      <c r="AY80" s="9">
        <v>475.98</v>
      </c>
      <c r="AZ80" s="9">
        <v>371.67</v>
      </c>
      <c r="BA80" s="9">
        <v>322.54000000000002</v>
      </c>
      <c r="BB80" s="9">
        <v>278.67</v>
      </c>
      <c r="BC80" s="9">
        <v>246.61</v>
      </c>
      <c r="BD80" s="9">
        <v>217.9</v>
      </c>
      <c r="BE80" s="9">
        <v>194.93</v>
      </c>
      <c r="BF80" s="9">
        <v>177.49</v>
      </c>
      <c r="BG80" s="9">
        <v>165.83</v>
      </c>
      <c r="BH80" s="9"/>
    </row>
    <row r="81" spans="1:60" x14ac:dyDescent="0.3">
      <c r="A81" s="44" t="s">
        <v>11</v>
      </c>
      <c r="B81" s="45" t="s">
        <v>2</v>
      </c>
      <c r="C81" s="45">
        <v>2</v>
      </c>
      <c r="D81" s="121">
        <v>406.2</v>
      </c>
      <c r="E81" s="122">
        <v>487.44</v>
      </c>
      <c r="F81" s="45">
        <v>400</v>
      </c>
      <c r="G81" s="30">
        <v>45931</v>
      </c>
      <c r="H81" s="30"/>
      <c r="I8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974.88</v>
      </c>
      <c r="K81" t="s">
        <v>50</v>
      </c>
      <c r="L81" t="s">
        <v>16</v>
      </c>
      <c r="M81" s="9">
        <v>100.56</v>
      </c>
      <c r="N81" s="9"/>
      <c r="O81" s="9"/>
      <c r="P81" s="9"/>
      <c r="Q81" s="9"/>
      <c r="R81" s="9"/>
      <c r="S81" s="9"/>
      <c r="T81" s="9"/>
      <c r="U81" s="9"/>
      <c r="V81" s="9"/>
      <c r="W81" s="9"/>
      <c r="Z81" s="8">
        <v>45931</v>
      </c>
      <c r="AA81" t="s">
        <v>11</v>
      </c>
      <c r="AB81" s="124">
        <v>10</v>
      </c>
      <c r="AC81" s="124">
        <v>10</v>
      </c>
      <c r="AD81" s="124">
        <v>10</v>
      </c>
      <c r="AE81" s="124"/>
      <c r="AF81" s="124"/>
      <c r="AG81" s="124"/>
      <c r="AV81" t="s">
        <v>50</v>
      </c>
      <c r="AW81" t="s">
        <v>16</v>
      </c>
      <c r="AX81" s="9">
        <v>83.8</v>
      </c>
      <c r="AY81" s="9"/>
      <c r="AZ81" s="9"/>
      <c r="BA81" s="9"/>
      <c r="BB81" s="9"/>
      <c r="BC81" s="9"/>
      <c r="BD81" s="9"/>
      <c r="BE81" s="9"/>
      <c r="BF81" s="9"/>
      <c r="BG81" s="9"/>
      <c r="BH81" s="9"/>
    </row>
    <row r="82" spans="1:60" x14ac:dyDescent="0.3">
      <c r="A82" s="44" t="s">
        <v>11</v>
      </c>
      <c r="B82" s="45" t="s">
        <v>2</v>
      </c>
      <c r="C82" s="45">
        <v>3</v>
      </c>
      <c r="D82" s="121">
        <v>359.37</v>
      </c>
      <c r="E82" s="122">
        <v>431.24</v>
      </c>
      <c r="F82" s="45">
        <v>400</v>
      </c>
      <c r="G82" s="30">
        <v>45931</v>
      </c>
      <c r="H82" s="30"/>
      <c r="I8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1293.73</v>
      </c>
      <c r="L82" t="s">
        <v>2</v>
      </c>
      <c r="M82" s="9">
        <v>239.05</v>
      </c>
      <c r="N82" s="9"/>
      <c r="O82" s="9"/>
      <c r="P82" s="9"/>
      <c r="Q82" s="9"/>
      <c r="R82" s="9"/>
      <c r="S82" s="9"/>
      <c r="T82" s="9"/>
      <c r="U82" s="9"/>
      <c r="V82" s="9"/>
      <c r="W82" s="9"/>
      <c r="AA82" t="s">
        <v>10</v>
      </c>
      <c r="AB82" s="124"/>
      <c r="AC82" s="124">
        <v>5</v>
      </c>
      <c r="AD82" s="124">
        <v>5</v>
      </c>
      <c r="AE82" s="124">
        <v>3</v>
      </c>
      <c r="AF82" s="124"/>
      <c r="AG82" s="124"/>
      <c r="AW82" t="s">
        <v>2</v>
      </c>
      <c r="AX82" s="9">
        <v>199.21</v>
      </c>
      <c r="AY82" s="9"/>
      <c r="AZ82" s="9"/>
      <c r="BA82" s="9"/>
      <c r="BB82" s="9"/>
      <c r="BC82" s="9"/>
      <c r="BD82" s="9"/>
      <c r="BE82" s="9"/>
      <c r="BF82" s="9"/>
      <c r="BG82" s="9"/>
      <c r="BH82" s="9"/>
    </row>
    <row r="83" spans="1:60" x14ac:dyDescent="0.3">
      <c r="A83" s="44" t="s">
        <v>11</v>
      </c>
      <c r="B83" s="45" t="s">
        <v>2</v>
      </c>
      <c r="C83" s="45">
        <v>4</v>
      </c>
      <c r="D83" s="121">
        <v>317.91000000000003</v>
      </c>
      <c r="E83" s="122">
        <v>381.49</v>
      </c>
      <c r="F83" s="45">
        <v>400</v>
      </c>
      <c r="G83" s="30">
        <v>45931</v>
      </c>
      <c r="H83" s="30"/>
      <c r="I8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1525.97</v>
      </c>
      <c r="L83" t="s">
        <v>1</v>
      </c>
      <c r="M83" s="9">
        <v>605.09</v>
      </c>
      <c r="N83" s="9"/>
      <c r="O83" s="9"/>
      <c r="P83" s="9"/>
      <c r="Q83" s="9"/>
      <c r="R83" s="9"/>
      <c r="S83" s="9"/>
      <c r="T83" s="9"/>
      <c r="U83" s="9"/>
      <c r="V83" s="9"/>
      <c r="W83" s="9"/>
      <c r="AA83" t="s">
        <v>49</v>
      </c>
      <c r="AB83" s="124"/>
      <c r="AC83" s="124"/>
      <c r="AD83" s="124">
        <v>1</v>
      </c>
      <c r="AE83" s="124"/>
      <c r="AF83" s="124"/>
      <c r="AG83" s="124"/>
      <c r="AW83" t="s">
        <v>1</v>
      </c>
      <c r="AX83" s="9">
        <v>504.24</v>
      </c>
      <c r="AY83" s="9"/>
      <c r="AZ83" s="9"/>
      <c r="BA83" s="9"/>
      <c r="BB83" s="9"/>
      <c r="BC83" s="9"/>
      <c r="BD83" s="9"/>
      <c r="BE83" s="9"/>
      <c r="BF83" s="9"/>
      <c r="BG83" s="9"/>
      <c r="BH83" s="9"/>
    </row>
    <row r="84" spans="1:60" x14ac:dyDescent="0.3">
      <c r="A84" s="44" t="s">
        <v>11</v>
      </c>
      <c r="B84" s="45" t="s">
        <v>2</v>
      </c>
      <c r="C84" s="45">
        <v>5</v>
      </c>
      <c r="D84" s="121">
        <v>281.17</v>
      </c>
      <c r="E84" s="122">
        <v>337.4</v>
      </c>
      <c r="F84" s="45">
        <v>400</v>
      </c>
      <c r="G84" s="30">
        <v>45931</v>
      </c>
      <c r="H84" s="30"/>
      <c r="I8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1687.02</v>
      </c>
      <c r="K84" t="s">
        <v>51</v>
      </c>
      <c r="L84" t="s">
        <v>16</v>
      </c>
      <c r="M84" s="9">
        <v>179.6</v>
      </c>
      <c r="N84" s="9"/>
      <c r="O84" s="9"/>
      <c r="P84" s="9"/>
      <c r="Q84" s="9"/>
      <c r="R84" s="9"/>
      <c r="S84" s="9"/>
      <c r="T84" s="9"/>
      <c r="U84" s="9"/>
      <c r="V84" s="9"/>
      <c r="W84" s="9"/>
      <c r="AA84" t="s">
        <v>4</v>
      </c>
      <c r="AB84" s="124">
        <v>5</v>
      </c>
      <c r="AC84" s="124">
        <v>10</v>
      </c>
      <c r="AD84" s="124">
        <v>10</v>
      </c>
      <c r="AE84" s="124"/>
      <c r="AF84" s="124"/>
      <c r="AG84" s="124"/>
      <c r="AV84" t="s">
        <v>51</v>
      </c>
      <c r="AW84" t="s">
        <v>16</v>
      </c>
      <c r="AX84" s="9">
        <v>149.66999999999999</v>
      </c>
      <c r="AY84" s="9"/>
      <c r="AZ84" s="9"/>
      <c r="BA84" s="9"/>
      <c r="BB84" s="9"/>
      <c r="BC84" s="9"/>
      <c r="BD84" s="9"/>
      <c r="BE84" s="9"/>
      <c r="BF84" s="9"/>
      <c r="BG84" s="9"/>
      <c r="BH84" s="9"/>
    </row>
    <row r="85" spans="1:60" x14ac:dyDescent="0.3">
      <c r="A85" s="44" t="s">
        <v>11</v>
      </c>
      <c r="B85" s="45" t="s">
        <v>2</v>
      </c>
      <c r="C85" s="45">
        <v>6</v>
      </c>
      <c r="D85" s="121">
        <v>248.67</v>
      </c>
      <c r="E85" s="122">
        <v>298.39999999999998</v>
      </c>
      <c r="F85" s="45">
        <v>400</v>
      </c>
      <c r="G85" s="30">
        <v>45931</v>
      </c>
      <c r="H85" s="30"/>
      <c r="I8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1790.42</v>
      </c>
      <c r="L85" t="s">
        <v>2</v>
      </c>
      <c r="M85" s="9">
        <v>427.36</v>
      </c>
      <c r="N85" s="9"/>
      <c r="O85" s="9"/>
      <c r="P85" s="9"/>
      <c r="Q85" s="9"/>
      <c r="R85" s="9"/>
      <c r="S85" s="9"/>
      <c r="T85" s="9"/>
      <c r="U85" s="9"/>
      <c r="V85" s="9"/>
      <c r="W85" s="9"/>
      <c r="AA85" t="s">
        <v>50</v>
      </c>
      <c r="AB85" s="124">
        <v>1</v>
      </c>
      <c r="AC85" s="124">
        <v>1</v>
      </c>
      <c r="AD85" s="124">
        <v>1</v>
      </c>
      <c r="AE85" s="124"/>
      <c r="AF85" s="124"/>
      <c r="AG85" s="124"/>
      <c r="AW85" t="s">
        <v>2</v>
      </c>
      <c r="AX85" s="9">
        <v>356.13</v>
      </c>
      <c r="AY85" s="9"/>
      <c r="AZ85" s="9"/>
      <c r="BA85" s="9"/>
      <c r="BB85" s="9"/>
      <c r="BC85" s="9"/>
      <c r="BD85" s="9"/>
      <c r="BE85" s="9"/>
      <c r="BF85" s="9"/>
      <c r="BG85" s="9"/>
      <c r="BH85" s="9"/>
    </row>
    <row r="86" spans="1:60" x14ac:dyDescent="0.3">
      <c r="A86" s="44" t="s">
        <v>11</v>
      </c>
      <c r="B86" s="45" t="s">
        <v>2</v>
      </c>
      <c r="C86" s="45">
        <v>7</v>
      </c>
      <c r="D86" s="121">
        <v>219.25</v>
      </c>
      <c r="E86" s="122">
        <v>263.10000000000002</v>
      </c>
      <c r="F86" s="45">
        <v>400</v>
      </c>
      <c r="G86" s="30">
        <v>45931</v>
      </c>
      <c r="H86" s="30"/>
      <c r="I8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1841.7</v>
      </c>
      <c r="L86" t="s">
        <v>1</v>
      </c>
      <c r="M86" s="9">
        <v>1108.51</v>
      </c>
      <c r="N86" s="9"/>
      <c r="O86" s="9"/>
      <c r="P86" s="9"/>
      <c r="Q86" s="9"/>
      <c r="R86" s="9"/>
      <c r="S86" s="9"/>
      <c r="T86" s="9"/>
      <c r="U86" s="9"/>
      <c r="V86" s="9"/>
      <c r="W86" s="9"/>
      <c r="AA86" t="s">
        <v>9</v>
      </c>
      <c r="AB86" s="124">
        <v>10</v>
      </c>
      <c r="AC86" s="124">
        <v>10</v>
      </c>
      <c r="AD86" s="124">
        <v>10</v>
      </c>
      <c r="AE86" s="124"/>
      <c r="AF86" s="124"/>
      <c r="AG86" s="124"/>
      <c r="AW86" t="s">
        <v>1</v>
      </c>
      <c r="AX86" s="9">
        <v>923.76</v>
      </c>
      <c r="AY86" s="9"/>
      <c r="AZ86" s="9"/>
      <c r="BA86" s="9"/>
      <c r="BB86" s="9"/>
      <c r="BC86" s="9"/>
      <c r="BD86" s="9"/>
      <c r="BE86" s="9"/>
      <c r="BF86" s="9"/>
      <c r="BG86" s="9"/>
      <c r="BH86" s="9"/>
    </row>
    <row r="87" spans="1:60" x14ac:dyDescent="0.3">
      <c r="A87" s="44" t="s">
        <v>11</v>
      </c>
      <c r="B87" s="45" t="s">
        <v>2</v>
      </c>
      <c r="C87" s="45">
        <v>8</v>
      </c>
      <c r="D87" s="121">
        <v>195.68</v>
      </c>
      <c r="E87" s="122">
        <v>234.82</v>
      </c>
      <c r="F87" s="45">
        <v>400</v>
      </c>
      <c r="G87" s="30">
        <v>45931</v>
      </c>
      <c r="H87" s="30"/>
      <c r="I8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1878.53</v>
      </c>
      <c r="K87" t="s">
        <v>49</v>
      </c>
      <c r="L87" t="s">
        <v>1</v>
      </c>
      <c r="M87" s="9">
        <v>476.42</v>
      </c>
      <c r="N87" s="9"/>
      <c r="O87" s="9"/>
      <c r="P87" s="9"/>
      <c r="Q87" s="9"/>
      <c r="R87" s="9"/>
      <c r="S87" s="9"/>
      <c r="T87" s="9"/>
      <c r="U87" s="9"/>
      <c r="V87" s="9"/>
      <c r="W87" s="9"/>
      <c r="AA87" t="s">
        <v>51</v>
      </c>
      <c r="AB87" s="124">
        <v>1</v>
      </c>
      <c r="AC87" s="124">
        <v>1</v>
      </c>
      <c r="AD87" s="124">
        <v>1</v>
      </c>
      <c r="AE87" s="124"/>
      <c r="AF87" s="124"/>
      <c r="AG87" s="124"/>
      <c r="AV87" t="s">
        <v>49</v>
      </c>
      <c r="AW87" t="s">
        <v>1</v>
      </c>
      <c r="AX87" s="9">
        <v>397.02</v>
      </c>
      <c r="AY87" s="9"/>
      <c r="AZ87" s="9"/>
      <c r="BA87" s="9"/>
      <c r="BB87" s="9"/>
      <c r="BC87" s="9"/>
      <c r="BD87" s="9"/>
      <c r="BE87" s="9"/>
      <c r="BF87" s="9"/>
      <c r="BG87" s="9"/>
      <c r="BH87" s="9"/>
    </row>
    <row r="88" spans="1:60" x14ac:dyDescent="0.3">
      <c r="A88" s="44" t="s">
        <v>11</v>
      </c>
      <c r="B88" s="45" t="s">
        <v>2</v>
      </c>
      <c r="C88" s="45">
        <v>9</v>
      </c>
      <c r="D88" s="121">
        <v>177.65</v>
      </c>
      <c r="E88" s="122">
        <v>213.18</v>
      </c>
      <c r="F88" s="45">
        <v>400</v>
      </c>
      <c r="G88" s="30">
        <v>45931</v>
      </c>
      <c r="H88" s="30"/>
      <c r="I8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1918.62</v>
      </c>
      <c r="K88" t="s">
        <v>73</v>
      </c>
      <c r="L88" t="s">
        <v>16</v>
      </c>
      <c r="M88" s="9">
        <v>381.05</v>
      </c>
      <c r="N88" s="9"/>
      <c r="O88" s="9"/>
      <c r="P88" s="9"/>
      <c r="Q88" s="9"/>
      <c r="R88" s="9"/>
      <c r="S88" s="9"/>
      <c r="T88" s="9"/>
      <c r="U88" s="9"/>
      <c r="V88" s="9"/>
      <c r="W88" s="9"/>
      <c r="AA88" t="s">
        <v>73</v>
      </c>
      <c r="AB88" s="124">
        <v>1</v>
      </c>
      <c r="AC88" s="124">
        <v>1</v>
      </c>
      <c r="AD88" s="124">
        <v>1</v>
      </c>
      <c r="AE88" s="124"/>
      <c r="AF88" s="124"/>
      <c r="AG88" s="124"/>
      <c r="AV88" t="s">
        <v>73</v>
      </c>
      <c r="AW88" t="s">
        <v>16</v>
      </c>
      <c r="AX88" s="9">
        <v>317.54000000000002</v>
      </c>
      <c r="AY88" s="9"/>
      <c r="AZ88" s="9"/>
      <c r="BA88" s="9"/>
      <c r="BB88" s="9"/>
      <c r="BC88" s="9"/>
      <c r="BD88" s="9"/>
      <c r="BE88" s="9"/>
      <c r="BF88" s="9"/>
      <c r="BG88" s="9"/>
      <c r="BH88" s="9"/>
    </row>
    <row r="89" spans="1:60" x14ac:dyDescent="0.3">
      <c r="A89" s="44" t="s">
        <v>11</v>
      </c>
      <c r="B89" s="45" t="s">
        <v>2</v>
      </c>
      <c r="C89" s="45">
        <v>10</v>
      </c>
      <c r="D89" s="121">
        <v>165.52</v>
      </c>
      <c r="E89" s="122">
        <v>198.62</v>
      </c>
      <c r="F89" s="45">
        <v>400</v>
      </c>
      <c r="G89" s="30">
        <v>45931</v>
      </c>
      <c r="H89" s="30"/>
      <c r="I8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1986.24</v>
      </c>
      <c r="L89" t="s">
        <v>2</v>
      </c>
      <c r="M89" s="9">
        <v>875</v>
      </c>
      <c r="N89" s="9"/>
      <c r="O89" s="9"/>
      <c r="P89" s="9"/>
      <c r="Q89" s="9"/>
      <c r="R89" s="9"/>
      <c r="S89" s="9"/>
      <c r="T89" s="9"/>
      <c r="U89" s="9"/>
      <c r="V89" s="9"/>
      <c r="W89" s="9"/>
      <c r="AA89" t="s">
        <v>245</v>
      </c>
      <c r="AB89" s="124"/>
      <c r="AC89" s="124"/>
      <c r="AD89" s="124"/>
      <c r="AE89" s="124"/>
      <c r="AF89" s="124"/>
      <c r="AG89" s="124"/>
      <c r="AW89" t="s">
        <v>2</v>
      </c>
      <c r="AX89" s="9">
        <v>729.17</v>
      </c>
      <c r="AY89" s="9"/>
      <c r="AZ89" s="9"/>
      <c r="BA89" s="9"/>
      <c r="BB89" s="9"/>
      <c r="BC89" s="9"/>
      <c r="BD89" s="9"/>
      <c r="BE89" s="9"/>
      <c r="BF89" s="9"/>
      <c r="BG89" s="9"/>
      <c r="BH89" s="9"/>
    </row>
    <row r="90" spans="1:60" x14ac:dyDescent="0.3">
      <c r="A90" s="44" t="s">
        <v>11</v>
      </c>
      <c r="B90" s="45" t="s">
        <v>16</v>
      </c>
      <c r="C90" s="45">
        <v>1</v>
      </c>
      <c r="D90" s="121">
        <v>55.63</v>
      </c>
      <c r="E90" s="122">
        <v>66.760000000000005</v>
      </c>
      <c r="F90" s="45">
        <v>60</v>
      </c>
      <c r="G90" s="30">
        <v>45931</v>
      </c>
      <c r="H90" s="30"/>
      <c r="I9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66.760000000000005</v>
      </c>
      <c r="L90" t="s">
        <v>1</v>
      </c>
      <c r="M90" s="9">
        <v>2247.71</v>
      </c>
      <c r="N90" s="9"/>
      <c r="O90" s="9"/>
      <c r="P90" s="9"/>
      <c r="Q90" s="9"/>
      <c r="R90" s="9"/>
      <c r="S90" s="9"/>
      <c r="T90" s="9"/>
      <c r="U90" s="9"/>
      <c r="V90" s="9"/>
      <c r="W90" s="9"/>
      <c r="AA90" t="s">
        <v>246</v>
      </c>
      <c r="AB90" s="124"/>
      <c r="AC90" s="124"/>
      <c r="AD90" s="124"/>
      <c r="AE90" s="124"/>
      <c r="AF90" s="124"/>
      <c r="AG90" s="124"/>
      <c r="AW90" t="s">
        <v>1</v>
      </c>
      <c r="AX90" s="9">
        <v>1873.09</v>
      </c>
      <c r="AY90" s="9"/>
      <c r="AZ90" s="9"/>
      <c r="BA90" s="9"/>
      <c r="BB90" s="9"/>
      <c r="BC90" s="9"/>
      <c r="BD90" s="9"/>
      <c r="BE90" s="9"/>
      <c r="BF90" s="9"/>
      <c r="BG90" s="9"/>
      <c r="BH90" s="9"/>
    </row>
    <row r="91" spans="1:60" x14ac:dyDescent="0.3">
      <c r="A91" s="44" t="s">
        <v>11</v>
      </c>
      <c r="B91" s="45" t="s">
        <v>16</v>
      </c>
      <c r="C91" s="45">
        <v>2</v>
      </c>
      <c r="D91" s="121">
        <v>51.11</v>
      </c>
      <c r="E91" s="122">
        <v>61.33</v>
      </c>
      <c r="F91" s="45">
        <v>60</v>
      </c>
      <c r="G91" s="30">
        <v>45931</v>
      </c>
      <c r="H91" s="30"/>
      <c r="I9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122.66</v>
      </c>
      <c r="K91" t="s">
        <v>245</v>
      </c>
      <c r="L91" t="s">
        <v>251</v>
      </c>
      <c r="M91" s="9"/>
      <c r="N91" s="9"/>
      <c r="O91" s="9"/>
      <c r="P91" s="9"/>
      <c r="Q91" s="9"/>
      <c r="R91" s="9"/>
      <c r="S91" s="9"/>
      <c r="T91" s="9"/>
      <c r="U91" s="9"/>
      <c r="V91" s="9"/>
      <c r="W91" s="9">
        <v>15.82</v>
      </c>
      <c r="AA91" t="s">
        <v>252</v>
      </c>
      <c r="AB91" s="124"/>
      <c r="AC91" s="124"/>
      <c r="AD91" s="124"/>
      <c r="AE91" s="124"/>
      <c r="AF91" s="124"/>
      <c r="AG91" s="124"/>
      <c r="AV91" t="s">
        <v>245</v>
      </c>
      <c r="AW91" t="s">
        <v>251</v>
      </c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>
        <v>13.18</v>
      </c>
    </row>
    <row r="92" spans="1:60" x14ac:dyDescent="0.3">
      <c r="A92" s="44" t="s">
        <v>11</v>
      </c>
      <c r="B92" s="45" t="s">
        <v>16</v>
      </c>
      <c r="C92" s="45">
        <v>3</v>
      </c>
      <c r="D92" s="121">
        <v>46.92</v>
      </c>
      <c r="E92" s="122">
        <v>56.3</v>
      </c>
      <c r="F92" s="45">
        <v>60</v>
      </c>
      <c r="G92" s="30">
        <v>45931</v>
      </c>
      <c r="H92" s="30"/>
      <c r="I9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168.91</v>
      </c>
      <c r="K92" t="s">
        <v>246</v>
      </c>
      <c r="L92" t="s">
        <v>251</v>
      </c>
      <c r="M92" s="9"/>
      <c r="N92" s="9"/>
      <c r="O92" s="9"/>
      <c r="P92" s="9"/>
      <c r="Q92" s="9"/>
      <c r="R92" s="9"/>
      <c r="S92" s="9"/>
      <c r="T92" s="9"/>
      <c r="U92" s="9"/>
      <c r="V92" s="9"/>
      <c r="W92" s="9">
        <v>15.35</v>
      </c>
      <c r="AA92" t="s">
        <v>253</v>
      </c>
      <c r="AB92" s="124"/>
      <c r="AC92" s="124"/>
      <c r="AD92" s="124"/>
      <c r="AE92" s="124"/>
      <c r="AF92" s="124"/>
      <c r="AG92" s="124"/>
      <c r="AV92" t="s">
        <v>246</v>
      </c>
      <c r="AW92" t="s">
        <v>251</v>
      </c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>
        <v>12.79</v>
      </c>
    </row>
    <row r="93" spans="1:60" x14ac:dyDescent="0.3">
      <c r="A93" s="44" t="s">
        <v>11</v>
      </c>
      <c r="B93" s="45" t="s">
        <v>16</v>
      </c>
      <c r="C93" s="45">
        <v>4</v>
      </c>
      <c r="D93" s="121">
        <v>43.16</v>
      </c>
      <c r="E93" s="122">
        <v>51.79</v>
      </c>
      <c r="F93" s="45">
        <v>60</v>
      </c>
      <c r="G93" s="30">
        <v>45931</v>
      </c>
      <c r="H93" s="30"/>
      <c r="I9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207.17</v>
      </c>
      <c r="K93" t="s">
        <v>252</v>
      </c>
      <c r="L93" t="s">
        <v>251</v>
      </c>
      <c r="M93" s="9"/>
      <c r="N93" s="9"/>
      <c r="O93" s="9"/>
      <c r="P93" s="9"/>
      <c r="Q93" s="9"/>
      <c r="R93" s="9"/>
      <c r="S93" s="9"/>
      <c r="T93" s="9"/>
      <c r="U93" s="9"/>
      <c r="V93" s="9"/>
      <c r="W93" s="9">
        <v>15.82</v>
      </c>
      <c r="AA93" t="s">
        <v>257</v>
      </c>
      <c r="AB93" s="124"/>
      <c r="AC93" s="124">
        <v>5</v>
      </c>
      <c r="AD93" s="124">
        <v>5</v>
      </c>
      <c r="AE93" s="124">
        <v>3</v>
      </c>
      <c r="AF93" s="124"/>
      <c r="AG93" s="124"/>
      <c r="AV93" t="s">
        <v>252</v>
      </c>
      <c r="AW93" t="s">
        <v>251</v>
      </c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>
        <v>13.18</v>
      </c>
    </row>
    <row r="94" spans="1:60" x14ac:dyDescent="0.3">
      <c r="A94" s="44" t="s">
        <v>11</v>
      </c>
      <c r="B94" s="45" t="s">
        <v>16</v>
      </c>
      <c r="C94" s="45">
        <v>5</v>
      </c>
      <c r="D94" s="121">
        <v>39.630000000000003</v>
      </c>
      <c r="E94" s="122">
        <v>47.56</v>
      </c>
      <c r="F94" s="45">
        <v>60</v>
      </c>
      <c r="G94" s="30">
        <v>45931</v>
      </c>
      <c r="H94" s="30"/>
      <c r="I9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237.78</v>
      </c>
      <c r="K94" t="s">
        <v>253</v>
      </c>
      <c r="L94" t="s">
        <v>251</v>
      </c>
      <c r="M94" s="9"/>
      <c r="N94" s="9"/>
      <c r="O94" s="9"/>
      <c r="P94" s="9"/>
      <c r="Q94" s="9"/>
      <c r="R94" s="9"/>
      <c r="S94" s="9"/>
      <c r="T94" s="9"/>
      <c r="U94" s="9"/>
      <c r="V94" s="9"/>
      <c r="W94" s="9">
        <v>15.35</v>
      </c>
      <c r="AA94" t="s">
        <v>258</v>
      </c>
      <c r="AB94" s="124">
        <v>5</v>
      </c>
      <c r="AC94" s="124">
        <v>10</v>
      </c>
      <c r="AD94" s="124">
        <v>10</v>
      </c>
      <c r="AE94" s="124"/>
      <c r="AF94" s="124"/>
      <c r="AG94" s="124"/>
      <c r="AV94" t="s">
        <v>253</v>
      </c>
      <c r="AW94" t="s">
        <v>251</v>
      </c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>
        <v>12.79</v>
      </c>
    </row>
    <row r="95" spans="1:60" x14ac:dyDescent="0.3">
      <c r="A95" s="44" t="s">
        <v>11</v>
      </c>
      <c r="B95" s="45" t="s">
        <v>16</v>
      </c>
      <c r="C95" s="45">
        <v>6</v>
      </c>
      <c r="D95" s="121">
        <v>36.42</v>
      </c>
      <c r="E95" s="122">
        <v>43.7</v>
      </c>
      <c r="F95" s="45">
        <v>60</v>
      </c>
      <c r="G95" s="30">
        <v>45931</v>
      </c>
      <c r="H95" s="30"/>
      <c r="I9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262.22000000000003</v>
      </c>
      <c r="K95" t="s">
        <v>257</v>
      </c>
      <c r="L95" t="s">
        <v>2</v>
      </c>
      <c r="M95" s="9">
        <v>143.46</v>
      </c>
      <c r="N95" s="9">
        <v>119.29</v>
      </c>
      <c r="O95" s="9">
        <v>92.93</v>
      </c>
      <c r="P95" s="9">
        <v>80.44</v>
      </c>
      <c r="Q95" s="9">
        <v>69.36</v>
      </c>
      <c r="R95" s="9"/>
      <c r="S95" s="9"/>
      <c r="T95" s="9"/>
      <c r="U95" s="9"/>
      <c r="V95" s="9"/>
      <c r="W95" s="9"/>
      <c r="AA95" t="s">
        <v>259</v>
      </c>
      <c r="AB95" s="124">
        <v>10</v>
      </c>
      <c r="AC95" s="124">
        <v>10</v>
      </c>
      <c r="AD95" s="124">
        <v>10</v>
      </c>
      <c r="AE95" s="124"/>
      <c r="AF95" s="124"/>
      <c r="AG95" s="124"/>
      <c r="AV95" t="s">
        <v>257</v>
      </c>
      <c r="AW95" t="s">
        <v>2</v>
      </c>
      <c r="AX95" s="9">
        <v>119.55</v>
      </c>
      <c r="AY95" s="9">
        <v>99.41</v>
      </c>
      <c r="AZ95" s="9">
        <v>77.44</v>
      </c>
      <c r="BA95" s="9">
        <v>67.03</v>
      </c>
      <c r="BB95" s="9">
        <v>57.8</v>
      </c>
      <c r="BC95" s="9"/>
      <c r="BD95" s="9"/>
      <c r="BE95" s="9"/>
      <c r="BF95" s="9"/>
      <c r="BG95" s="9"/>
      <c r="BH95" s="9"/>
    </row>
    <row r="96" spans="1:60" x14ac:dyDescent="0.3">
      <c r="A96" s="44" t="s">
        <v>11</v>
      </c>
      <c r="B96" s="45" t="s">
        <v>16</v>
      </c>
      <c r="C96" s="45">
        <v>7</v>
      </c>
      <c r="D96" s="121">
        <v>32.79</v>
      </c>
      <c r="E96" s="122">
        <v>39.35</v>
      </c>
      <c r="F96" s="45">
        <v>60</v>
      </c>
      <c r="G96" s="30">
        <v>45931</v>
      </c>
      <c r="H96" s="30"/>
      <c r="I9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275.44</v>
      </c>
      <c r="L96" t="s">
        <v>1</v>
      </c>
      <c r="M96" s="9">
        <v>241.07</v>
      </c>
      <c r="N96" s="9">
        <v>200.8</v>
      </c>
      <c r="O96" s="9">
        <v>156.85</v>
      </c>
      <c r="P96" s="9">
        <v>136.08000000000001</v>
      </c>
      <c r="Q96" s="9">
        <v>117.62</v>
      </c>
      <c r="R96" s="9"/>
      <c r="S96" s="9"/>
      <c r="T96" s="9"/>
      <c r="U96" s="9"/>
      <c r="V96" s="9"/>
      <c r="W96" s="9"/>
      <c r="AA96" t="s">
        <v>260</v>
      </c>
      <c r="AB96" s="124">
        <v>10</v>
      </c>
      <c r="AC96" s="124">
        <v>10</v>
      </c>
      <c r="AD96" s="124">
        <v>10</v>
      </c>
      <c r="AE96" s="124"/>
      <c r="AF96" s="124"/>
      <c r="AG96" s="124"/>
      <c r="AW96" t="s">
        <v>1</v>
      </c>
      <c r="AX96" s="9">
        <v>200.89</v>
      </c>
      <c r="AY96" s="9">
        <v>167.33</v>
      </c>
      <c r="AZ96" s="9">
        <v>130.71</v>
      </c>
      <c r="BA96" s="9">
        <v>113.4</v>
      </c>
      <c r="BB96" s="9">
        <v>98.02</v>
      </c>
      <c r="BC96" s="9"/>
      <c r="BD96" s="9"/>
      <c r="BE96" s="9"/>
      <c r="BF96" s="9"/>
      <c r="BG96" s="9"/>
      <c r="BH96" s="9"/>
    </row>
    <row r="97" spans="1:60" x14ac:dyDescent="0.3">
      <c r="A97" s="44" t="s">
        <v>11</v>
      </c>
      <c r="B97" s="45" t="s">
        <v>16</v>
      </c>
      <c r="C97" s="45">
        <v>8</v>
      </c>
      <c r="D97" s="121">
        <v>29.5</v>
      </c>
      <c r="E97" s="122">
        <v>35.4</v>
      </c>
      <c r="F97" s="45">
        <v>60</v>
      </c>
      <c r="G97" s="30">
        <v>45931</v>
      </c>
      <c r="H97" s="30"/>
      <c r="I9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283.2</v>
      </c>
      <c r="L97" t="s">
        <v>3</v>
      </c>
      <c r="M97" s="9">
        <v>37.5</v>
      </c>
      <c r="N97" s="9">
        <v>34.43</v>
      </c>
      <c r="O97" s="9">
        <v>34.159999999999997</v>
      </c>
      <c r="P97" s="9"/>
      <c r="Q97" s="9"/>
      <c r="R97" s="9"/>
      <c r="S97" s="9"/>
      <c r="T97" s="9"/>
      <c r="U97" s="9"/>
      <c r="V97" s="9"/>
      <c r="W97" s="9"/>
      <c r="AA97" t="s">
        <v>261</v>
      </c>
      <c r="AB97" s="124"/>
      <c r="AC97" s="124"/>
      <c r="AD97" s="124">
        <v>1</v>
      </c>
      <c r="AE97" s="124"/>
      <c r="AF97" s="124"/>
      <c r="AG97" s="124"/>
      <c r="AW97" t="s">
        <v>3</v>
      </c>
      <c r="AX97" s="9">
        <v>31.25</v>
      </c>
      <c r="AY97" s="9">
        <v>28.69</v>
      </c>
      <c r="AZ97" s="9">
        <v>28.47</v>
      </c>
      <c r="BA97" s="9"/>
      <c r="BB97" s="9"/>
      <c r="BC97" s="9"/>
      <c r="BD97" s="9"/>
      <c r="BE97" s="9"/>
      <c r="BF97" s="9"/>
      <c r="BG97" s="9"/>
      <c r="BH97" s="9"/>
    </row>
    <row r="98" spans="1:60" x14ac:dyDescent="0.3">
      <c r="A98" s="44" t="s">
        <v>11</v>
      </c>
      <c r="B98" s="45" t="s">
        <v>16</v>
      </c>
      <c r="C98" s="45">
        <v>9</v>
      </c>
      <c r="D98" s="121">
        <v>26.55</v>
      </c>
      <c r="E98" s="122">
        <v>31.86</v>
      </c>
      <c r="F98" s="45">
        <v>60</v>
      </c>
      <c r="G98" s="30">
        <v>45931</v>
      </c>
      <c r="H98" s="30"/>
      <c r="I9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286.74</v>
      </c>
      <c r="K98" t="s">
        <v>258</v>
      </c>
      <c r="L98" t="s">
        <v>16</v>
      </c>
      <c r="M98" s="9">
        <v>43.31</v>
      </c>
      <c r="N98" s="9">
        <v>39.729999999999997</v>
      </c>
      <c r="O98" s="9">
        <v>39.47</v>
      </c>
      <c r="P98" s="9">
        <v>39.25</v>
      </c>
      <c r="Q98" s="9">
        <v>38.950000000000003</v>
      </c>
      <c r="R98" s="9"/>
      <c r="S98" s="9"/>
      <c r="T98" s="9"/>
      <c r="U98" s="9"/>
      <c r="V98" s="9"/>
      <c r="W98" s="9"/>
      <c r="AA98" t="s">
        <v>262</v>
      </c>
      <c r="AB98" s="124">
        <v>1</v>
      </c>
      <c r="AC98" s="124">
        <v>1</v>
      </c>
      <c r="AD98" s="124">
        <v>1</v>
      </c>
      <c r="AE98" s="124"/>
      <c r="AF98" s="124"/>
      <c r="AG98" s="124"/>
      <c r="AV98" t="s">
        <v>258</v>
      </c>
      <c r="AW98" t="s">
        <v>16</v>
      </c>
      <c r="AX98" s="9">
        <v>36.090000000000003</v>
      </c>
      <c r="AY98" s="9">
        <v>33.11</v>
      </c>
      <c r="AZ98" s="9">
        <v>32.89</v>
      </c>
      <c r="BA98" s="9">
        <v>32.71</v>
      </c>
      <c r="BB98" s="9">
        <v>32.46</v>
      </c>
      <c r="BC98" s="9"/>
      <c r="BD98" s="9"/>
      <c r="BE98" s="9"/>
      <c r="BF98" s="9"/>
      <c r="BG98" s="9"/>
      <c r="BH98" s="9"/>
    </row>
    <row r="99" spans="1:60" x14ac:dyDescent="0.3">
      <c r="A99" s="44" t="s">
        <v>11</v>
      </c>
      <c r="B99" s="45" t="s">
        <v>16</v>
      </c>
      <c r="C99" s="45">
        <v>10</v>
      </c>
      <c r="D99" s="121">
        <v>24.16</v>
      </c>
      <c r="E99" s="122">
        <v>28.99</v>
      </c>
      <c r="F99" s="45">
        <v>60</v>
      </c>
      <c r="G99" s="30">
        <v>45931</v>
      </c>
      <c r="H99" s="30"/>
      <c r="I9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289.92</v>
      </c>
      <c r="L99" t="s">
        <v>2</v>
      </c>
      <c r="M99" s="9">
        <v>164.45</v>
      </c>
      <c r="N99" s="9">
        <v>136.63</v>
      </c>
      <c r="O99" s="9">
        <v>106.45</v>
      </c>
      <c r="P99" s="9">
        <v>92.11</v>
      </c>
      <c r="Q99" s="9">
        <v>79.39</v>
      </c>
      <c r="R99" s="9">
        <v>78.88</v>
      </c>
      <c r="S99" s="9">
        <v>76.91</v>
      </c>
      <c r="T99" s="9">
        <v>74.989999999999995</v>
      </c>
      <c r="U99" s="9">
        <v>73.099999999999994</v>
      </c>
      <c r="V99" s="9">
        <v>71.3</v>
      </c>
      <c r="W99" s="9"/>
      <c r="AA99" t="s">
        <v>263</v>
      </c>
      <c r="AB99" s="124">
        <v>1</v>
      </c>
      <c r="AC99" s="124">
        <v>1</v>
      </c>
      <c r="AD99" s="124">
        <v>1</v>
      </c>
      <c r="AE99" s="124"/>
      <c r="AF99" s="124"/>
      <c r="AG99" s="124"/>
      <c r="AW99" t="s">
        <v>2</v>
      </c>
      <c r="AX99" s="9">
        <v>137.04</v>
      </c>
      <c r="AY99" s="9">
        <v>113.86</v>
      </c>
      <c r="AZ99" s="9">
        <v>88.71</v>
      </c>
      <c r="BA99" s="9">
        <v>76.760000000000005</v>
      </c>
      <c r="BB99" s="9">
        <v>66.16</v>
      </c>
      <c r="BC99" s="9">
        <v>65.73</v>
      </c>
      <c r="BD99" s="9">
        <v>64.09</v>
      </c>
      <c r="BE99" s="9">
        <v>62.49</v>
      </c>
      <c r="BF99" s="9">
        <v>60.92</v>
      </c>
      <c r="BG99" s="9">
        <v>59.42</v>
      </c>
      <c r="BH99" s="9"/>
    </row>
    <row r="100" spans="1:60" x14ac:dyDescent="0.3">
      <c r="A100" s="157" t="s">
        <v>245</v>
      </c>
      <c r="B100" s="158"/>
      <c r="C100" s="158"/>
      <c r="D100" s="166">
        <v>13.8</v>
      </c>
      <c r="E100" s="167">
        <v>16.559999999999999</v>
      </c>
      <c r="F100" s="155">
        <v>60</v>
      </c>
      <c r="G100" s="30">
        <v>45931</v>
      </c>
      <c r="H100" s="156"/>
      <c r="I10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16.559999999999999</v>
      </c>
      <c r="L100" t="s">
        <v>1</v>
      </c>
      <c r="M100" s="9">
        <v>297.07</v>
      </c>
      <c r="N100" s="9">
        <v>247.52</v>
      </c>
      <c r="O100" s="9">
        <v>193.32</v>
      </c>
      <c r="P100" s="9">
        <v>167.68</v>
      </c>
      <c r="Q100" s="9">
        <v>144.91</v>
      </c>
      <c r="R100" s="9">
        <v>143.94</v>
      </c>
      <c r="S100" s="9">
        <v>140.36000000000001</v>
      </c>
      <c r="T100" s="9">
        <v>136.82</v>
      </c>
      <c r="U100" s="9">
        <v>133.4</v>
      </c>
      <c r="V100" s="9">
        <v>130.07</v>
      </c>
      <c r="W100" s="9"/>
      <c r="AA100" t="s">
        <v>264</v>
      </c>
      <c r="AB100" s="124">
        <v>1</v>
      </c>
      <c r="AC100" s="124">
        <v>1</v>
      </c>
      <c r="AD100" s="124">
        <v>1</v>
      </c>
      <c r="AE100" s="124"/>
      <c r="AF100" s="124"/>
      <c r="AG100" s="124"/>
      <c r="AW100" t="s">
        <v>1</v>
      </c>
      <c r="AX100" s="9">
        <v>247.56</v>
      </c>
      <c r="AY100" s="9">
        <v>206.27</v>
      </c>
      <c r="AZ100" s="9">
        <v>161.1</v>
      </c>
      <c r="BA100" s="9">
        <v>139.72999999999999</v>
      </c>
      <c r="BB100" s="9">
        <v>120.76</v>
      </c>
      <c r="BC100" s="9">
        <v>119.95</v>
      </c>
      <c r="BD100" s="9">
        <v>116.97</v>
      </c>
      <c r="BE100" s="9">
        <v>114.02</v>
      </c>
      <c r="BF100" s="9">
        <v>111.17</v>
      </c>
      <c r="BG100" s="9">
        <v>108.39</v>
      </c>
      <c r="BH100" s="9"/>
    </row>
    <row r="101" spans="1:60" x14ac:dyDescent="0.3">
      <c r="A101" s="44" t="s">
        <v>49</v>
      </c>
      <c r="B101" s="45" t="s">
        <v>1</v>
      </c>
      <c r="C101" s="45">
        <v>1</v>
      </c>
      <c r="D101" s="121">
        <v>406.4</v>
      </c>
      <c r="E101" s="122">
        <v>487.68</v>
      </c>
      <c r="F101" s="45">
        <v>800</v>
      </c>
      <c r="G101" s="30">
        <v>45931</v>
      </c>
      <c r="H101" s="30"/>
      <c r="I10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487.68</v>
      </c>
      <c r="K101" t="s">
        <v>259</v>
      </c>
      <c r="L101" t="s">
        <v>16</v>
      </c>
      <c r="M101" s="9">
        <v>56.24</v>
      </c>
      <c r="N101" s="9">
        <v>51.59</v>
      </c>
      <c r="O101" s="9">
        <v>47.33</v>
      </c>
      <c r="P101" s="9">
        <v>43.33</v>
      </c>
      <c r="Q101" s="9">
        <v>39.74</v>
      </c>
      <c r="R101" s="9">
        <v>36.47</v>
      </c>
      <c r="S101" s="9">
        <v>32.81</v>
      </c>
      <c r="T101" s="9">
        <v>29.5</v>
      </c>
      <c r="U101" s="9">
        <v>26.59</v>
      </c>
      <c r="V101" s="9">
        <v>24.23</v>
      </c>
      <c r="W101" s="9"/>
      <c r="AA101" t="s">
        <v>312</v>
      </c>
      <c r="AB101" s="124"/>
      <c r="AC101" s="124">
        <v>1</v>
      </c>
      <c r="AD101" s="124">
        <v>1</v>
      </c>
      <c r="AE101" s="124">
        <v>1</v>
      </c>
      <c r="AF101" s="124">
        <v>1</v>
      </c>
      <c r="AG101" s="124"/>
      <c r="AV101" t="s">
        <v>259</v>
      </c>
      <c r="AW101" t="s">
        <v>16</v>
      </c>
      <c r="AX101" s="9">
        <v>46.87</v>
      </c>
      <c r="AY101" s="9">
        <v>42.99</v>
      </c>
      <c r="AZ101" s="9">
        <v>39.44</v>
      </c>
      <c r="BA101" s="9">
        <v>36.11</v>
      </c>
      <c r="BB101" s="9">
        <v>33.119999999999997</v>
      </c>
      <c r="BC101" s="9">
        <v>30.39</v>
      </c>
      <c r="BD101" s="9">
        <v>27.34</v>
      </c>
      <c r="BE101" s="9">
        <v>24.58</v>
      </c>
      <c r="BF101" s="9">
        <v>22.16</v>
      </c>
      <c r="BG101" s="9">
        <v>20.190000000000001</v>
      </c>
      <c r="BH101" s="9"/>
    </row>
    <row r="102" spans="1:60" x14ac:dyDescent="0.3">
      <c r="A102" s="44" t="s">
        <v>50</v>
      </c>
      <c r="B102" s="45" t="s">
        <v>1</v>
      </c>
      <c r="C102" s="45">
        <v>1</v>
      </c>
      <c r="D102" s="121">
        <v>518.19000000000005</v>
      </c>
      <c r="E102" s="122">
        <v>621.83000000000004</v>
      </c>
      <c r="F102" s="45">
        <v>800</v>
      </c>
      <c r="G102" s="30">
        <v>45931</v>
      </c>
      <c r="H102" s="30"/>
      <c r="I10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621.83000000000004</v>
      </c>
      <c r="L102" t="s">
        <v>2</v>
      </c>
      <c r="M102" s="9">
        <v>325.04000000000002</v>
      </c>
      <c r="N102" s="9">
        <v>270.11</v>
      </c>
      <c r="O102" s="9">
        <v>210.47</v>
      </c>
      <c r="P102" s="9">
        <v>182.23</v>
      </c>
      <c r="Q102" s="9">
        <v>157.09</v>
      </c>
      <c r="R102" s="9">
        <v>138.63999999999999</v>
      </c>
      <c r="S102" s="9">
        <v>122.17</v>
      </c>
      <c r="T102" s="9">
        <v>109.07</v>
      </c>
      <c r="U102" s="9">
        <v>99.02</v>
      </c>
      <c r="V102" s="9">
        <v>92.26</v>
      </c>
      <c r="W102" s="9"/>
      <c r="AA102" t="s">
        <v>313</v>
      </c>
      <c r="AB102" s="124"/>
      <c r="AC102" s="124">
        <v>1</v>
      </c>
      <c r="AD102" s="124">
        <v>1</v>
      </c>
      <c r="AE102" s="124">
        <v>1</v>
      </c>
      <c r="AF102" s="124">
        <v>1</v>
      </c>
      <c r="AG102" s="124"/>
      <c r="AW102" t="s">
        <v>2</v>
      </c>
      <c r="AX102" s="9">
        <v>270.87</v>
      </c>
      <c r="AY102" s="9">
        <v>225.09</v>
      </c>
      <c r="AZ102" s="9">
        <v>175.39</v>
      </c>
      <c r="BA102" s="9">
        <v>151.86000000000001</v>
      </c>
      <c r="BB102" s="9">
        <v>130.91</v>
      </c>
      <c r="BC102" s="9">
        <v>115.53</v>
      </c>
      <c r="BD102" s="9">
        <v>101.81</v>
      </c>
      <c r="BE102" s="9">
        <v>90.89</v>
      </c>
      <c r="BF102" s="9">
        <v>82.52</v>
      </c>
      <c r="BG102" s="9">
        <v>76.88</v>
      </c>
      <c r="BH102" s="9"/>
    </row>
    <row r="103" spans="1:60" x14ac:dyDescent="0.3">
      <c r="A103" s="44" t="s">
        <v>50</v>
      </c>
      <c r="B103" s="45" t="s">
        <v>2</v>
      </c>
      <c r="C103" s="45">
        <v>1</v>
      </c>
      <c r="D103" s="121">
        <v>203.12</v>
      </c>
      <c r="E103" s="122">
        <v>243.74</v>
      </c>
      <c r="F103" s="45">
        <v>400</v>
      </c>
      <c r="G103" s="30">
        <v>45931</v>
      </c>
      <c r="H103" s="30"/>
      <c r="I10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243.74</v>
      </c>
      <c r="L103" t="s">
        <v>1</v>
      </c>
      <c r="M103" s="9">
        <v>685.51</v>
      </c>
      <c r="N103" s="9">
        <v>571.17999999999995</v>
      </c>
      <c r="O103" s="9">
        <v>446</v>
      </c>
      <c r="P103" s="9">
        <v>387.05</v>
      </c>
      <c r="Q103" s="9">
        <v>334.4</v>
      </c>
      <c r="R103" s="9">
        <v>295.93</v>
      </c>
      <c r="S103" s="9">
        <v>261.48</v>
      </c>
      <c r="T103" s="9">
        <v>233.92</v>
      </c>
      <c r="U103" s="9">
        <v>212.99</v>
      </c>
      <c r="V103" s="9">
        <v>199</v>
      </c>
      <c r="W103" s="9"/>
      <c r="AA103" t="s">
        <v>314</v>
      </c>
      <c r="AB103" s="124"/>
      <c r="AC103" s="124">
        <v>1</v>
      </c>
      <c r="AD103" s="124">
        <v>1</v>
      </c>
      <c r="AE103" s="124">
        <v>1</v>
      </c>
      <c r="AF103" s="124">
        <v>1</v>
      </c>
      <c r="AG103" s="124"/>
      <c r="AW103" t="s">
        <v>1</v>
      </c>
      <c r="AX103" s="9">
        <v>571.26</v>
      </c>
      <c r="AY103" s="9">
        <v>475.98</v>
      </c>
      <c r="AZ103" s="9">
        <v>371.67</v>
      </c>
      <c r="BA103" s="9">
        <v>322.54000000000002</v>
      </c>
      <c r="BB103" s="9">
        <v>278.67</v>
      </c>
      <c r="BC103" s="9">
        <v>246.61</v>
      </c>
      <c r="BD103" s="9">
        <v>217.9</v>
      </c>
      <c r="BE103" s="9">
        <v>194.93</v>
      </c>
      <c r="BF103" s="9">
        <v>177.49</v>
      </c>
      <c r="BG103" s="9">
        <v>165.83</v>
      </c>
      <c r="BH103" s="9"/>
    </row>
    <row r="104" spans="1:60" x14ac:dyDescent="0.3">
      <c r="A104" s="44" t="s">
        <v>50</v>
      </c>
      <c r="B104" s="45" t="s">
        <v>16</v>
      </c>
      <c r="C104" s="45">
        <v>1</v>
      </c>
      <c r="D104" s="121">
        <v>84.77</v>
      </c>
      <c r="E104" s="122">
        <v>101.72</v>
      </c>
      <c r="F104" s="45">
        <v>60</v>
      </c>
      <c r="G104" s="30">
        <v>45931</v>
      </c>
      <c r="H104" s="30"/>
      <c r="I10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101.72</v>
      </c>
      <c r="K104" t="s">
        <v>260</v>
      </c>
      <c r="L104" t="s">
        <v>16</v>
      </c>
      <c r="M104" s="9">
        <v>65.41</v>
      </c>
      <c r="N104" s="9">
        <v>59.98</v>
      </c>
      <c r="O104" s="9">
        <v>54.96</v>
      </c>
      <c r="P104" s="9">
        <v>50.45</v>
      </c>
      <c r="Q104" s="9">
        <v>46.22</v>
      </c>
      <c r="R104" s="9">
        <v>42.4</v>
      </c>
      <c r="S104" s="9">
        <v>38.17</v>
      </c>
      <c r="T104" s="9">
        <v>34.340000000000003</v>
      </c>
      <c r="U104" s="9">
        <v>30.91</v>
      </c>
      <c r="V104" s="9">
        <v>28.13</v>
      </c>
      <c r="W104" s="9"/>
      <c r="AA104" t="s">
        <v>315</v>
      </c>
      <c r="AB104" s="124"/>
      <c r="AC104" s="124">
        <v>1</v>
      </c>
      <c r="AD104" s="124">
        <v>1</v>
      </c>
      <c r="AE104" s="124">
        <v>1</v>
      </c>
      <c r="AF104" s="124">
        <v>1</v>
      </c>
      <c r="AG104" s="124"/>
      <c r="AV104" t="s">
        <v>260</v>
      </c>
      <c r="AW104" t="s">
        <v>16</v>
      </c>
      <c r="AX104" s="9">
        <v>54.51</v>
      </c>
      <c r="AY104" s="9">
        <v>49.98</v>
      </c>
      <c r="AZ104" s="9">
        <v>45.8</v>
      </c>
      <c r="BA104" s="9">
        <v>42.04</v>
      </c>
      <c r="BB104" s="9">
        <v>38.520000000000003</v>
      </c>
      <c r="BC104" s="9">
        <v>35.33</v>
      </c>
      <c r="BD104" s="9">
        <v>31.81</v>
      </c>
      <c r="BE104" s="9">
        <v>28.62</v>
      </c>
      <c r="BF104" s="9">
        <v>25.76</v>
      </c>
      <c r="BG104" s="9">
        <v>23.44</v>
      </c>
      <c r="BH104" s="9"/>
    </row>
    <row r="105" spans="1:60" x14ac:dyDescent="0.3">
      <c r="A105" s="44" t="s">
        <v>51</v>
      </c>
      <c r="B105" s="45" t="s">
        <v>1</v>
      </c>
      <c r="C105" s="45">
        <v>1</v>
      </c>
      <c r="D105" s="121">
        <v>955.87</v>
      </c>
      <c r="E105" s="122">
        <v>1147.04</v>
      </c>
      <c r="F105" s="45">
        <v>800</v>
      </c>
      <c r="G105" s="30">
        <v>45931</v>
      </c>
      <c r="H105" s="30"/>
      <c r="I10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1147.04</v>
      </c>
      <c r="L105" t="s">
        <v>2</v>
      </c>
      <c r="M105" s="9">
        <v>535.51</v>
      </c>
      <c r="N105" s="9">
        <v>472.92</v>
      </c>
      <c r="O105" s="9">
        <v>417.58</v>
      </c>
      <c r="P105" s="9">
        <v>368.68</v>
      </c>
      <c r="Q105" s="9">
        <v>325.44</v>
      </c>
      <c r="R105" s="9">
        <v>287.26</v>
      </c>
      <c r="S105" s="9">
        <v>253.27</v>
      </c>
      <c r="T105" s="9">
        <v>226.03</v>
      </c>
      <c r="U105" s="9">
        <v>205.21</v>
      </c>
      <c r="V105" s="9">
        <v>191.2</v>
      </c>
      <c r="W105" s="9"/>
      <c r="AA105" t="s">
        <v>316</v>
      </c>
      <c r="AB105" s="124"/>
      <c r="AC105" s="124"/>
      <c r="AD105" s="124"/>
      <c r="AE105" s="124"/>
      <c r="AF105" s="124"/>
      <c r="AG105" s="124"/>
      <c r="AW105" t="s">
        <v>2</v>
      </c>
      <c r="AX105" s="9">
        <v>446.26</v>
      </c>
      <c r="AY105" s="9">
        <v>394.1</v>
      </c>
      <c r="AZ105" s="9">
        <v>347.98</v>
      </c>
      <c r="BA105" s="9">
        <v>307.23</v>
      </c>
      <c r="BB105" s="9">
        <v>271.2</v>
      </c>
      <c r="BC105" s="9">
        <v>239.38</v>
      </c>
      <c r="BD105" s="9">
        <v>211.06</v>
      </c>
      <c r="BE105" s="9">
        <v>188.36</v>
      </c>
      <c r="BF105" s="9">
        <v>171.01</v>
      </c>
      <c r="BG105" s="9">
        <v>159.33000000000001</v>
      </c>
      <c r="BH105" s="9"/>
    </row>
    <row r="106" spans="1:60" x14ac:dyDescent="0.3">
      <c r="A106" s="44" t="s">
        <v>51</v>
      </c>
      <c r="B106" s="45" t="s">
        <v>2</v>
      </c>
      <c r="C106" s="45">
        <v>1</v>
      </c>
      <c r="D106" s="121">
        <v>365.61</v>
      </c>
      <c r="E106" s="122">
        <v>438.73</v>
      </c>
      <c r="F106" s="45">
        <v>400</v>
      </c>
      <c r="G106" s="30">
        <v>45931</v>
      </c>
      <c r="H106" s="30"/>
      <c r="I10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438.73</v>
      </c>
      <c r="L106" t="s">
        <v>1</v>
      </c>
      <c r="M106" s="9">
        <v>866.6</v>
      </c>
      <c r="N106" s="9">
        <v>767.05</v>
      </c>
      <c r="O106" s="9">
        <v>678.94</v>
      </c>
      <c r="P106" s="9">
        <v>600.9</v>
      </c>
      <c r="Q106" s="9">
        <v>531.76</v>
      </c>
      <c r="R106" s="9">
        <v>470.44</v>
      </c>
      <c r="S106" s="9">
        <v>415.87</v>
      </c>
      <c r="T106" s="9">
        <v>372.07</v>
      </c>
      <c r="U106" s="9">
        <v>338.5</v>
      </c>
      <c r="V106" s="9">
        <v>316.18</v>
      </c>
      <c r="W106" s="9"/>
      <c r="AA106" t="s">
        <v>318</v>
      </c>
      <c r="AB106" s="124"/>
      <c r="AC106" s="124"/>
      <c r="AD106" s="124"/>
      <c r="AE106" s="124"/>
      <c r="AF106" s="124"/>
      <c r="AG106" s="124"/>
      <c r="AW106" t="s">
        <v>1</v>
      </c>
      <c r="AX106" s="9">
        <v>722.17</v>
      </c>
      <c r="AY106" s="9">
        <v>639.21</v>
      </c>
      <c r="AZ106" s="9">
        <v>565.78</v>
      </c>
      <c r="BA106" s="9">
        <v>500.75</v>
      </c>
      <c r="BB106" s="9">
        <v>443.13</v>
      </c>
      <c r="BC106" s="9">
        <v>392.03</v>
      </c>
      <c r="BD106" s="9">
        <v>346.56</v>
      </c>
      <c r="BE106" s="9">
        <v>310.06</v>
      </c>
      <c r="BF106" s="9">
        <v>282.08</v>
      </c>
      <c r="BG106" s="9">
        <v>263.48</v>
      </c>
      <c r="BH106" s="9"/>
    </row>
    <row r="107" spans="1:60" x14ac:dyDescent="0.3">
      <c r="A107" s="44" t="s">
        <v>51</v>
      </c>
      <c r="B107" s="45" t="s">
        <v>16</v>
      </c>
      <c r="C107" s="45">
        <v>1</v>
      </c>
      <c r="D107" s="121">
        <v>152.44999999999999</v>
      </c>
      <c r="E107" s="122">
        <v>182.94</v>
      </c>
      <c r="F107" s="45">
        <v>60</v>
      </c>
      <c r="G107" s="30">
        <v>45931</v>
      </c>
      <c r="H107" s="30"/>
      <c r="I10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182.94</v>
      </c>
      <c r="K107" t="s">
        <v>261</v>
      </c>
      <c r="L107" t="s">
        <v>1</v>
      </c>
      <c r="M107" s="9">
        <v>476.42</v>
      </c>
      <c r="N107" s="9"/>
      <c r="O107" s="9"/>
      <c r="P107" s="9"/>
      <c r="Q107" s="9"/>
      <c r="R107" s="9"/>
      <c r="S107" s="9"/>
      <c r="T107" s="9"/>
      <c r="U107" s="9"/>
      <c r="V107" s="9"/>
      <c r="W107" s="9"/>
      <c r="AV107" t="s">
        <v>261</v>
      </c>
      <c r="AW107" t="s">
        <v>1</v>
      </c>
      <c r="AX107" s="9">
        <v>397.02</v>
      </c>
      <c r="AY107" s="9"/>
      <c r="AZ107" s="9"/>
      <c r="BA107" s="9"/>
      <c r="BB107" s="9"/>
      <c r="BC107" s="9"/>
      <c r="BD107" s="9"/>
      <c r="BE107" s="9"/>
      <c r="BF107" s="9"/>
      <c r="BG107" s="9"/>
      <c r="BH107" s="9"/>
    </row>
    <row r="108" spans="1:60" x14ac:dyDescent="0.3">
      <c r="A108" s="44" t="s">
        <v>73</v>
      </c>
      <c r="B108" s="45" t="s">
        <v>1</v>
      </c>
      <c r="C108" s="45">
        <v>1</v>
      </c>
      <c r="D108" s="121">
        <v>1942.01</v>
      </c>
      <c r="E108" s="122">
        <v>2330.41</v>
      </c>
      <c r="F108" s="45">
        <v>800</v>
      </c>
      <c r="G108" s="30">
        <v>45931</v>
      </c>
      <c r="H108" s="30"/>
      <c r="I10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2330.41</v>
      </c>
      <c r="K108" t="s">
        <v>262</v>
      </c>
      <c r="L108" t="s">
        <v>16</v>
      </c>
      <c r="M108" s="9">
        <v>100.56</v>
      </c>
      <c r="N108" s="9"/>
      <c r="O108" s="9"/>
      <c r="P108" s="9"/>
      <c r="Q108" s="9"/>
      <c r="R108" s="9"/>
      <c r="S108" s="9"/>
      <c r="T108" s="9"/>
      <c r="U108" s="9"/>
      <c r="V108" s="9"/>
      <c r="W108" s="9"/>
      <c r="AV108" t="s">
        <v>262</v>
      </c>
      <c r="AW108" t="s">
        <v>16</v>
      </c>
      <c r="AX108" s="9">
        <v>83.8</v>
      </c>
      <c r="AY108" s="9"/>
      <c r="AZ108" s="9"/>
      <c r="BA108" s="9"/>
      <c r="BB108" s="9"/>
      <c r="BC108" s="9"/>
      <c r="BD108" s="9"/>
      <c r="BE108" s="9"/>
      <c r="BF108" s="9"/>
      <c r="BG108" s="9"/>
      <c r="BH108" s="9"/>
    </row>
    <row r="109" spans="1:60" x14ac:dyDescent="0.3">
      <c r="A109" s="44" t="s">
        <v>73</v>
      </c>
      <c r="B109" s="45" t="s">
        <v>2</v>
      </c>
      <c r="C109" s="45">
        <v>1</v>
      </c>
      <c r="D109" s="121">
        <v>750.07</v>
      </c>
      <c r="E109" s="122">
        <v>900.08</v>
      </c>
      <c r="F109" s="45">
        <v>400</v>
      </c>
      <c r="G109" s="30">
        <v>45931</v>
      </c>
      <c r="H109" s="30"/>
      <c r="I10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900.08</v>
      </c>
      <c r="L109" t="s">
        <v>2</v>
      </c>
      <c r="M109" s="9">
        <v>239.05</v>
      </c>
      <c r="N109" s="9"/>
      <c r="O109" s="9"/>
      <c r="P109" s="9"/>
      <c r="Q109" s="9"/>
      <c r="R109" s="9"/>
      <c r="S109" s="9"/>
      <c r="T109" s="9"/>
      <c r="U109" s="9"/>
      <c r="V109" s="9"/>
      <c r="W109" s="9"/>
      <c r="AW109" t="s">
        <v>2</v>
      </c>
      <c r="AX109" s="9">
        <v>199.21</v>
      </c>
      <c r="AY109" s="9"/>
      <c r="AZ109" s="9"/>
      <c r="BA109" s="9"/>
      <c r="BB109" s="9"/>
      <c r="BC109" s="9"/>
      <c r="BD109" s="9"/>
      <c r="BE109" s="9"/>
      <c r="BF109" s="9"/>
      <c r="BG109" s="9"/>
      <c r="BH109" s="9"/>
    </row>
    <row r="110" spans="1:60" x14ac:dyDescent="0.3">
      <c r="A110" s="44" t="s">
        <v>73</v>
      </c>
      <c r="B110" s="45" t="s">
        <v>16</v>
      </c>
      <c r="C110" s="45">
        <v>1</v>
      </c>
      <c r="D110" s="121">
        <v>324.07</v>
      </c>
      <c r="E110" s="122">
        <v>388.88</v>
      </c>
      <c r="F110" s="45">
        <v>60</v>
      </c>
      <c r="G110" s="30">
        <v>45931</v>
      </c>
      <c r="H110" s="30"/>
      <c r="I11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388.88</v>
      </c>
      <c r="L110" t="s">
        <v>1</v>
      </c>
      <c r="M110" s="9">
        <v>605.09</v>
      </c>
      <c r="N110" s="9"/>
      <c r="O110" s="9"/>
      <c r="P110" s="9"/>
      <c r="Q110" s="9"/>
      <c r="R110" s="9"/>
      <c r="S110" s="9"/>
      <c r="T110" s="9"/>
      <c r="U110" s="9"/>
      <c r="V110" s="9"/>
      <c r="W110" s="9"/>
      <c r="AW110" t="s">
        <v>1</v>
      </c>
      <c r="AX110" s="9">
        <v>504.24</v>
      </c>
      <c r="AY110" s="9"/>
      <c r="AZ110" s="9"/>
      <c r="BA110" s="9"/>
      <c r="BB110" s="9"/>
      <c r="BC110" s="9"/>
      <c r="BD110" s="9"/>
      <c r="BE110" s="9"/>
      <c r="BF110" s="9"/>
      <c r="BG110" s="9"/>
      <c r="BH110" s="9"/>
    </row>
    <row r="111" spans="1:60" x14ac:dyDescent="0.3">
      <c r="A111" s="157" t="s">
        <v>246</v>
      </c>
      <c r="B111" s="158"/>
      <c r="C111" s="158"/>
      <c r="D111" s="166">
        <v>13.39</v>
      </c>
      <c r="E111" s="167">
        <v>16.07</v>
      </c>
      <c r="F111" s="155">
        <v>60</v>
      </c>
      <c r="G111" s="30">
        <v>45931</v>
      </c>
      <c r="H111" s="156"/>
      <c r="I11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16.07</v>
      </c>
      <c r="K111" t="s">
        <v>263</v>
      </c>
      <c r="L111" t="s">
        <v>16</v>
      </c>
      <c r="M111" s="9">
        <v>179.6</v>
      </c>
      <c r="N111" s="9"/>
      <c r="O111" s="9"/>
      <c r="P111" s="9"/>
      <c r="Q111" s="9"/>
      <c r="R111" s="9"/>
      <c r="S111" s="9"/>
      <c r="T111" s="9"/>
      <c r="U111" s="9"/>
      <c r="V111" s="9"/>
      <c r="W111" s="9"/>
      <c r="AV111" t="s">
        <v>263</v>
      </c>
      <c r="AW111" t="s">
        <v>16</v>
      </c>
      <c r="AX111" s="9">
        <v>149.66999999999999</v>
      </c>
      <c r="AY111" s="9"/>
      <c r="AZ111" s="9"/>
      <c r="BA111" s="9"/>
      <c r="BB111" s="9"/>
      <c r="BC111" s="9"/>
      <c r="BD111" s="9"/>
      <c r="BE111" s="9"/>
      <c r="BF111" s="9"/>
      <c r="BG111" s="9"/>
      <c r="BH111" s="9"/>
    </row>
    <row r="112" spans="1:60" x14ac:dyDescent="0.3">
      <c r="A112" s="162" t="s">
        <v>257</v>
      </c>
      <c r="B112" s="148" t="s">
        <v>1</v>
      </c>
      <c r="C112" s="148">
        <v>1</v>
      </c>
      <c r="D112" s="121">
        <v>205.64</v>
      </c>
      <c r="E112" s="122">
        <v>246.77</v>
      </c>
      <c r="F112" s="148">
        <v>800</v>
      </c>
      <c r="G112" s="150">
        <v>45931</v>
      </c>
      <c r="H112" s="30"/>
      <c r="I11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246.77</v>
      </c>
      <c r="L112" t="s">
        <v>2</v>
      </c>
      <c r="M112" s="9">
        <v>427.36</v>
      </c>
      <c r="N112" s="9"/>
      <c r="O112" s="9"/>
      <c r="P112" s="9"/>
      <c r="Q112" s="9"/>
      <c r="R112" s="9"/>
      <c r="S112" s="9"/>
      <c r="T112" s="9"/>
      <c r="U112" s="9"/>
      <c r="V112" s="9"/>
      <c r="W112" s="9"/>
      <c r="AW112" t="s">
        <v>2</v>
      </c>
      <c r="AX112" s="9">
        <v>356.13</v>
      </c>
      <c r="AY112" s="9"/>
      <c r="AZ112" s="9"/>
      <c r="BA112" s="9"/>
      <c r="BB112" s="9"/>
      <c r="BC112" s="9"/>
      <c r="BD112" s="9"/>
      <c r="BE112" s="9"/>
      <c r="BF112" s="9"/>
      <c r="BG112" s="9"/>
      <c r="BH112" s="9"/>
    </row>
    <row r="113" spans="1:60" x14ac:dyDescent="0.3">
      <c r="A113" s="162" t="s">
        <v>257</v>
      </c>
      <c r="B113" s="148" t="s">
        <v>1</v>
      </c>
      <c r="C113" s="148">
        <v>2</v>
      </c>
      <c r="D113" s="121">
        <v>171.63</v>
      </c>
      <c r="E113" s="122">
        <v>205.96</v>
      </c>
      <c r="F113" s="148">
        <v>800</v>
      </c>
      <c r="G113" s="150">
        <v>45931</v>
      </c>
      <c r="H113" s="30"/>
      <c r="I11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411.91</v>
      </c>
      <c r="L113" t="s">
        <v>1</v>
      </c>
      <c r="M113" s="9">
        <v>1108.51</v>
      </c>
      <c r="N113" s="9"/>
      <c r="O113" s="9"/>
      <c r="P113" s="9"/>
      <c r="Q113" s="9"/>
      <c r="R113" s="9"/>
      <c r="S113" s="9"/>
      <c r="T113" s="9"/>
      <c r="U113" s="9"/>
      <c r="V113" s="9"/>
      <c r="W113" s="9"/>
      <c r="AW113" t="s">
        <v>1</v>
      </c>
      <c r="AX113" s="9">
        <v>923.76</v>
      </c>
      <c r="AY113" s="9"/>
      <c r="AZ113" s="9"/>
      <c r="BA113" s="9"/>
      <c r="BB113" s="9"/>
      <c r="BC113" s="9"/>
      <c r="BD113" s="9"/>
      <c r="BE113" s="9"/>
      <c r="BF113" s="9"/>
      <c r="BG113" s="9"/>
      <c r="BH113" s="9"/>
    </row>
    <row r="114" spans="1:60" x14ac:dyDescent="0.3">
      <c r="A114" s="162" t="s">
        <v>257</v>
      </c>
      <c r="B114" s="148" t="s">
        <v>1</v>
      </c>
      <c r="C114" s="148">
        <v>3</v>
      </c>
      <c r="D114" s="121">
        <v>134.33000000000001</v>
      </c>
      <c r="E114" s="122">
        <v>161.19999999999999</v>
      </c>
      <c r="F114" s="148">
        <v>800</v>
      </c>
      <c r="G114" s="150">
        <v>45931</v>
      </c>
      <c r="H114" s="30"/>
      <c r="I11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483.59</v>
      </c>
      <c r="K114" t="s">
        <v>264</v>
      </c>
      <c r="L114" t="s">
        <v>16</v>
      </c>
      <c r="M114" s="9">
        <v>381.05</v>
      </c>
      <c r="N114" s="9"/>
      <c r="O114" s="9"/>
      <c r="P114" s="9"/>
      <c r="Q114" s="9"/>
      <c r="R114" s="9"/>
      <c r="S114" s="9"/>
      <c r="T114" s="9"/>
      <c r="U114" s="9"/>
      <c r="V114" s="9"/>
      <c r="W114" s="9"/>
      <c r="AV114" t="s">
        <v>264</v>
      </c>
      <c r="AW114" t="s">
        <v>16</v>
      </c>
      <c r="AX114" s="9">
        <v>317.54000000000002</v>
      </c>
      <c r="AY114" s="9"/>
      <c r="AZ114" s="9"/>
      <c r="BA114" s="9"/>
      <c r="BB114" s="9"/>
      <c r="BC114" s="9"/>
      <c r="BD114" s="9"/>
      <c r="BE114" s="9"/>
      <c r="BF114" s="9"/>
      <c r="BG114" s="9"/>
      <c r="BH114" s="9"/>
    </row>
    <row r="115" spans="1:60" x14ac:dyDescent="0.3">
      <c r="A115" s="162" t="s">
        <v>257</v>
      </c>
      <c r="B115" s="148" t="s">
        <v>1</v>
      </c>
      <c r="C115" s="148">
        <v>4</v>
      </c>
      <c r="D115" s="121">
        <v>116.77</v>
      </c>
      <c r="E115" s="122">
        <v>140.12</v>
      </c>
      <c r="F115" s="148">
        <v>800</v>
      </c>
      <c r="G115" s="150">
        <v>45931</v>
      </c>
      <c r="H115" s="30"/>
      <c r="I11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560.5</v>
      </c>
      <c r="L115" t="s">
        <v>2</v>
      </c>
      <c r="M115" s="9">
        <v>875</v>
      </c>
      <c r="N115" s="9"/>
      <c r="O115" s="9"/>
      <c r="P115" s="9"/>
      <c r="Q115" s="9"/>
      <c r="R115" s="9"/>
      <c r="S115" s="9"/>
      <c r="T115" s="9"/>
      <c r="U115" s="9"/>
      <c r="V115" s="9"/>
      <c r="W115" s="9"/>
      <c r="AW115" t="s">
        <v>2</v>
      </c>
      <c r="AX115" s="9">
        <v>729.17</v>
      </c>
      <c r="AY115" s="9"/>
      <c r="AZ115" s="9"/>
      <c r="BA115" s="9"/>
      <c r="BB115" s="9"/>
      <c r="BC115" s="9"/>
      <c r="BD115" s="9"/>
      <c r="BE115" s="9"/>
      <c r="BF115" s="9"/>
      <c r="BG115" s="9"/>
      <c r="BH115" s="9"/>
    </row>
    <row r="116" spans="1:60" x14ac:dyDescent="0.3">
      <c r="A116" s="162" t="s">
        <v>257</v>
      </c>
      <c r="B116" s="148" t="s">
        <v>1</v>
      </c>
      <c r="C116" s="148">
        <v>5</v>
      </c>
      <c r="D116" s="121">
        <v>101.13</v>
      </c>
      <c r="E116" s="122">
        <v>121.36</v>
      </c>
      <c r="F116" s="148">
        <v>800</v>
      </c>
      <c r="G116" s="150">
        <v>45931</v>
      </c>
      <c r="H116" s="30"/>
      <c r="I11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606.78</v>
      </c>
      <c r="L116" t="s">
        <v>1</v>
      </c>
      <c r="M116" s="9">
        <v>2247.71</v>
      </c>
      <c r="N116" s="9"/>
      <c r="O116" s="9"/>
      <c r="P116" s="9"/>
      <c r="Q116" s="9"/>
      <c r="R116" s="9"/>
      <c r="S116" s="9"/>
      <c r="T116" s="9"/>
      <c r="U116" s="9"/>
      <c r="V116" s="9"/>
      <c r="W116" s="9"/>
      <c r="AW116" t="s">
        <v>1</v>
      </c>
      <c r="AX116" s="9">
        <v>1873.09</v>
      </c>
      <c r="AY116" s="9"/>
      <c r="AZ116" s="9"/>
      <c r="BA116" s="9"/>
      <c r="BB116" s="9"/>
      <c r="BC116" s="9"/>
      <c r="BD116" s="9"/>
      <c r="BE116" s="9"/>
      <c r="BF116" s="9"/>
      <c r="BG116" s="9"/>
      <c r="BH116" s="9"/>
    </row>
    <row r="117" spans="1:60" x14ac:dyDescent="0.3">
      <c r="A117" s="162" t="s">
        <v>257</v>
      </c>
      <c r="B117" s="148" t="s">
        <v>2</v>
      </c>
      <c r="C117" s="148">
        <v>1</v>
      </c>
      <c r="D117" s="121">
        <v>121.41</v>
      </c>
      <c r="E117" s="122">
        <v>145.69</v>
      </c>
      <c r="F117" s="148">
        <v>400</v>
      </c>
      <c r="G117" s="150">
        <v>45931</v>
      </c>
      <c r="H117" s="30"/>
      <c r="I11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145.69</v>
      </c>
      <c r="K117" t="s">
        <v>312</v>
      </c>
      <c r="L117" t="s">
        <v>2</v>
      </c>
      <c r="M117" s="9">
        <v>93.55</v>
      </c>
      <c r="N117" s="9"/>
      <c r="O117" s="9"/>
      <c r="P117" s="9"/>
      <c r="Q117" s="9"/>
      <c r="R117" s="9"/>
      <c r="S117" s="9"/>
      <c r="T117" s="9"/>
      <c r="U117" s="9"/>
      <c r="V117" s="9"/>
      <c r="W117" s="9"/>
      <c r="AV117" t="s">
        <v>312</v>
      </c>
      <c r="AW117" t="s">
        <v>2</v>
      </c>
      <c r="AX117" s="9">
        <v>77.959999999999994</v>
      </c>
      <c r="AY117" s="9"/>
      <c r="AZ117" s="9"/>
      <c r="BA117" s="9"/>
      <c r="BB117" s="9"/>
      <c r="BC117" s="9"/>
      <c r="BD117" s="9"/>
      <c r="BE117" s="9"/>
      <c r="BF117" s="9"/>
      <c r="BG117" s="9"/>
      <c r="BH117" s="9"/>
    </row>
    <row r="118" spans="1:60" x14ac:dyDescent="0.3">
      <c r="A118" s="162" t="s">
        <v>257</v>
      </c>
      <c r="B118" s="148" t="s">
        <v>2</v>
      </c>
      <c r="C118" s="148">
        <v>2</v>
      </c>
      <c r="D118" s="121">
        <v>101.16</v>
      </c>
      <c r="E118" s="122">
        <v>121.39</v>
      </c>
      <c r="F118" s="148">
        <v>400</v>
      </c>
      <c r="G118" s="150">
        <v>45931</v>
      </c>
      <c r="H118" s="30"/>
      <c r="I11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242.78</v>
      </c>
      <c r="L118" t="s">
        <v>1</v>
      </c>
      <c r="M118" s="9">
        <v>236.53</v>
      </c>
      <c r="N118" s="9"/>
      <c r="O118" s="9"/>
      <c r="P118" s="9"/>
      <c r="Q118" s="9"/>
      <c r="R118" s="9"/>
      <c r="S118" s="9"/>
      <c r="T118" s="9"/>
      <c r="U118" s="9"/>
      <c r="V118" s="9"/>
      <c r="W118" s="9"/>
      <c r="AW118" t="s">
        <v>1</v>
      </c>
      <c r="AX118" s="9">
        <v>197.11</v>
      </c>
      <c r="AY118" s="9"/>
      <c r="AZ118" s="9"/>
      <c r="BA118" s="9"/>
      <c r="BB118" s="9"/>
      <c r="BC118" s="9"/>
      <c r="BD118" s="9"/>
      <c r="BE118" s="9"/>
      <c r="BF118" s="9"/>
      <c r="BG118" s="9"/>
      <c r="BH118" s="9"/>
    </row>
    <row r="119" spans="1:60" x14ac:dyDescent="0.3">
      <c r="A119" s="162" t="s">
        <v>257</v>
      </c>
      <c r="B119" s="148" t="s">
        <v>2</v>
      </c>
      <c r="C119" s="148">
        <v>3</v>
      </c>
      <c r="D119" s="121">
        <v>78.95</v>
      </c>
      <c r="E119" s="122">
        <v>94.74</v>
      </c>
      <c r="F119" s="148">
        <v>400</v>
      </c>
      <c r="G119" s="150">
        <v>45931</v>
      </c>
      <c r="H119" s="30"/>
      <c r="I11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284.22000000000003</v>
      </c>
      <c r="L119" t="s">
        <v>3</v>
      </c>
      <c r="M119" s="9">
        <v>41.14</v>
      </c>
      <c r="N119" s="9"/>
      <c r="O119" s="9"/>
      <c r="P119" s="9"/>
      <c r="Q119" s="9"/>
      <c r="R119" s="9"/>
      <c r="S119" s="9"/>
      <c r="T119" s="9"/>
      <c r="U119" s="9"/>
      <c r="V119" s="9"/>
      <c r="W119" s="9"/>
      <c r="AW119" t="s">
        <v>3</v>
      </c>
      <c r="AX119" s="9">
        <v>34.28</v>
      </c>
      <c r="AY119" s="9"/>
      <c r="AZ119" s="9"/>
      <c r="BA119" s="9"/>
      <c r="BB119" s="9"/>
      <c r="BC119" s="9"/>
      <c r="BD119" s="9"/>
      <c r="BE119" s="9"/>
      <c r="BF119" s="9"/>
      <c r="BG119" s="9"/>
      <c r="BH119" s="9"/>
    </row>
    <row r="120" spans="1:60" x14ac:dyDescent="0.3">
      <c r="A120" s="162" t="s">
        <v>257</v>
      </c>
      <c r="B120" s="148" t="s">
        <v>2</v>
      </c>
      <c r="C120" s="148">
        <v>4</v>
      </c>
      <c r="D120" s="121">
        <v>68.48</v>
      </c>
      <c r="E120" s="122">
        <v>82.18</v>
      </c>
      <c r="F120" s="148">
        <v>400</v>
      </c>
      <c r="G120" s="150">
        <v>45931</v>
      </c>
      <c r="H120" s="30"/>
      <c r="I12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328.7</v>
      </c>
      <c r="L120" t="s">
        <v>74</v>
      </c>
      <c r="M120" s="9">
        <v>108.78</v>
      </c>
      <c r="N120" s="9"/>
      <c r="O120" s="9"/>
      <c r="P120" s="9"/>
      <c r="Q120" s="9"/>
      <c r="R120" s="9"/>
      <c r="S120" s="9"/>
      <c r="T120" s="9"/>
      <c r="U120" s="9"/>
      <c r="V120" s="9"/>
      <c r="W120" s="9"/>
      <c r="AW120" t="s">
        <v>74</v>
      </c>
      <c r="AX120" s="9">
        <v>90.65</v>
      </c>
      <c r="AY120" s="9"/>
      <c r="AZ120" s="9"/>
      <c r="BA120" s="9"/>
      <c r="BB120" s="9"/>
      <c r="BC120" s="9"/>
      <c r="BD120" s="9"/>
      <c r="BE120" s="9"/>
      <c r="BF120" s="9"/>
      <c r="BG120" s="9"/>
      <c r="BH120" s="9"/>
    </row>
    <row r="121" spans="1:60" x14ac:dyDescent="0.3">
      <c r="A121" s="162" t="s">
        <v>257</v>
      </c>
      <c r="B121" s="148" t="s">
        <v>2</v>
      </c>
      <c r="C121" s="148">
        <v>5</v>
      </c>
      <c r="D121" s="121">
        <v>59.16</v>
      </c>
      <c r="E121" s="122">
        <v>70.989999999999995</v>
      </c>
      <c r="F121" s="148">
        <v>400</v>
      </c>
      <c r="G121" s="150">
        <v>45931</v>
      </c>
      <c r="H121" s="30"/>
      <c r="I12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354.96</v>
      </c>
      <c r="K121" t="s">
        <v>313</v>
      </c>
      <c r="L121" t="s">
        <v>2</v>
      </c>
      <c r="M121" s="9">
        <v>203.7</v>
      </c>
      <c r="N121" s="9"/>
      <c r="O121" s="9"/>
      <c r="P121" s="9"/>
      <c r="Q121" s="9"/>
      <c r="R121" s="9"/>
      <c r="S121" s="9"/>
      <c r="T121" s="9"/>
      <c r="U121" s="9"/>
      <c r="V121" s="9"/>
      <c r="W121" s="9"/>
      <c r="AV121" t="s">
        <v>313</v>
      </c>
      <c r="AW121" t="s">
        <v>2</v>
      </c>
      <c r="AX121" s="9">
        <v>169.75</v>
      </c>
      <c r="AY121" s="9"/>
      <c r="AZ121" s="9"/>
      <c r="BA121" s="9"/>
      <c r="BB121" s="9"/>
      <c r="BC121" s="9"/>
      <c r="BD121" s="9"/>
      <c r="BE121" s="9"/>
      <c r="BF121" s="9"/>
      <c r="BG121" s="9"/>
      <c r="BH121" s="9"/>
    </row>
    <row r="122" spans="1:60" x14ac:dyDescent="0.3">
      <c r="A122" s="162" t="s">
        <v>257</v>
      </c>
      <c r="B122" s="148" t="s">
        <v>3</v>
      </c>
      <c r="C122" s="148">
        <v>1</v>
      </c>
      <c r="D122" s="121">
        <v>31.55</v>
      </c>
      <c r="E122" s="122">
        <v>37.86</v>
      </c>
      <c r="F122" s="148">
        <v>60</v>
      </c>
      <c r="G122" s="150">
        <v>45931</v>
      </c>
      <c r="H122" s="30"/>
      <c r="I12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37.86</v>
      </c>
      <c r="L122" t="s">
        <v>1</v>
      </c>
      <c r="M122" s="9">
        <v>476.42</v>
      </c>
      <c r="N122" s="9"/>
      <c r="O122" s="9"/>
      <c r="P122" s="9"/>
      <c r="Q122" s="9"/>
      <c r="R122" s="9"/>
      <c r="S122" s="9"/>
      <c r="T122" s="9"/>
      <c r="U122" s="9"/>
      <c r="V122" s="9"/>
      <c r="W122" s="9"/>
      <c r="AW122" t="s">
        <v>1</v>
      </c>
      <c r="AX122" s="9">
        <v>397.02</v>
      </c>
      <c r="AY122" s="9"/>
      <c r="AZ122" s="9"/>
      <c r="BA122" s="9"/>
      <c r="BB122" s="9"/>
      <c r="BC122" s="9"/>
      <c r="BD122" s="9"/>
      <c r="BE122" s="9"/>
      <c r="BF122" s="9"/>
      <c r="BG122" s="9"/>
      <c r="BH122" s="9"/>
    </row>
    <row r="123" spans="1:60" x14ac:dyDescent="0.3">
      <c r="A123" s="162" t="s">
        <v>257</v>
      </c>
      <c r="B123" s="148" t="s">
        <v>3</v>
      </c>
      <c r="C123" s="148">
        <v>2</v>
      </c>
      <c r="D123" s="121">
        <v>29.02</v>
      </c>
      <c r="E123" s="122">
        <v>34.82</v>
      </c>
      <c r="F123" s="148">
        <v>60</v>
      </c>
      <c r="G123" s="150">
        <v>45931</v>
      </c>
      <c r="H123" s="30"/>
      <c r="I12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69.650000000000006</v>
      </c>
      <c r="L123" t="s">
        <v>3</v>
      </c>
      <c r="M123" s="9">
        <v>85</v>
      </c>
      <c r="N123" s="9"/>
      <c r="O123" s="9"/>
      <c r="P123" s="9"/>
      <c r="Q123" s="9"/>
      <c r="R123" s="9"/>
      <c r="S123" s="9"/>
      <c r="T123" s="9"/>
      <c r="U123" s="9"/>
      <c r="V123" s="9"/>
      <c r="W123" s="9"/>
      <c r="AW123" t="s">
        <v>3</v>
      </c>
      <c r="AX123" s="9">
        <v>70.83</v>
      </c>
      <c r="AY123" s="9"/>
      <c r="AZ123" s="9"/>
      <c r="BA123" s="9"/>
      <c r="BB123" s="9"/>
      <c r="BC123" s="9"/>
      <c r="BD123" s="9"/>
      <c r="BE123" s="9"/>
      <c r="BF123" s="9"/>
      <c r="BG123" s="9"/>
      <c r="BH123" s="9"/>
    </row>
    <row r="124" spans="1:60" x14ac:dyDescent="0.3">
      <c r="A124" s="162" t="s">
        <v>257</v>
      </c>
      <c r="B124" s="148" t="s">
        <v>3</v>
      </c>
      <c r="C124" s="148">
        <v>3</v>
      </c>
      <c r="D124" s="121">
        <v>28.86</v>
      </c>
      <c r="E124" s="122">
        <v>34.630000000000003</v>
      </c>
      <c r="F124" s="148">
        <v>60</v>
      </c>
      <c r="G124" s="150">
        <v>45931</v>
      </c>
      <c r="H124" s="30"/>
      <c r="I12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103.9</v>
      </c>
      <c r="L124" t="s">
        <v>74</v>
      </c>
      <c r="M124" s="9">
        <v>236.48</v>
      </c>
      <c r="N124" s="9"/>
      <c r="O124" s="9"/>
      <c r="P124" s="9"/>
      <c r="Q124" s="9"/>
      <c r="R124" s="9"/>
      <c r="S124" s="9"/>
      <c r="T124" s="9"/>
      <c r="U124" s="9"/>
      <c r="V124" s="9"/>
      <c r="W124" s="9"/>
      <c r="AW124" t="s">
        <v>74</v>
      </c>
      <c r="AX124" s="9">
        <v>197.07</v>
      </c>
      <c r="AY124" s="9"/>
      <c r="AZ124" s="9"/>
      <c r="BA124" s="9"/>
      <c r="BB124" s="9"/>
      <c r="BC124" s="9"/>
      <c r="BD124" s="9"/>
      <c r="BE124" s="9"/>
      <c r="BF124" s="9"/>
      <c r="BG124" s="9"/>
      <c r="BH124" s="9"/>
    </row>
    <row r="125" spans="1:60" x14ac:dyDescent="0.3">
      <c r="A125" s="162" t="s">
        <v>258</v>
      </c>
      <c r="B125" s="148" t="s">
        <v>1</v>
      </c>
      <c r="C125" s="148">
        <v>1</v>
      </c>
      <c r="D125" s="121">
        <v>254.42</v>
      </c>
      <c r="E125" s="122">
        <v>305.3</v>
      </c>
      <c r="F125" s="148">
        <v>800</v>
      </c>
      <c r="G125" s="150">
        <v>45931</v>
      </c>
      <c r="H125" s="30"/>
      <c r="I12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305.3</v>
      </c>
      <c r="K125" t="s">
        <v>314</v>
      </c>
      <c r="L125" t="s">
        <v>2</v>
      </c>
      <c r="M125" s="9">
        <v>93.55</v>
      </c>
      <c r="N125" s="9"/>
      <c r="O125" s="9"/>
      <c r="P125" s="9"/>
      <c r="Q125" s="9"/>
      <c r="R125" s="9"/>
      <c r="S125" s="9"/>
      <c r="T125" s="9"/>
      <c r="U125" s="9"/>
      <c r="V125" s="9"/>
      <c r="W125" s="9"/>
      <c r="AV125" t="s">
        <v>314</v>
      </c>
      <c r="AW125" t="s">
        <v>2</v>
      </c>
      <c r="AX125" s="9">
        <v>77.959999999999994</v>
      </c>
      <c r="AY125" s="9"/>
      <c r="AZ125" s="9"/>
      <c r="BA125" s="9"/>
      <c r="BB125" s="9"/>
      <c r="BC125" s="9"/>
      <c r="BD125" s="9"/>
      <c r="BE125" s="9"/>
      <c r="BF125" s="9"/>
      <c r="BG125" s="9"/>
      <c r="BH125" s="9"/>
    </row>
    <row r="126" spans="1:60" x14ac:dyDescent="0.3">
      <c r="A126" s="162" t="s">
        <v>258</v>
      </c>
      <c r="B126" s="148" t="s">
        <v>1</v>
      </c>
      <c r="C126" s="148">
        <v>2</v>
      </c>
      <c r="D126" s="121">
        <v>212.4</v>
      </c>
      <c r="E126" s="122">
        <v>254.88</v>
      </c>
      <c r="F126" s="148">
        <v>800</v>
      </c>
      <c r="G126" s="150">
        <v>45931</v>
      </c>
      <c r="H126" s="30"/>
      <c r="I12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509.76</v>
      </c>
      <c r="L126" t="s">
        <v>1</v>
      </c>
      <c r="M126" s="9">
        <v>236.53</v>
      </c>
      <c r="N126" s="9"/>
      <c r="O126" s="9"/>
      <c r="P126" s="9"/>
      <c r="Q126" s="9"/>
      <c r="R126" s="9"/>
      <c r="S126" s="9"/>
      <c r="T126" s="9"/>
      <c r="U126" s="9"/>
      <c r="V126" s="9"/>
      <c r="W126" s="9"/>
      <c r="AW126" t="s">
        <v>1</v>
      </c>
      <c r="AX126" s="9">
        <v>197.11</v>
      </c>
      <c r="AY126" s="9"/>
      <c r="AZ126" s="9"/>
      <c r="BA126" s="9"/>
      <c r="BB126" s="9"/>
      <c r="BC126" s="9"/>
      <c r="BD126" s="9"/>
      <c r="BE126" s="9"/>
      <c r="BF126" s="9"/>
      <c r="BG126" s="9"/>
      <c r="BH126" s="9"/>
    </row>
    <row r="127" spans="1:60" x14ac:dyDescent="0.3">
      <c r="A127" s="162" t="s">
        <v>258</v>
      </c>
      <c r="B127" s="148" t="s">
        <v>1</v>
      </c>
      <c r="C127" s="148">
        <v>3</v>
      </c>
      <c r="D127" s="121">
        <v>166.21</v>
      </c>
      <c r="E127" s="122">
        <v>199.45</v>
      </c>
      <c r="F127" s="148">
        <v>800</v>
      </c>
      <c r="G127" s="150">
        <v>45931</v>
      </c>
      <c r="H127" s="30"/>
      <c r="I12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598.36</v>
      </c>
      <c r="L127" t="s">
        <v>3</v>
      </c>
      <c r="M127" s="9">
        <v>41.14</v>
      </c>
      <c r="N127" s="9"/>
      <c r="O127" s="9"/>
      <c r="P127" s="9"/>
      <c r="Q127" s="9"/>
      <c r="R127" s="9"/>
      <c r="S127" s="9"/>
      <c r="T127" s="9"/>
      <c r="U127" s="9"/>
      <c r="V127" s="9"/>
      <c r="W127" s="9"/>
      <c r="AW127" t="s">
        <v>3</v>
      </c>
      <c r="AX127" s="9">
        <v>34.28</v>
      </c>
      <c r="AY127" s="9"/>
      <c r="AZ127" s="9"/>
      <c r="BA127" s="9"/>
      <c r="BB127" s="9"/>
      <c r="BC127" s="9"/>
      <c r="BD127" s="9"/>
      <c r="BE127" s="9"/>
      <c r="BF127" s="9"/>
      <c r="BG127" s="9"/>
      <c r="BH127" s="9"/>
    </row>
    <row r="128" spans="1:60" x14ac:dyDescent="0.3">
      <c r="A128" s="162" t="s">
        <v>258</v>
      </c>
      <c r="B128" s="148" t="s">
        <v>1</v>
      </c>
      <c r="C128" s="148">
        <v>4</v>
      </c>
      <c r="D128" s="121">
        <v>144.44999999999999</v>
      </c>
      <c r="E128" s="122">
        <v>173.34</v>
      </c>
      <c r="F128" s="148">
        <v>800</v>
      </c>
      <c r="G128" s="150">
        <v>45931</v>
      </c>
      <c r="H128" s="30"/>
      <c r="I12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693.36</v>
      </c>
      <c r="L128" t="s">
        <v>74</v>
      </c>
      <c r="M128" s="9">
        <v>108.78</v>
      </c>
      <c r="N128" s="9"/>
      <c r="O128" s="9"/>
      <c r="P128" s="9"/>
      <c r="Q128" s="9"/>
      <c r="R128" s="9"/>
      <c r="S128" s="9"/>
      <c r="T128" s="9"/>
      <c r="U128" s="9"/>
      <c r="V128" s="9"/>
      <c r="W128" s="9"/>
      <c r="AW128" t="s">
        <v>74</v>
      </c>
      <c r="AX128" s="9">
        <v>90.65</v>
      </c>
      <c r="AY128" s="9"/>
      <c r="AZ128" s="9"/>
      <c r="BA128" s="9"/>
      <c r="BB128" s="9"/>
      <c r="BC128" s="9"/>
      <c r="BD128" s="9"/>
      <c r="BE128" s="9"/>
      <c r="BF128" s="9"/>
      <c r="BG128" s="9"/>
      <c r="BH128" s="9"/>
    </row>
    <row r="129" spans="1:60" x14ac:dyDescent="0.3">
      <c r="A129" s="162" t="s">
        <v>258</v>
      </c>
      <c r="B129" s="148" t="s">
        <v>1</v>
      </c>
      <c r="C129" s="148">
        <v>5</v>
      </c>
      <c r="D129" s="121">
        <v>125.08</v>
      </c>
      <c r="E129" s="122">
        <v>150.1</v>
      </c>
      <c r="F129" s="148">
        <v>800</v>
      </c>
      <c r="G129" s="150">
        <v>45931</v>
      </c>
      <c r="H129" s="30"/>
      <c r="I12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750.48</v>
      </c>
      <c r="K129" t="s">
        <v>315</v>
      </c>
      <c r="L129" t="s">
        <v>2</v>
      </c>
      <c r="M129" s="9">
        <v>203.7</v>
      </c>
      <c r="N129" s="9"/>
      <c r="O129" s="9"/>
      <c r="P129" s="9"/>
      <c r="Q129" s="9"/>
      <c r="R129" s="9"/>
      <c r="S129" s="9"/>
      <c r="T129" s="9"/>
      <c r="U129" s="9"/>
      <c r="V129" s="9"/>
      <c r="W129" s="9"/>
      <c r="AV129" t="s">
        <v>315</v>
      </c>
      <c r="AW129" t="s">
        <v>2</v>
      </c>
      <c r="AX129" s="9">
        <v>169.75</v>
      </c>
      <c r="AY129" s="9"/>
      <c r="AZ129" s="9"/>
      <c r="BA129" s="9"/>
      <c r="BB129" s="9"/>
      <c r="BC129" s="9"/>
      <c r="BD129" s="9"/>
      <c r="BE129" s="9"/>
      <c r="BF129" s="9"/>
      <c r="BG129" s="9"/>
      <c r="BH129" s="9"/>
    </row>
    <row r="130" spans="1:60" x14ac:dyDescent="0.3">
      <c r="A130" s="162" t="s">
        <v>258</v>
      </c>
      <c r="B130" s="148" t="s">
        <v>1</v>
      </c>
      <c r="C130" s="148">
        <v>6</v>
      </c>
      <c r="D130" s="121">
        <v>124.49</v>
      </c>
      <c r="E130" s="122">
        <v>149.38999999999999</v>
      </c>
      <c r="F130" s="148">
        <v>800</v>
      </c>
      <c r="G130" s="150">
        <v>45931</v>
      </c>
      <c r="H130" s="30"/>
      <c r="I13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896.33</v>
      </c>
      <c r="L130" t="s">
        <v>1</v>
      </c>
      <c r="M130" s="9">
        <v>476.42</v>
      </c>
      <c r="N130" s="9"/>
      <c r="O130" s="9"/>
      <c r="P130" s="9"/>
      <c r="Q130" s="9"/>
      <c r="R130" s="9"/>
      <c r="S130" s="9"/>
      <c r="T130" s="9"/>
      <c r="U130" s="9"/>
      <c r="V130" s="9"/>
      <c r="W130" s="9"/>
      <c r="AW130" t="s">
        <v>1</v>
      </c>
      <c r="AX130" s="9">
        <v>397.02</v>
      </c>
      <c r="AY130" s="9"/>
      <c r="AZ130" s="9"/>
      <c r="BA130" s="9"/>
      <c r="BB130" s="9"/>
      <c r="BC130" s="9"/>
      <c r="BD130" s="9"/>
      <c r="BE130" s="9"/>
      <c r="BF130" s="9"/>
      <c r="BG130" s="9"/>
      <c r="BH130" s="9"/>
    </row>
    <row r="131" spans="1:60" x14ac:dyDescent="0.3">
      <c r="A131" s="162" t="s">
        <v>258</v>
      </c>
      <c r="B131" s="148" t="s">
        <v>1</v>
      </c>
      <c r="C131" s="148">
        <v>7</v>
      </c>
      <c r="D131" s="121">
        <v>121.39</v>
      </c>
      <c r="E131" s="122">
        <v>145.66999999999999</v>
      </c>
      <c r="F131" s="148">
        <v>800</v>
      </c>
      <c r="G131" s="150">
        <v>45931</v>
      </c>
      <c r="H131" s="30"/>
      <c r="I13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1019.68</v>
      </c>
      <c r="L131" t="s">
        <v>3</v>
      </c>
      <c r="M131" s="9">
        <v>85</v>
      </c>
      <c r="N131" s="9"/>
      <c r="O131" s="9"/>
      <c r="P131" s="9"/>
      <c r="Q131" s="9"/>
      <c r="R131" s="9"/>
      <c r="S131" s="9"/>
      <c r="T131" s="9"/>
      <c r="U131" s="9"/>
      <c r="V131" s="9"/>
      <c r="W131" s="9"/>
      <c r="AW131" t="s">
        <v>3</v>
      </c>
      <c r="AX131" s="9">
        <v>70.83</v>
      </c>
      <c r="AY131" s="9"/>
      <c r="AZ131" s="9"/>
      <c r="BA131" s="9"/>
      <c r="BB131" s="9"/>
      <c r="BC131" s="9"/>
      <c r="BD131" s="9"/>
      <c r="BE131" s="9"/>
      <c r="BF131" s="9"/>
      <c r="BG131" s="9"/>
      <c r="BH131" s="9"/>
    </row>
    <row r="132" spans="1:60" x14ac:dyDescent="0.3">
      <c r="A132" s="162" t="s">
        <v>258</v>
      </c>
      <c r="B132" s="148" t="s">
        <v>1</v>
      </c>
      <c r="C132" s="148">
        <v>8</v>
      </c>
      <c r="D132" s="121">
        <v>118.33</v>
      </c>
      <c r="E132" s="122">
        <v>142</v>
      </c>
      <c r="F132" s="148">
        <v>800</v>
      </c>
      <c r="G132" s="150">
        <v>45931</v>
      </c>
      <c r="H132" s="30"/>
      <c r="I13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1135.97</v>
      </c>
      <c r="L132" t="s">
        <v>74</v>
      </c>
      <c r="M132" s="9">
        <v>236.48</v>
      </c>
      <c r="N132" s="9"/>
      <c r="O132" s="9"/>
      <c r="P132" s="9"/>
      <c r="Q132" s="9"/>
      <c r="R132" s="9"/>
      <c r="S132" s="9"/>
      <c r="T132" s="9"/>
      <c r="U132" s="9"/>
      <c r="V132" s="9"/>
      <c r="W132" s="9"/>
      <c r="AW132" t="s">
        <v>74</v>
      </c>
      <c r="AX132" s="9">
        <v>197.07</v>
      </c>
      <c r="AY132" s="9"/>
      <c r="AZ132" s="9"/>
      <c r="BA132" s="9"/>
      <c r="BB132" s="9"/>
      <c r="BC132" s="9"/>
      <c r="BD132" s="9"/>
      <c r="BE132" s="9"/>
      <c r="BF132" s="9"/>
      <c r="BG132" s="9"/>
      <c r="BH132" s="9"/>
    </row>
    <row r="133" spans="1:60" x14ac:dyDescent="0.3">
      <c r="A133" s="162" t="s">
        <v>258</v>
      </c>
      <c r="B133" s="148" t="s">
        <v>1</v>
      </c>
      <c r="C133" s="148">
        <v>9</v>
      </c>
      <c r="D133" s="121">
        <v>115.38</v>
      </c>
      <c r="E133" s="122">
        <v>138.46</v>
      </c>
      <c r="F133" s="148">
        <v>800</v>
      </c>
      <c r="G133" s="150">
        <v>45931</v>
      </c>
      <c r="H133" s="30"/>
      <c r="I13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1246.0999999999999</v>
      </c>
      <c r="K133" t="s">
        <v>316</v>
      </c>
      <c r="L133" t="s">
        <v>251</v>
      </c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>
        <v>15.35</v>
      </c>
      <c r="AV133" t="s">
        <v>316</v>
      </c>
      <c r="AW133" t="s">
        <v>251</v>
      </c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>
        <v>12.79</v>
      </c>
    </row>
    <row r="134" spans="1:60" x14ac:dyDescent="0.3">
      <c r="A134" s="162" t="s">
        <v>258</v>
      </c>
      <c r="B134" s="148" t="s">
        <v>1</v>
      </c>
      <c r="C134" s="148">
        <v>10</v>
      </c>
      <c r="D134" s="121">
        <v>112.5</v>
      </c>
      <c r="E134" s="122">
        <v>135</v>
      </c>
      <c r="F134" s="148">
        <v>800</v>
      </c>
      <c r="G134" s="150">
        <v>45931</v>
      </c>
      <c r="H134" s="30"/>
      <c r="I13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1350</v>
      </c>
      <c r="K134" t="s">
        <v>318</v>
      </c>
      <c r="L134" t="s">
        <v>251</v>
      </c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>
        <v>15.35</v>
      </c>
      <c r="AV134" t="s">
        <v>318</v>
      </c>
      <c r="AW134" t="s">
        <v>251</v>
      </c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>
        <v>12.79</v>
      </c>
    </row>
    <row r="135" spans="1:60" x14ac:dyDescent="0.3">
      <c r="A135" s="162" t="s">
        <v>258</v>
      </c>
      <c r="B135" s="148" t="s">
        <v>2</v>
      </c>
      <c r="C135" s="148">
        <v>1</v>
      </c>
      <c r="D135" s="121">
        <v>139.72</v>
      </c>
      <c r="E135" s="122">
        <v>167.66</v>
      </c>
      <c r="F135" s="148">
        <v>400</v>
      </c>
      <c r="G135" s="150">
        <v>45931</v>
      </c>
      <c r="H135" s="30"/>
      <c r="I13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167.66</v>
      </c>
      <c r="J135" s="8">
        <v>45901</v>
      </c>
      <c r="K135" t="s">
        <v>11</v>
      </c>
      <c r="L135" t="s">
        <v>16</v>
      </c>
      <c r="M135" s="9">
        <v>65.680000000000007</v>
      </c>
      <c r="N135" s="9">
        <v>60.28</v>
      </c>
      <c r="O135" s="9">
        <v>55.28</v>
      </c>
      <c r="P135" s="9">
        <v>50.8</v>
      </c>
      <c r="Q135" s="9">
        <v>46.6</v>
      </c>
      <c r="R135" s="9">
        <v>42.78</v>
      </c>
      <c r="S135" s="9">
        <v>38.520000000000003</v>
      </c>
      <c r="T135" s="9">
        <v>34.659999999999997</v>
      </c>
      <c r="U135" s="9">
        <v>31.19</v>
      </c>
      <c r="V135" s="9">
        <v>28.38</v>
      </c>
      <c r="W135" s="9"/>
      <c r="AU135" s="8">
        <v>45901</v>
      </c>
      <c r="AV135" t="s">
        <v>11</v>
      </c>
      <c r="AW135" t="s">
        <v>16</v>
      </c>
      <c r="AX135" s="9">
        <v>54.73</v>
      </c>
      <c r="AY135" s="9">
        <v>50.23</v>
      </c>
      <c r="AZ135" s="9">
        <v>46.07</v>
      </c>
      <c r="BA135" s="9">
        <v>42.33</v>
      </c>
      <c r="BB135" s="9">
        <v>38.83</v>
      </c>
      <c r="BC135" s="9">
        <v>35.65</v>
      </c>
      <c r="BD135" s="9">
        <v>32.1</v>
      </c>
      <c r="BE135" s="9">
        <v>28.88</v>
      </c>
      <c r="BF135" s="9">
        <v>25.99</v>
      </c>
      <c r="BG135" s="9">
        <v>23.65</v>
      </c>
      <c r="BH135" s="9"/>
    </row>
    <row r="136" spans="1:60" x14ac:dyDescent="0.3">
      <c r="A136" s="162" t="s">
        <v>258</v>
      </c>
      <c r="B136" s="148" t="s">
        <v>2</v>
      </c>
      <c r="C136" s="148">
        <v>2</v>
      </c>
      <c r="D136" s="121">
        <v>116.32</v>
      </c>
      <c r="E136" s="122">
        <v>139.58000000000001</v>
      </c>
      <c r="F136" s="148">
        <v>400</v>
      </c>
      <c r="G136" s="150">
        <v>45931</v>
      </c>
      <c r="H136" s="30"/>
      <c r="I13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279.17</v>
      </c>
      <c r="L136" t="s">
        <v>2</v>
      </c>
      <c r="M136" s="9">
        <v>539.79999999999995</v>
      </c>
      <c r="N136" s="9">
        <v>477.18</v>
      </c>
      <c r="O136" s="9">
        <v>421.75</v>
      </c>
      <c r="P136" s="9">
        <v>372.73</v>
      </c>
      <c r="Q136" s="9">
        <v>329.34</v>
      </c>
      <c r="R136" s="9">
        <v>290.99</v>
      </c>
      <c r="S136" s="9">
        <v>256.56</v>
      </c>
      <c r="T136" s="9">
        <v>228.97</v>
      </c>
      <c r="U136" s="9">
        <v>207.88</v>
      </c>
      <c r="V136" s="9">
        <v>193.68</v>
      </c>
      <c r="W136" s="9"/>
      <c r="AW136" t="s">
        <v>2</v>
      </c>
      <c r="AX136" s="9">
        <v>449.83</v>
      </c>
      <c r="AY136" s="9">
        <v>397.65</v>
      </c>
      <c r="AZ136" s="9">
        <v>351.46</v>
      </c>
      <c r="BA136" s="9">
        <v>310.61</v>
      </c>
      <c r="BB136" s="9">
        <v>274.45</v>
      </c>
      <c r="BC136" s="9">
        <v>242.49</v>
      </c>
      <c r="BD136" s="9">
        <v>213.8</v>
      </c>
      <c r="BE136" s="9">
        <v>190.81</v>
      </c>
      <c r="BF136" s="9">
        <v>173.23</v>
      </c>
      <c r="BG136" s="9">
        <v>161.4</v>
      </c>
      <c r="BH136" s="9"/>
    </row>
    <row r="137" spans="1:60" x14ac:dyDescent="0.3">
      <c r="A137" s="162" t="s">
        <v>258</v>
      </c>
      <c r="B137" s="148" t="s">
        <v>2</v>
      </c>
      <c r="C137" s="148">
        <v>3</v>
      </c>
      <c r="D137" s="121">
        <v>90.81</v>
      </c>
      <c r="E137" s="122">
        <v>108.97</v>
      </c>
      <c r="F137" s="148">
        <v>400</v>
      </c>
      <c r="G137" s="150">
        <v>45931</v>
      </c>
      <c r="H137" s="30"/>
      <c r="I13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326.92</v>
      </c>
      <c r="L137" t="s">
        <v>1</v>
      </c>
      <c r="M137" s="9">
        <v>877.01</v>
      </c>
      <c r="N137" s="9">
        <v>777.02</v>
      </c>
      <c r="O137" s="9">
        <v>688.44</v>
      </c>
      <c r="P137" s="9">
        <v>609.91</v>
      </c>
      <c r="Q137" s="9">
        <v>540.26</v>
      </c>
      <c r="R137" s="9">
        <v>478.43</v>
      </c>
      <c r="S137" s="9">
        <v>422.94</v>
      </c>
      <c r="T137" s="9">
        <v>378.4</v>
      </c>
      <c r="U137" s="9">
        <v>344.26</v>
      </c>
      <c r="V137" s="9">
        <v>321.55</v>
      </c>
      <c r="W137" s="9"/>
      <c r="AW137" t="s">
        <v>1</v>
      </c>
      <c r="AX137" s="9">
        <v>730.84</v>
      </c>
      <c r="AY137" s="9">
        <v>647.52</v>
      </c>
      <c r="AZ137" s="9">
        <v>573.70000000000005</v>
      </c>
      <c r="BA137" s="9">
        <v>508.26</v>
      </c>
      <c r="BB137" s="9">
        <v>450.22</v>
      </c>
      <c r="BC137" s="9">
        <v>398.69</v>
      </c>
      <c r="BD137" s="9">
        <v>352.45</v>
      </c>
      <c r="BE137" s="9">
        <v>315.33</v>
      </c>
      <c r="BF137" s="9">
        <v>286.88</v>
      </c>
      <c r="BG137" s="9">
        <v>267.95999999999998</v>
      </c>
      <c r="BH137" s="9"/>
    </row>
    <row r="138" spans="1:60" x14ac:dyDescent="0.3">
      <c r="A138" s="162" t="s">
        <v>258</v>
      </c>
      <c r="B138" s="148" t="s">
        <v>2</v>
      </c>
      <c r="C138" s="148">
        <v>4</v>
      </c>
      <c r="D138" s="121">
        <v>78.73</v>
      </c>
      <c r="E138" s="122">
        <v>94.48</v>
      </c>
      <c r="F138" s="148">
        <v>400</v>
      </c>
      <c r="G138" s="150">
        <v>45931</v>
      </c>
      <c r="H138" s="30"/>
      <c r="I13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377.9</v>
      </c>
      <c r="K138" t="s">
        <v>10</v>
      </c>
      <c r="L138" t="s">
        <v>2</v>
      </c>
      <c r="M138" s="9">
        <v>144.04</v>
      </c>
      <c r="N138" s="9">
        <v>119.89</v>
      </c>
      <c r="O138" s="9">
        <v>93.48</v>
      </c>
      <c r="P138" s="9">
        <v>81</v>
      </c>
      <c r="Q138" s="9">
        <v>69.91</v>
      </c>
      <c r="R138" s="9"/>
      <c r="S138" s="9"/>
      <c r="T138" s="9"/>
      <c r="U138" s="9"/>
      <c r="V138" s="9"/>
      <c r="W138" s="9"/>
      <c r="AV138" t="s">
        <v>10</v>
      </c>
      <c r="AW138" t="s">
        <v>2</v>
      </c>
      <c r="AX138" s="9">
        <v>120.03</v>
      </c>
      <c r="AY138" s="9">
        <v>99.91</v>
      </c>
      <c r="AZ138" s="9">
        <v>77.900000000000006</v>
      </c>
      <c r="BA138" s="9">
        <v>67.5</v>
      </c>
      <c r="BB138" s="9">
        <v>58.26</v>
      </c>
      <c r="BC138" s="9"/>
      <c r="BD138" s="9"/>
      <c r="BE138" s="9"/>
      <c r="BF138" s="9"/>
      <c r="BG138" s="9"/>
      <c r="BH138" s="9"/>
    </row>
    <row r="139" spans="1:60" x14ac:dyDescent="0.3">
      <c r="A139" s="162" t="s">
        <v>258</v>
      </c>
      <c r="B139" s="148" t="s">
        <v>2</v>
      </c>
      <c r="C139" s="148">
        <v>5</v>
      </c>
      <c r="D139" s="121">
        <v>67.989999999999995</v>
      </c>
      <c r="E139" s="122">
        <v>81.59</v>
      </c>
      <c r="F139" s="148">
        <v>400</v>
      </c>
      <c r="G139" s="150">
        <v>45931</v>
      </c>
      <c r="H139" s="30"/>
      <c r="I13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407.94</v>
      </c>
      <c r="L139" t="s">
        <v>1</v>
      </c>
      <c r="M139" s="9">
        <v>243</v>
      </c>
      <c r="N139" s="9">
        <v>202.61</v>
      </c>
      <c r="O139" s="9">
        <v>158.41999999999999</v>
      </c>
      <c r="P139" s="9">
        <v>137.58000000000001</v>
      </c>
      <c r="Q139" s="9">
        <v>119.04</v>
      </c>
      <c r="R139" s="9"/>
      <c r="S139" s="9"/>
      <c r="T139" s="9"/>
      <c r="U139" s="9"/>
      <c r="V139" s="9"/>
      <c r="W139" s="9"/>
      <c r="AW139" t="s">
        <v>1</v>
      </c>
      <c r="AX139" s="9">
        <v>202.5</v>
      </c>
      <c r="AY139" s="9">
        <v>168.84</v>
      </c>
      <c r="AZ139" s="9">
        <v>132.02000000000001</v>
      </c>
      <c r="BA139" s="9">
        <v>114.65</v>
      </c>
      <c r="BB139" s="9">
        <v>99.2</v>
      </c>
      <c r="BC139" s="9"/>
      <c r="BD139" s="9"/>
      <c r="BE139" s="9"/>
      <c r="BF139" s="9"/>
      <c r="BG139" s="9"/>
      <c r="BH139" s="9"/>
    </row>
    <row r="140" spans="1:60" x14ac:dyDescent="0.3">
      <c r="A140" s="162" t="s">
        <v>258</v>
      </c>
      <c r="B140" s="148" t="s">
        <v>2</v>
      </c>
      <c r="C140" s="148">
        <v>6</v>
      </c>
      <c r="D140" s="121">
        <v>67.680000000000007</v>
      </c>
      <c r="E140" s="122">
        <v>81.22</v>
      </c>
      <c r="F140" s="148">
        <v>400</v>
      </c>
      <c r="G140" s="150">
        <v>45931</v>
      </c>
      <c r="H140" s="30"/>
      <c r="I14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487.3</v>
      </c>
      <c r="L140" t="s">
        <v>3</v>
      </c>
      <c r="M140" s="9">
        <v>37.54</v>
      </c>
      <c r="N140" s="9">
        <v>34.5</v>
      </c>
      <c r="O140" s="9">
        <v>34.270000000000003</v>
      </c>
      <c r="P140" s="9"/>
      <c r="Q140" s="9"/>
      <c r="R140" s="9"/>
      <c r="S140" s="9"/>
      <c r="T140" s="9"/>
      <c r="U140" s="9"/>
      <c r="V140" s="9"/>
      <c r="W140" s="9"/>
      <c r="AW140" t="s">
        <v>3</v>
      </c>
      <c r="AX140" s="9">
        <v>31.28</v>
      </c>
      <c r="AY140" s="9">
        <v>28.75</v>
      </c>
      <c r="AZ140" s="9">
        <v>28.56</v>
      </c>
      <c r="BA140" s="9"/>
      <c r="BB140" s="9"/>
      <c r="BC140" s="9"/>
      <c r="BD140" s="9"/>
      <c r="BE140" s="9"/>
      <c r="BF140" s="9"/>
      <c r="BG140" s="9"/>
      <c r="BH140" s="9"/>
    </row>
    <row r="141" spans="1:60" x14ac:dyDescent="0.3">
      <c r="A141" s="162" t="s">
        <v>258</v>
      </c>
      <c r="B141" s="148" t="s">
        <v>2</v>
      </c>
      <c r="C141" s="148">
        <v>7</v>
      </c>
      <c r="D141" s="121">
        <v>65.989999999999995</v>
      </c>
      <c r="E141" s="122">
        <v>79.19</v>
      </c>
      <c r="F141" s="148">
        <v>400</v>
      </c>
      <c r="G141" s="150">
        <v>45931</v>
      </c>
      <c r="H141" s="30"/>
      <c r="I14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554.32000000000005</v>
      </c>
      <c r="K141" t="s">
        <v>4</v>
      </c>
      <c r="L141" t="s">
        <v>16</v>
      </c>
      <c r="M141" s="9">
        <v>43.39</v>
      </c>
      <c r="N141" s="9">
        <v>39.85</v>
      </c>
      <c r="O141" s="9">
        <v>39.619999999999997</v>
      </c>
      <c r="P141" s="9">
        <v>39.44</v>
      </c>
      <c r="Q141" s="9">
        <v>39.18</v>
      </c>
      <c r="R141" s="9"/>
      <c r="S141" s="9"/>
      <c r="T141" s="9"/>
      <c r="U141" s="9"/>
      <c r="V141" s="9"/>
      <c r="W141" s="9"/>
      <c r="AV141" t="s">
        <v>4</v>
      </c>
      <c r="AW141" t="s">
        <v>16</v>
      </c>
      <c r="AX141" s="9">
        <v>36.159999999999997</v>
      </c>
      <c r="AY141" s="9">
        <v>33.21</v>
      </c>
      <c r="AZ141" s="9">
        <v>33.020000000000003</v>
      </c>
      <c r="BA141" s="9">
        <v>32.869999999999997</v>
      </c>
      <c r="BB141" s="9">
        <v>32.65</v>
      </c>
      <c r="BC141" s="9"/>
      <c r="BD141" s="9"/>
      <c r="BE141" s="9"/>
      <c r="BF141" s="9"/>
      <c r="BG141" s="9"/>
      <c r="BH141" s="9"/>
    </row>
    <row r="142" spans="1:60" x14ac:dyDescent="0.3">
      <c r="A142" s="162" t="s">
        <v>258</v>
      </c>
      <c r="B142" s="148" t="s">
        <v>2</v>
      </c>
      <c r="C142" s="148">
        <v>8</v>
      </c>
      <c r="D142" s="121">
        <v>64.349999999999994</v>
      </c>
      <c r="E142" s="122">
        <v>77.22</v>
      </c>
      <c r="F142" s="148">
        <v>400</v>
      </c>
      <c r="G142" s="150">
        <v>45931</v>
      </c>
      <c r="H142" s="30"/>
      <c r="I14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617.76</v>
      </c>
      <c r="L142" t="s">
        <v>2</v>
      </c>
      <c r="M142" s="9">
        <v>165.43</v>
      </c>
      <c r="N142" s="9">
        <v>137.59</v>
      </c>
      <c r="O142" s="9">
        <v>107.3</v>
      </c>
      <c r="P142" s="9">
        <v>92.94</v>
      </c>
      <c r="Q142" s="9">
        <v>80.180000000000007</v>
      </c>
      <c r="R142" s="9">
        <v>79.739999999999995</v>
      </c>
      <c r="S142" s="9">
        <v>77.75</v>
      </c>
      <c r="T142" s="9">
        <v>75.819999999999993</v>
      </c>
      <c r="U142" s="9">
        <v>73.91</v>
      </c>
      <c r="V142" s="9">
        <v>72.08</v>
      </c>
      <c r="W142" s="9"/>
      <c r="AW142" t="s">
        <v>2</v>
      </c>
      <c r="AX142" s="9">
        <v>137.86000000000001</v>
      </c>
      <c r="AY142" s="9">
        <v>114.66</v>
      </c>
      <c r="AZ142" s="9">
        <v>89.42</v>
      </c>
      <c r="BA142" s="9">
        <v>77.45</v>
      </c>
      <c r="BB142" s="9">
        <v>66.819999999999993</v>
      </c>
      <c r="BC142" s="9">
        <v>66.45</v>
      </c>
      <c r="BD142" s="9">
        <v>64.790000000000006</v>
      </c>
      <c r="BE142" s="9">
        <v>63.18</v>
      </c>
      <c r="BF142" s="9">
        <v>61.59</v>
      </c>
      <c r="BG142" s="9">
        <v>60.07</v>
      </c>
      <c r="BH142" s="9"/>
    </row>
    <row r="143" spans="1:60" x14ac:dyDescent="0.3">
      <c r="A143" s="162" t="s">
        <v>258</v>
      </c>
      <c r="B143" s="148" t="s">
        <v>2</v>
      </c>
      <c r="C143" s="148">
        <v>9</v>
      </c>
      <c r="D143" s="121">
        <v>62.73</v>
      </c>
      <c r="E143" s="122">
        <v>75.28</v>
      </c>
      <c r="F143" s="148">
        <v>400</v>
      </c>
      <c r="G143" s="150">
        <v>45931</v>
      </c>
      <c r="H143" s="30"/>
      <c r="I14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677.48</v>
      </c>
      <c r="L143" t="s">
        <v>1</v>
      </c>
      <c r="M143" s="9">
        <v>300.05</v>
      </c>
      <c r="N143" s="9">
        <v>250.25</v>
      </c>
      <c r="O143" s="9">
        <v>195.64</v>
      </c>
      <c r="P143" s="9">
        <v>169.86</v>
      </c>
      <c r="Q143" s="9">
        <v>146.94</v>
      </c>
      <c r="R143" s="9">
        <v>146.1</v>
      </c>
      <c r="S143" s="9">
        <v>142.46</v>
      </c>
      <c r="T143" s="9">
        <v>138.88</v>
      </c>
      <c r="U143" s="9">
        <v>135.41</v>
      </c>
      <c r="V143" s="9">
        <v>132.02000000000001</v>
      </c>
      <c r="W143" s="9"/>
      <c r="AW143" t="s">
        <v>1</v>
      </c>
      <c r="AX143" s="9">
        <v>250.04</v>
      </c>
      <c r="AY143" s="9">
        <v>208.54</v>
      </c>
      <c r="AZ143" s="9">
        <v>163.03</v>
      </c>
      <c r="BA143" s="9">
        <v>141.55000000000001</v>
      </c>
      <c r="BB143" s="9">
        <v>122.45</v>
      </c>
      <c r="BC143" s="9">
        <v>121.75</v>
      </c>
      <c r="BD143" s="9">
        <v>118.72</v>
      </c>
      <c r="BE143" s="9">
        <v>115.73</v>
      </c>
      <c r="BF143" s="9">
        <v>112.84</v>
      </c>
      <c r="BG143" s="9">
        <v>110.02</v>
      </c>
      <c r="BH143" s="9"/>
    </row>
    <row r="144" spans="1:60" x14ac:dyDescent="0.3">
      <c r="A144" s="162" t="s">
        <v>258</v>
      </c>
      <c r="B144" s="148" t="s">
        <v>2</v>
      </c>
      <c r="C144" s="148">
        <v>10</v>
      </c>
      <c r="D144" s="121">
        <v>61.18</v>
      </c>
      <c r="E144" s="122">
        <v>73.42</v>
      </c>
      <c r="F144" s="148">
        <v>400</v>
      </c>
      <c r="G144" s="150">
        <v>45931</v>
      </c>
      <c r="H144" s="30"/>
      <c r="I14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734.16</v>
      </c>
      <c r="K144" t="s">
        <v>9</v>
      </c>
      <c r="L144" t="s">
        <v>16</v>
      </c>
      <c r="M144" s="9">
        <v>56.41</v>
      </c>
      <c r="N144" s="9">
        <v>51.79</v>
      </c>
      <c r="O144" s="9">
        <v>47.57</v>
      </c>
      <c r="P144" s="9">
        <v>43.6</v>
      </c>
      <c r="Q144" s="9">
        <v>40.020000000000003</v>
      </c>
      <c r="R144" s="9">
        <v>36.76</v>
      </c>
      <c r="S144" s="9">
        <v>33.07</v>
      </c>
      <c r="T144" s="9">
        <v>29.74</v>
      </c>
      <c r="U144" s="9">
        <v>26.81</v>
      </c>
      <c r="V144" s="9">
        <v>24.42</v>
      </c>
      <c r="W144" s="9"/>
      <c r="AV144" t="s">
        <v>9</v>
      </c>
      <c r="AW144" t="s">
        <v>16</v>
      </c>
      <c r="AX144" s="9">
        <v>47.01</v>
      </c>
      <c r="AY144" s="9">
        <v>43.16</v>
      </c>
      <c r="AZ144" s="9">
        <v>39.64</v>
      </c>
      <c r="BA144" s="9">
        <v>36.33</v>
      </c>
      <c r="BB144" s="9">
        <v>33.35</v>
      </c>
      <c r="BC144" s="9">
        <v>30.63</v>
      </c>
      <c r="BD144" s="9">
        <v>27.56</v>
      </c>
      <c r="BE144" s="9">
        <v>24.78</v>
      </c>
      <c r="BF144" s="9">
        <v>22.34</v>
      </c>
      <c r="BG144" s="9">
        <v>20.350000000000001</v>
      </c>
      <c r="BH144" s="9"/>
    </row>
    <row r="145" spans="1:60" x14ac:dyDescent="0.3">
      <c r="A145" s="162" t="s">
        <v>258</v>
      </c>
      <c r="B145" s="148" t="s">
        <v>16</v>
      </c>
      <c r="C145" s="148">
        <v>1</v>
      </c>
      <c r="D145" s="121">
        <v>36.5</v>
      </c>
      <c r="E145" s="122">
        <v>43.8</v>
      </c>
      <c r="F145" s="148">
        <v>60</v>
      </c>
      <c r="G145" s="150">
        <v>45931</v>
      </c>
      <c r="H145" s="30"/>
      <c r="I14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43.8</v>
      </c>
      <c r="L145" t="s">
        <v>2</v>
      </c>
      <c r="M145" s="9">
        <v>327.32</v>
      </c>
      <c r="N145" s="9">
        <v>272.27</v>
      </c>
      <c r="O145" s="9">
        <v>212.36</v>
      </c>
      <c r="P145" s="9">
        <v>184.06</v>
      </c>
      <c r="Q145" s="9">
        <v>158.82</v>
      </c>
      <c r="R145" s="9">
        <v>140.30000000000001</v>
      </c>
      <c r="S145" s="9">
        <v>123.64</v>
      </c>
      <c r="T145" s="9">
        <v>110.38</v>
      </c>
      <c r="U145" s="9">
        <v>100.21</v>
      </c>
      <c r="V145" s="9">
        <v>93.36</v>
      </c>
      <c r="W145" s="9"/>
      <c r="AW145" t="s">
        <v>2</v>
      </c>
      <c r="AX145" s="9">
        <v>272.77</v>
      </c>
      <c r="AY145" s="9">
        <v>226.89</v>
      </c>
      <c r="AZ145" s="9">
        <v>176.97</v>
      </c>
      <c r="BA145" s="9">
        <v>153.38</v>
      </c>
      <c r="BB145" s="9">
        <v>132.35</v>
      </c>
      <c r="BC145" s="9">
        <v>116.92</v>
      </c>
      <c r="BD145" s="9">
        <v>103.03</v>
      </c>
      <c r="BE145" s="9">
        <v>91.98</v>
      </c>
      <c r="BF145" s="9">
        <v>83.51</v>
      </c>
      <c r="BG145" s="9">
        <v>77.8</v>
      </c>
      <c r="BH145" s="9"/>
    </row>
    <row r="146" spans="1:60" x14ac:dyDescent="0.3">
      <c r="A146" s="162" t="s">
        <v>258</v>
      </c>
      <c r="B146" s="148" t="s">
        <v>16</v>
      </c>
      <c r="C146" s="148">
        <v>2</v>
      </c>
      <c r="D146" s="121">
        <v>33.56</v>
      </c>
      <c r="E146" s="122">
        <v>40.270000000000003</v>
      </c>
      <c r="F146" s="148">
        <v>60</v>
      </c>
      <c r="G146" s="150">
        <v>45931</v>
      </c>
      <c r="H146" s="30"/>
      <c r="I14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80.540000000000006</v>
      </c>
      <c r="L146" t="s">
        <v>1</v>
      </c>
      <c r="M146" s="9">
        <v>693.05</v>
      </c>
      <c r="N146" s="9">
        <v>578.03</v>
      </c>
      <c r="O146" s="9">
        <v>451.8</v>
      </c>
      <c r="P146" s="9">
        <v>392.47</v>
      </c>
      <c r="Q146" s="9">
        <v>339.42</v>
      </c>
      <c r="R146" s="9">
        <v>300.67</v>
      </c>
      <c r="S146" s="9">
        <v>265.67</v>
      </c>
      <c r="T146" s="9">
        <v>237.66</v>
      </c>
      <c r="U146" s="9">
        <v>216.4</v>
      </c>
      <c r="V146" s="9">
        <v>202.18</v>
      </c>
      <c r="W146" s="9"/>
      <c r="AW146" t="s">
        <v>1</v>
      </c>
      <c r="AX146" s="9">
        <v>577.54</v>
      </c>
      <c r="AY146" s="9">
        <v>481.69</v>
      </c>
      <c r="AZ146" s="9">
        <v>376.5</v>
      </c>
      <c r="BA146" s="9">
        <v>327.06</v>
      </c>
      <c r="BB146" s="9">
        <v>282.85000000000002</v>
      </c>
      <c r="BC146" s="9">
        <v>250.56</v>
      </c>
      <c r="BD146" s="9">
        <v>221.39</v>
      </c>
      <c r="BE146" s="9">
        <v>198.05</v>
      </c>
      <c r="BF146" s="9">
        <v>180.33</v>
      </c>
      <c r="BG146" s="9">
        <v>168.48</v>
      </c>
      <c r="BH146" s="9"/>
    </row>
    <row r="147" spans="1:60" x14ac:dyDescent="0.3">
      <c r="A147" s="162" t="s">
        <v>258</v>
      </c>
      <c r="B147" s="148" t="s">
        <v>16</v>
      </c>
      <c r="C147" s="148">
        <v>3</v>
      </c>
      <c r="D147" s="121">
        <v>33.4</v>
      </c>
      <c r="E147" s="122">
        <v>40.08</v>
      </c>
      <c r="F147" s="148">
        <v>60</v>
      </c>
      <c r="G147" s="150">
        <v>45931</v>
      </c>
      <c r="H147" s="30"/>
      <c r="I14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120.24</v>
      </c>
      <c r="K147" t="s">
        <v>50</v>
      </c>
      <c r="L147" t="s">
        <v>16</v>
      </c>
      <c r="M147" s="9">
        <v>100.76</v>
      </c>
      <c r="N147" s="9"/>
      <c r="O147" s="9"/>
      <c r="P147" s="9"/>
      <c r="Q147" s="9"/>
      <c r="R147" s="9"/>
      <c r="S147" s="9"/>
      <c r="T147" s="9"/>
      <c r="U147" s="9"/>
      <c r="V147" s="9"/>
      <c r="W147" s="9"/>
      <c r="AV147" t="s">
        <v>50</v>
      </c>
      <c r="AW147" t="s">
        <v>16</v>
      </c>
      <c r="AX147" s="9">
        <v>83.97</v>
      </c>
      <c r="AY147" s="9"/>
      <c r="AZ147" s="9"/>
      <c r="BA147" s="9"/>
      <c r="BB147" s="9"/>
      <c r="BC147" s="9"/>
      <c r="BD147" s="9"/>
      <c r="BE147" s="9"/>
      <c r="BF147" s="9"/>
      <c r="BG147" s="9"/>
      <c r="BH147" s="9"/>
    </row>
    <row r="148" spans="1:60" x14ac:dyDescent="0.3">
      <c r="A148" s="162" t="s">
        <v>258</v>
      </c>
      <c r="B148" s="148" t="s">
        <v>16</v>
      </c>
      <c r="C148" s="148">
        <v>4</v>
      </c>
      <c r="D148" s="121">
        <v>33.28</v>
      </c>
      <c r="E148" s="122">
        <v>39.94</v>
      </c>
      <c r="F148" s="148">
        <v>60</v>
      </c>
      <c r="G148" s="150">
        <v>45931</v>
      </c>
      <c r="H148" s="30"/>
      <c r="I14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159.74</v>
      </c>
      <c r="L148" t="s">
        <v>2</v>
      </c>
      <c r="M148" s="9">
        <v>240.49</v>
      </c>
      <c r="N148" s="9"/>
      <c r="O148" s="9"/>
      <c r="P148" s="9"/>
      <c r="Q148" s="9"/>
      <c r="R148" s="9"/>
      <c r="S148" s="9"/>
      <c r="T148" s="9"/>
      <c r="U148" s="9"/>
      <c r="V148" s="9"/>
      <c r="W148" s="9"/>
      <c r="AW148" t="s">
        <v>2</v>
      </c>
      <c r="AX148" s="9">
        <v>200.41</v>
      </c>
      <c r="AY148" s="9"/>
      <c r="AZ148" s="9"/>
      <c r="BA148" s="9"/>
      <c r="BB148" s="9"/>
      <c r="BC148" s="9"/>
      <c r="BD148" s="9"/>
      <c r="BE148" s="9"/>
      <c r="BF148" s="9"/>
      <c r="BG148" s="9"/>
      <c r="BH148" s="9"/>
    </row>
    <row r="149" spans="1:60" x14ac:dyDescent="0.3">
      <c r="A149" s="162" t="s">
        <v>258</v>
      </c>
      <c r="B149" s="148" t="s">
        <v>16</v>
      </c>
      <c r="C149" s="148">
        <v>5</v>
      </c>
      <c r="D149" s="121">
        <v>33.090000000000003</v>
      </c>
      <c r="E149" s="122">
        <v>39.71</v>
      </c>
      <c r="F149" s="148">
        <v>60</v>
      </c>
      <c r="G149" s="150">
        <v>45931</v>
      </c>
      <c r="H149" s="30"/>
      <c r="I14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198.54</v>
      </c>
      <c r="L149" t="s">
        <v>1</v>
      </c>
      <c r="M149" s="9">
        <v>611.14</v>
      </c>
      <c r="N149" s="9"/>
      <c r="O149" s="9"/>
      <c r="P149" s="9"/>
      <c r="Q149" s="9"/>
      <c r="R149" s="9"/>
      <c r="S149" s="9"/>
      <c r="T149" s="9"/>
      <c r="U149" s="9"/>
      <c r="V149" s="9"/>
      <c r="W149" s="9"/>
      <c r="AW149" t="s">
        <v>1</v>
      </c>
      <c r="AX149" s="9">
        <v>509.28</v>
      </c>
      <c r="AY149" s="9"/>
      <c r="AZ149" s="9"/>
      <c r="BA149" s="9"/>
      <c r="BB149" s="9"/>
      <c r="BC149" s="9"/>
      <c r="BD149" s="9"/>
      <c r="BE149" s="9"/>
      <c r="BF149" s="9"/>
      <c r="BG149" s="9"/>
      <c r="BH149" s="9"/>
    </row>
    <row r="150" spans="1:60" x14ac:dyDescent="0.3">
      <c r="A150" s="162" t="s">
        <v>259</v>
      </c>
      <c r="B150" s="148" t="s">
        <v>1</v>
      </c>
      <c r="C150" s="148">
        <v>1</v>
      </c>
      <c r="D150" s="121">
        <v>591.11</v>
      </c>
      <c r="E150" s="122">
        <v>709.33</v>
      </c>
      <c r="F150" s="148">
        <v>800</v>
      </c>
      <c r="G150" s="150">
        <v>45931</v>
      </c>
      <c r="H150" s="30"/>
      <c r="I15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709.33</v>
      </c>
      <c r="K150" t="s">
        <v>51</v>
      </c>
      <c r="L150" t="s">
        <v>16</v>
      </c>
      <c r="M150" s="9">
        <v>180.14</v>
      </c>
      <c r="N150" s="9"/>
      <c r="O150" s="9"/>
      <c r="P150" s="9"/>
      <c r="Q150" s="9"/>
      <c r="R150" s="9"/>
      <c r="S150" s="9"/>
      <c r="T150" s="9"/>
      <c r="U150" s="9"/>
      <c r="V150" s="9"/>
      <c r="W150" s="9"/>
      <c r="AV150" t="s">
        <v>51</v>
      </c>
      <c r="AW150" t="s">
        <v>16</v>
      </c>
      <c r="AX150" s="9">
        <v>150.12</v>
      </c>
      <c r="AY150" s="9"/>
      <c r="AZ150" s="9"/>
      <c r="BA150" s="9"/>
      <c r="BB150" s="9"/>
      <c r="BC150" s="9"/>
      <c r="BD150" s="9"/>
      <c r="BE150" s="9"/>
      <c r="BF150" s="9"/>
      <c r="BG150" s="9"/>
      <c r="BH150" s="9"/>
    </row>
    <row r="151" spans="1:60" x14ac:dyDescent="0.3">
      <c r="A151" s="162" t="s">
        <v>259</v>
      </c>
      <c r="B151" s="148" t="s">
        <v>1</v>
      </c>
      <c r="C151" s="148">
        <v>2</v>
      </c>
      <c r="D151" s="121">
        <v>493.49</v>
      </c>
      <c r="E151" s="122">
        <v>592.19000000000005</v>
      </c>
      <c r="F151" s="148">
        <v>800</v>
      </c>
      <c r="G151" s="150">
        <v>45931</v>
      </c>
      <c r="H151" s="30"/>
      <c r="I15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1184.3800000000001</v>
      </c>
      <c r="L151" t="s">
        <v>2</v>
      </c>
      <c r="M151" s="9">
        <v>430.34</v>
      </c>
      <c r="N151" s="9"/>
      <c r="O151" s="9"/>
      <c r="P151" s="9"/>
      <c r="Q151" s="9"/>
      <c r="R151" s="9"/>
      <c r="S151" s="9"/>
      <c r="T151" s="9"/>
      <c r="U151" s="9"/>
      <c r="V151" s="9"/>
      <c r="W151" s="9"/>
      <c r="AW151" t="s">
        <v>2</v>
      </c>
      <c r="AX151" s="9">
        <v>358.62</v>
      </c>
      <c r="AY151" s="9"/>
      <c r="AZ151" s="9"/>
      <c r="BA151" s="9"/>
      <c r="BB151" s="9"/>
      <c r="BC151" s="9"/>
      <c r="BD151" s="9"/>
      <c r="BE151" s="9"/>
      <c r="BF151" s="9"/>
      <c r="BG151" s="9"/>
      <c r="BH151" s="9"/>
    </row>
    <row r="152" spans="1:60" x14ac:dyDescent="0.3">
      <c r="A152" s="162" t="s">
        <v>259</v>
      </c>
      <c r="B152" s="148" t="s">
        <v>1</v>
      </c>
      <c r="C152" s="148">
        <v>3</v>
      </c>
      <c r="D152" s="121">
        <v>386.1</v>
      </c>
      <c r="E152" s="122">
        <v>463.32</v>
      </c>
      <c r="F152" s="148">
        <v>800</v>
      </c>
      <c r="G152" s="150">
        <v>45931</v>
      </c>
      <c r="H152" s="30"/>
      <c r="I15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1389.96</v>
      </c>
      <c r="L152" t="s">
        <v>1</v>
      </c>
      <c r="M152" s="9">
        <v>1120.7</v>
      </c>
      <c r="N152" s="9"/>
      <c r="O152" s="9"/>
      <c r="P152" s="9"/>
      <c r="Q152" s="9"/>
      <c r="R152" s="9"/>
      <c r="S152" s="9"/>
      <c r="T152" s="9"/>
      <c r="U152" s="9"/>
      <c r="V152" s="9"/>
      <c r="W152" s="9"/>
      <c r="AW152" t="s">
        <v>1</v>
      </c>
      <c r="AX152" s="9">
        <v>933.92</v>
      </c>
      <c r="AY152" s="9"/>
      <c r="AZ152" s="9"/>
      <c r="BA152" s="9"/>
      <c r="BB152" s="9"/>
      <c r="BC152" s="9"/>
      <c r="BD152" s="9"/>
      <c r="BE152" s="9"/>
      <c r="BF152" s="9"/>
      <c r="BG152" s="9"/>
      <c r="BH152" s="9"/>
    </row>
    <row r="153" spans="1:60" x14ac:dyDescent="0.3">
      <c r="A153" s="162" t="s">
        <v>259</v>
      </c>
      <c r="B153" s="148" t="s">
        <v>1</v>
      </c>
      <c r="C153" s="148">
        <v>4</v>
      </c>
      <c r="D153" s="121">
        <v>335.73</v>
      </c>
      <c r="E153" s="122">
        <v>402.88</v>
      </c>
      <c r="F153" s="148">
        <v>800</v>
      </c>
      <c r="G153" s="150">
        <v>45931</v>
      </c>
      <c r="H153" s="30"/>
      <c r="I15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1611.5</v>
      </c>
      <c r="K153" t="s">
        <v>49</v>
      </c>
      <c r="L153" t="s">
        <v>1</v>
      </c>
      <c r="M153" s="9">
        <v>480.24</v>
      </c>
      <c r="N153" s="9"/>
      <c r="O153" s="9"/>
      <c r="P153" s="9"/>
      <c r="Q153" s="9"/>
      <c r="R153" s="9"/>
      <c r="S153" s="9"/>
      <c r="T153" s="9"/>
      <c r="U153" s="9"/>
      <c r="V153" s="9"/>
      <c r="W153" s="9"/>
      <c r="AV153" t="s">
        <v>49</v>
      </c>
      <c r="AW153" t="s">
        <v>1</v>
      </c>
      <c r="AX153" s="9">
        <v>400.2</v>
      </c>
      <c r="AY153" s="9"/>
      <c r="AZ153" s="9"/>
      <c r="BA153" s="9"/>
      <c r="BB153" s="9"/>
      <c r="BC153" s="9"/>
      <c r="BD153" s="9"/>
      <c r="BE153" s="9"/>
      <c r="BF153" s="9"/>
      <c r="BG153" s="9"/>
      <c r="BH153" s="9"/>
    </row>
    <row r="154" spans="1:60" x14ac:dyDescent="0.3">
      <c r="A154" s="162" t="s">
        <v>259</v>
      </c>
      <c r="B154" s="148" t="s">
        <v>1</v>
      </c>
      <c r="C154" s="148">
        <v>5</v>
      </c>
      <c r="D154" s="121">
        <v>290.63</v>
      </c>
      <c r="E154" s="122">
        <v>348.76</v>
      </c>
      <c r="F154" s="148">
        <v>800</v>
      </c>
      <c r="G154" s="150">
        <v>45931</v>
      </c>
      <c r="H154" s="30"/>
      <c r="I15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1743.78</v>
      </c>
      <c r="K154" t="s">
        <v>73</v>
      </c>
      <c r="L154" t="s">
        <v>16</v>
      </c>
      <c r="M154" s="9">
        <v>382.57</v>
      </c>
      <c r="N154" s="9"/>
      <c r="O154" s="9"/>
      <c r="P154" s="9"/>
      <c r="Q154" s="9"/>
      <c r="R154" s="9"/>
      <c r="S154" s="9"/>
      <c r="T154" s="9"/>
      <c r="U154" s="9"/>
      <c r="V154" s="9"/>
      <c r="W154" s="9"/>
      <c r="AV154" t="s">
        <v>73</v>
      </c>
      <c r="AW154" t="s">
        <v>16</v>
      </c>
      <c r="AX154" s="9">
        <v>318.81</v>
      </c>
      <c r="AY154" s="9"/>
      <c r="AZ154" s="9"/>
      <c r="BA154" s="9"/>
      <c r="BB154" s="9"/>
      <c r="BC154" s="9"/>
      <c r="BD154" s="9"/>
      <c r="BE154" s="9"/>
      <c r="BF154" s="9"/>
      <c r="BG154" s="9"/>
      <c r="BH154" s="9"/>
    </row>
    <row r="155" spans="1:60" x14ac:dyDescent="0.3">
      <c r="A155" s="162" t="s">
        <v>259</v>
      </c>
      <c r="B155" s="148" t="s">
        <v>1</v>
      </c>
      <c r="C155" s="148">
        <v>6</v>
      </c>
      <c r="D155" s="121">
        <v>257.7</v>
      </c>
      <c r="E155" s="122">
        <v>309.24</v>
      </c>
      <c r="F155" s="148">
        <v>800</v>
      </c>
      <c r="G155" s="150">
        <v>45931</v>
      </c>
      <c r="H155" s="30"/>
      <c r="I15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1855.44</v>
      </c>
      <c r="L155" t="s">
        <v>2</v>
      </c>
      <c r="M155" s="9">
        <v>882</v>
      </c>
      <c r="N155" s="9"/>
      <c r="O155" s="9"/>
      <c r="P155" s="9"/>
      <c r="Q155" s="9"/>
      <c r="R155" s="9"/>
      <c r="S155" s="9"/>
      <c r="T155" s="9"/>
      <c r="U155" s="9"/>
      <c r="V155" s="9"/>
      <c r="W155" s="9"/>
      <c r="AW155" t="s">
        <v>2</v>
      </c>
      <c r="AX155" s="9">
        <v>735</v>
      </c>
      <c r="AY155" s="9"/>
      <c r="AZ155" s="9"/>
      <c r="BA155" s="9"/>
      <c r="BB155" s="9"/>
      <c r="BC155" s="9"/>
      <c r="BD155" s="9"/>
      <c r="BE155" s="9"/>
      <c r="BF155" s="9"/>
      <c r="BG155" s="9"/>
      <c r="BH155" s="9"/>
    </row>
    <row r="156" spans="1:60" x14ac:dyDescent="0.3">
      <c r="A156" s="162" t="s">
        <v>259</v>
      </c>
      <c r="B156" s="148" t="s">
        <v>1</v>
      </c>
      <c r="C156" s="148">
        <v>7</v>
      </c>
      <c r="D156" s="121">
        <v>227.7</v>
      </c>
      <c r="E156" s="122">
        <v>273.24</v>
      </c>
      <c r="F156" s="148">
        <v>800</v>
      </c>
      <c r="G156" s="150">
        <v>45931</v>
      </c>
      <c r="H156" s="30"/>
      <c r="I15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1912.68</v>
      </c>
      <c r="L156" t="s">
        <v>1</v>
      </c>
      <c r="M156" s="9">
        <v>2274.6799999999998</v>
      </c>
      <c r="N156" s="9"/>
      <c r="O156" s="9"/>
      <c r="P156" s="9"/>
      <c r="Q156" s="9"/>
      <c r="R156" s="9"/>
      <c r="S156" s="9"/>
      <c r="T156" s="9"/>
      <c r="U156" s="9"/>
      <c r="V156" s="9"/>
      <c r="W156" s="9"/>
      <c r="AW156" t="s">
        <v>1</v>
      </c>
      <c r="AX156" s="9">
        <v>1895.57</v>
      </c>
      <c r="AY156" s="9"/>
      <c r="AZ156" s="9"/>
      <c r="BA156" s="9"/>
      <c r="BB156" s="9"/>
      <c r="BC156" s="9"/>
      <c r="BD156" s="9"/>
      <c r="BE156" s="9"/>
      <c r="BF156" s="9"/>
      <c r="BG156" s="9"/>
      <c r="BH156" s="9"/>
    </row>
    <row r="157" spans="1:60" x14ac:dyDescent="0.3">
      <c r="A157" s="162" t="s">
        <v>259</v>
      </c>
      <c r="B157" s="148" t="s">
        <v>1</v>
      </c>
      <c r="C157" s="148">
        <v>8</v>
      </c>
      <c r="D157" s="121">
        <v>203.69</v>
      </c>
      <c r="E157" s="122">
        <v>244.43</v>
      </c>
      <c r="F157" s="148">
        <v>800</v>
      </c>
      <c r="G157" s="150">
        <v>45931</v>
      </c>
      <c r="H157" s="30"/>
      <c r="I15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1955.42</v>
      </c>
      <c r="K157" t="s">
        <v>245</v>
      </c>
      <c r="L157" t="s">
        <v>251</v>
      </c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>
        <v>16.079999999999998</v>
      </c>
      <c r="AV157" t="s">
        <v>245</v>
      </c>
      <c r="AW157" t="s">
        <v>251</v>
      </c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>
        <v>13.4</v>
      </c>
    </row>
    <row r="158" spans="1:60" x14ac:dyDescent="0.3">
      <c r="A158" s="162" t="s">
        <v>259</v>
      </c>
      <c r="B158" s="148" t="s">
        <v>1</v>
      </c>
      <c r="C158" s="148">
        <v>9</v>
      </c>
      <c r="D158" s="121">
        <v>185.47</v>
      </c>
      <c r="E158" s="122">
        <v>222.56</v>
      </c>
      <c r="F158" s="148">
        <v>800</v>
      </c>
      <c r="G158" s="150">
        <v>45931</v>
      </c>
      <c r="H158" s="30"/>
      <c r="I15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2003.08</v>
      </c>
      <c r="K158" t="s">
        <v>246</v>
      </c>
      <c r="L158" t="s">
        <v>251</v>
      </c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>
        <v>15.61</v>
      </c>
      <c r="AV158" t="s">
        <v>246</v>
      </c>
      <c r="AW158" t="s">
        <v>251</v>
      </c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>
        <v>13.01</v>
      </c>
    </row>
    <row r="159" spans="1:60" x14ac:dyDescent="0.3">
      <c r="A159" s="162" t="s">
        <v>259</v>
      </c>
      <c r="B159" s="148" t="s">
        <v>1</v>
      </c>
      <c r="C159" s="148">
        <v>10</v>
      </c>
      <c r="D159" s="121">
        <v>173.28</v>
      </c>
      <c r="E159" s="122">
        <v>207.94</v>
      </c>
      <c r="F159" s="148">
        <v>800</v>
      </c>
      <c r="G159" s="150">
        <v>45931</v>
      </c>
      <c r="H159" s="30"/>
      <c r="I15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2079.36</v>
      </c>
      <c r="K159" t="s">
        <v>252</v>
      </c>
      <c r="L159" t="s">
        <v>251</v>
      </c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>
        <v>16.079999999999998</v>
      </c>
      <c r="AV159" t="s">
        <v>252</v>
      </c>
      <c r="AW159" t="s">
        <v>251</v>
      </c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>
        <v>13.4</v>
      </c>
    </row>
    <row r="160" spans="1:60" x14ac:dyDescent="0.3">
      <c r="A160" s="162" t="s">
        <v>259</v>
      </c>
      <c r="B160" s="148" t="s">
        <v>2</v>
      </c>
      <c r="C160" s="148">
        <v>1</v>
      </c>
      <c r="D160" s="121">
        <v>278.08999999999997</v>
      </c>
      <c r="E160" s="122">
        <v>333.71</v>
      </c>
      <c r="F160" s="148">
        <v>400</v>
      </c>
      <c r="G160" s="150">
        <v>45931</v>
      </c>
      <c r="H160" s="30"/>
      <c r="I16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333.71</v>
      </c>
      <c r="K160" t="s">
        <v>253</v>
      </c>
      <c r="L160" t="s">
        <v>251</v>
      </c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>
        <v>15.61</v>
      </c>
      <c r="AV160" t="s">
        <v>253</v>
      </c>
      <c r="AW160" t="s">
        <v>251</v>
      </c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>
        <v>13.01</v>
      </c>
    </row>
    <row r="161" spans="1:60" x14ac:dyDescent="0.3">
      <c r="A161" s="162" t="s">
        <v>259</v>
      </c>
      <c r="B161" s="148" t="s">
        <v>2</v>
      </c>
      <c r="C161" s="148">
        <v>2</v>
      </c>
      <c r="D161" s="121">
        <v>231.54</v>
      </c>
      <c r="E161" s="122">
        <v>277.85000000000002</v>
      </c>
      <c r="F161" s="148">
        <v>400</v>
      </c>
      <c r="G161" s="150">
        <v>45931</v>
      </c>
      <c r="H161" s="30"/>
      <c r="I16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555.70000000000005</v>
      </c>
      <c r="K161" t="s">
        <v>257</v>
      </c>
      <c r="L161" t="s">
        <v>2</v>
      </c>
      <c r="M161" s="9">
        <v>144.04</v>
      </c>
      <c r="N161" s="9">
        <v>119.89</v>
      </c>
      <c r="O161" s="9">
        <v>93.48</v>
      </c>
      <c r="P161" s="9">
        <v>81</v>
      </c>
      <c r="Q161" s="9">
        <v>69.91</v>
      </c>
      <c r="R161" s="9"/>
      <c r="S161" s="9"/>
      <c r="T161" s="9"/>
      <c r="U161" s="9"/>
      <c r="V161" s="9"/>
      <c r="W161" s="9"/>
      <c r="AV161" t="s">
        <v>257</v>
      </c>
      <c r="AW161" t="s">
        <v>2</v>
      </c>
      <c r="AX161" s="9">
        <v>120.03</v>
      </c>
      <c r="AY161" s="9">
        <v>99.91</v>
      </c>
      <c r="AZ161" s="9">
        <v>77.900000000000006</v>
      </c>
      <c r="BA161" s="9">
        <v>67.5</v>
      </c>
      <c r="BB161" s="9">
        <v>58.26</v>
      </c>
      <c r="BC161" s="9"/>
      <c r="BD161" s="9"/>
      <c r="BE161" s="9"/>
      <c r="BF161" s="9"/>
      <c r="BG161" s="9"/>
      <c r="BH161" s="9"/>
    </row>
    <row r="162" spans="1:60" x14ac:dyDescent="0.3">
      <c r="A162" s="162" t="s">
        <v>259</v>
      </c>
      <c r="B162" s="148" t="s">
        <v>2</v>
      </c>
      <c r="C162" s="148">
        <v>3</v>
      </c>
      <c r="D162" s="121">
        <v>180.77</v>
      </c>
      <c r="E162" s="122">
        <v>216.92</v>
      </c>
      <c r="F162" s="148">
        <v>400</v>
      </c>
      <c r="G162" s="150">
        <v>45931</v>
      </c>
      <c r="H162" s="30"/>
      <c r="I16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650.77</v>
      </c>
      <c r="L162" t="s">
        <v>1</v>
      </c>
      <c r="M162" s="9">
        <v>243</v>
      </c>
      <c r="N162" s="9">
        <v>202.61</v>
      </c>
      <c r="O162" s="9">
        <v>158.41999999999999</v>
      </c>
      <c r="P162" s="9">
        <v>137.58000000000001</v>
      </c>
      <c r="Q162" s="9">
        <v>119.04</v>
      </c>
      <c r="R162" s="9"/>
      <c r="S162" s="9"/>
      <c r="T162" s="9"/>
      <c r="U162" s="9"/>
      <c r="V162" s="9"/>
      <c r="W162" s="9"/>
      <c r="AW162" t="s">
        <v>1</v>
      </c>
      <c r="AX162" s="9">
        <v>202.5</v>
      </c>
      <c r="AY162" s="9">
        <v>168.84</v>
      </c>
      <c r="AZ162" s="9">
        <v>132.02000000000001</v>
      </c>
      <c r="BA162" s="9">
        <v>114.65</v>
      </c>
      <c r="BB162" s="9">
        <v>99.2</v>
      </c>
      <c r="BC162" s="9"/>
      <c r="BD162" s="9"/>
      <c r="BE162" s="9"/>
      <c r="BF162" s="9"/>
      <c r="BG162" s="9"/>
      <c r="BH162" s="9"/>
    </row>
    <row r="163" spans="1:60" x14ac:dyDescent="0.3">
      <c r="A163" s="162" t="s">
        <v>259</v>
      </c>
      <c r="B163" s="148" t="s">
        <v>2</v>
      </c>
      <c r="C163" s="148">
        <v>4</v>
      </c>
      <c r="D163" s="121">
        <v>156.83000000000001</v>
      </c>
      <c r="E163" s="122">
        <v>188.2</v>
      </c>
      <c r="F163" s="148">
        <v>400</v>
      </c>
      <c r="G163" s="150">
        <v>45931</v>
      </c>
      <c r="H163" s="30"/>
      <c r="I16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752.78</v>
      </c>
      <c r="L163" t="s">
        <v>3</v>
      </c>
      <c r="M163" s="9">
        <v>37.54</v>
      </c>
      <c r="N163" s="9">
        <v>34.5</v>
      </c>
      <c r="O163" s="9">
        <v>34.270000000000003</v>
      </c>
      <c r="P163" s="9"/>
      <c r="Q163" s="9"/>
      <c r="R163" s="9"/>
      <c r="S163" s="9"/>
      <c r="T163" s="9"/>
      <c r="U163" s="9"/>
      <c r="V163" s="9"/>
      <c r="W163" s="9"/>
      <c r="AW163" t="s">
        <v>3</v>
      </c>
      <c r="AX163" s="9">
        <v>31.28</v>
      </c>
      <c r="AY163" s="9">
        <v>28.75</v>
      </c>
      <c r="AZ163" s="9">
        <v>28.56</v>
      </c>
      <c r="BA163" s="9"/>
      <c r="BB163" s="9"/>
      <c r="BC163" s="9"/>
      <c r="BD163" s="9"/>
      <c r="BE163" s="9"/>
      <c r="BF163" s="9"/>
      <c r="BG163" s="9"/>
      <c r="BH163" s="9"/>
    </row>
    <row r="164" spans="1:60" x14ac:dyDescent="0.3">
      <c r="A164" s="162" t="s">
        <v>259</v>
      </c>
      <c r="B164" s="148" t="s">
        <v>2</v>
      </c>
      <c r="C164" s="148">
        <v>5</v>
      </c>
      <c r="D164" s="121">
        <v>135.46</v>
      </c>
      <c r="E164" s="122">
        <v>162.55000000000001</v>
      </c>
      <c r="F164" s="148">
        <v>400</v>
      </c>
      <c r="G164" s="150">
        <v>45931</v>
      </c>
      <c r="H164" s="30"/>
      <c r="I16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812.76</v>
      </c>
      <c r="K164" t="s">
        <v>258</v>
      </c>
      <c r="L164" t="s">
        <v>16</v>
      </c>
      <c r="M164" s="9">
        <v>43.39</v>
      </c>
      <c r="N164" s="9">
        <v>39.85</v>
      </c>
      <c r="O164" s="9">
        <v>39.619999999999997</v>
      </c>
      <c r="P164" s="9">
        <v>39.44</v>
      </c>
      <c r="Q164" s="9">
        <v>39.18</v>
      </c>
      <c r="R164" s="9"/>
      <c r="S164" s="9"/>
      <c r="T164" s="9"/>
      <c r="U164" s="9"/>
      <c r="V164" s="9"/>
      <c r="W164" s="9"/>
      <c r="AV164" t="s">
        <v>258</v>
      </c>
      <c r="AW164" t="s">
        <v>16</v>
      </c>
      <c r="AX164" s="9">
        <v>36.159999999999997</v>
      </c>
      <c r="AY164" s="9">
        <v>33.21</v>
      </c>
      <c r="AZ164" s="9">
        <v>33.020000000000003</v>
      </c>
      <c r="BA164" s="9">
        <v>32.869999999999997</v>
      </c>
      <c r="BB164" s="9">
        <v>32.65</v>
      </c>
      <c r="BC164" s="9"/>
      <c r="BD164" s="9"/>
      <c r="BE164" s="9"/>
      <c r="BF164" s="9"/>
      <c r="BG164" s="9"/>
      <c r="BH164" s="9"/>
    </row>
    <row r="165" spans="1:60" x14ac:dyDescent="0.3">
      <c r="A165" s="162" t="s">
        <v>259</v>
      </c>
      <c r="B165" s="148" t="s">
        <v>2</v>
      </c>
      <c r="C165" s="148">
        <v>6</v>
      </c>
      <c r="D165" s="121">
        <v>119.78</v>
      </c>
      <c r="E165" s="122">
        <v>143.74</v>
      </c>
      <c r="F165" s="148">
        <v>400</v>
      </c>
      <c r="G165" s="150">
        <v>45931</v>
      </c>
      <c r="H165" s="30"/>
      <c r="I16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862.42</v>
      </c>
      <c r="L165" t="s">
        <v>2</v>
      </c>
      <c r="M165" s="9">
        <v>165.43</v>
      </c>
      <c r="N165" s="9">
        <v>137.59</v>
      </c>
      <c r="O165" s="9">
        <v>107.3</v>
      </c>
      <c r="P165" s="9">
        <v>92.94</v>
      </c>
      <c r="Q165" s="9">
        <v>80.180000000000007</v>
      </c>
      <c r="R165" s="9">
        <v>79.739999999999995</v>
      </c>
      <c r="S165" s="9">
        <v>77.75</v>
      </c>
      <c r="T165" s="9">
        <v>75.819999999999993</v>
      </c>
      <c r="U165" s="9">
        <v>73.91</v>
      </c>
      <c r="V165" s="9">
        <v>72.08</v>
      </c>
      <c r="W165" s="9"/>
      <c r="AW165" t="s">
        <v>2</v>
      </c>
      <c r="AX165" s="9">
        <v>137.86000000000001</v>
      </c>
      <c r="AY165" s="9">
        <v>114.66</v>
      </c>
      <c r="AZ165" s="9">
        <v>89.42</v>
      </c>
      <c r="BA165" s="9">
        <v>77.45</v>
      </c>
      <c r="BB165" s="9">
        <v>66.819999999999993</v>
      </c>
      <c r="BC165" s="9">
        <v>66.45</v>
      </c>
      <c r="BD165" s="9">
        <v>64.790000000000006</v>
      </c>
      <c r="BE165" s="9">
        <v>63.18</v>
      </c>
      <c r="BF165" s="9">
        <v>61.59</v>
      </c>
      <c r="BG165" s="9">
        <v>60.07</v>
      </c>
      <c r="BH165" s="9"/>
    </row>
    <row r="166" spans="1:60" x14ac:dyDescent="0.3">
      <c r="A166" s="162" t="s">
        <v>259</v>
      </c>
      <c r="B166" s="148" t="s">
        <v>2</v>
      </c>
      <c r="C166" s="148">
        <v>7</v>
      </c>
      <c r="D166" s="121">
        <v>105.55</v>
      </c>
      <c r="E166" s="122">
        <v>126.66</v>
      </c>
      <c r="F166" s="148">
        <v>400</v>
      </c>
      <c r="G166" s="150">
        <v>45931</v>
      </c>
      <c r="H166" s="30"/>
      <c r="I16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886.62</v>
      </c>
      <c r="L166" t="s">
        <v>1</v>
      </c>
      <c r="M166" s="9">
        <v>300.05</v>
      </c>
      <c r="N166" s="9">
        <v>250.25</v>
      </c>
      <c r="O166" s="9">
        <v>195.64</v>
      </c>
      <c r="P166" s="9">
        <v>169.86</v>
      </c>
      <c r="Q166" s="9">
        <v>146.94</v>
      </c>
      <c r="R166" s="9">
        <v>146.1</v>
      </c>
      <c r="S166" s="9">
        <v>142.46</v>
      </c>
      <c r="T166" s="9">
        <v>138.88</v>
      </c>
      <c r="U166" s="9">
        <v>135.41</v>
      </c>
      <c r="V166" s="9">
        <v>132.02000000000001</v>
      </c>
      <c r="W166" s="9"/>
      <c r="AW166" t="s">
        <v>1</v>
      </c>
      <c r="AX166" s="9">
        <v>250.04</v>
      </c>
      <c r="AY166" s="9">
        <v>208.54</v>
      </c>
      <c r="AZ166" s="9">
        <v>163.03</v>
      </c>
      <c r="BA166" s="9">
        <v>141.55000000000001</v>
      </c>
      <c r="BB166" s="9">
        <v>122.45</v>
      </c>
      <c r="BC166" s="9">
        <v>121.75</v>
      </c>
      <c r="BD166" s="9">
        <v>118.72</v>
      </c>
      <c r="BE166" s="9">
        <v>115.73</v>
      </c>
      <c r="BF166" s="9">
        <v>112.84</v>
      </c>
      <c r="BG166" s="9">
        <v>110.02</v>
      </c>
      <c r="BH166" s="9"/>
    </row>
    <row r="167" spans="1:60" x14ac:dyDescent="0.3">
      <c r="A167" s="162" t="s">
        <v>259</v>
      </c>
      <c r="B167" s="148" t="s">
        <v>2</v>
      </c>
      <c r="C167" s="148">
        <v>8</v>
      </c>
      <c r="D167" s="121">
        <v>94.23</v>
      </c>
      <c r="E167" s="122">
        <v>113.08</v>
      </c>
      <c r="F167" s="148">
        <v>400</v>
      </c>
      <c r="G167" s="150">
        <v>45931</v>
      </c>
      <c r="H167" s="30"/>
      <c r="I16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904.61</v>
      </c>
      <c r="K167" t="s">
        <v>259</v>
      </c>
      <c r="L167" t="s">
        <v>16</v>
      </c>
      <c r="M167" s="9">
        <v>56.41</v>
      </c>
      <c r="N167" s="9">
        <v>51.79</v>
      </c>
      <c r="O167" s="9">
        <v>47.57</v>
      </c>
      <c r="P167" s="9">
        <v>43.6</v>
      </c>
      <c r="Q167" s="9">
        <v>40.020000000000003</v>
      </c>
      <c r="R167" s="9">
        <v>36.76</v>
      </c>
      <c r="S167" s="9">
        <v>33.07</v>
      </c>
      <c r="T167" s="9">
        <v>29.74</v>
      </c>
      <c r="U167" s="9">
        <v>26.81</v>
      </c>
      <c r="V167" s="9">
        <v>24.42</v>
      </c>
      <c r="W167" s="9"/>
      <c r="AV167" t="s">
        <v>259</v>
      </c>
      <c r="AW167" t="s">
        <v>16</v>
      </c>
      <c r="AX167" s="9">
        <v>47.01</v>
      </c>
      <c r="AY167" s="9">
        <v>43.16</v>
      </c>
      <c r="AZ167" s="9">
        <v>39.64</v>
      </c>
      <c r="BA167" s="9">
        <v>36.33</v>
      </c>
      <c r="BB167" s="9">
        <v>33.35</v>
      </c>
      <c r="BC167" s="9">
        <v>30.63</v>
      </c>
      <c r="BD167" s="9">
        <v>27.56</v>
      </c>
      <c r="BE167" s="9">
        <v>24.78</v>
      </c>
      <c r="BF167" s="9">
        <v>22.34</v>
      </c>
      <c r="BG167" s="9">
        <v>20.350000000000001</v>
      </c>
      <c r="BH167" s="9"/>
    </row>
    <row r="168" spans="1:60" x14ac:dyDescent="0.3">
      <c r="A168" s="162" t="s">
        <v>259</v>
      </c>
      <c r="B168" s="148" t="s">
        <v>2</v>
      </c>
      <c r="C168" s="148">
        <v>9</v>
      </c>
      <c r="D168" s="121">
        <v>85.56</v>
      </c>
      <c r="E168" s="122">
        <v>102.67</v>
      </c>
      <c r="F168" s="148">
        <v>400</v>
      </c>
      <c r="G168" s="150">
        <v>45931</v>
      </c>
      <c r="H168" s="30"/>
      <c r="I16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924.05</v>
      </c>
      <c r="L168" t="s">
        <v>2</v>
      </c>
      <c r="M168" s="9">
        <v>327.32</v>
      </c>
      <c r="N168" s="9">
        <v>272.27</v>
      </c>
      <c r="O168" s="9">
        <v>212.36</v>
      </c>
      <c r="P168" s="9">
        <v>184.06</v>
      </c>
      <c r="Q168" s="9">
        <v>158.82</v>
      </c>
      <c r="R168" s="9">
        <v>140.30000000000001</v>
      </c>
      <c r="S168" s="9">
        <v>123.64</v>
      </c>
      <c r="T168" s="9">
        <v>110.38</v>
      </c>
      <c r="U168" s="9">
        <v>100.21</v>
      </c>
      <c r="V168" s="9">
        <v>93.36</v>
      </c>
      <c r="W168" s="9"/>
      <c r="AW168" t="s">
        <v>2</v>
      </c>
      <c r="AX168" s="9">
        <v>272.77</v>
      </c>
      <c r="AY168" s="9">
        <v>226.89</v>
      </c>
      <c r="AZ168" s="9">
        <v>176.97</v>
      </c>
      <c r="BA168" s="9">
        <v>153.38</v>
      </c>
      <c r="BB168" s="9">
        <v>132.35</v>
      </c>
      <c r="BC168" s="9">
        <v>116.92</v>
      </c>
      <c r="BD168" s="9">
        <v>103.03</v>
      </c>
      <c r="BE168" s="9">
        <v>91.98</v>
      </c>
      <c r="BF168" s="9">
        <v>83.51</v>
      </c>
      <c r="BG168" s="9">
        <v>77.8</v>
      </c>
      <c r="BH168" s="9"/>
    </row>
    <row r="169" spans="1:60" x14ac:dyDescent="0.3">
      <c r="A169" s="162" t="s">
        <v>259</v>
      </c>
      <c r="B169" s="148" t="s">
        <v>2</v>
      </c>
      <c r="C169" s="148">
        <v>10</v>
      </c>
      <c r="D169" s="121">
        <v>79.709999999999994</v>
      </c>
      <c r="E169" s="122">
        <v>95.65</v>
      </c>
      <c r="F169" s="148">
        <v>400</v>
      </c>
      <c r="G169" s="150">
        <v>45931</v>
      </c>
      <c r="H169" s="30"/>
      <c r="I16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956.52</v>
      </c>
      <c r="L169" t="s">
        <v>1</v>
      </c>
      <c r="M169" s="9">
        <v>693.05</v>
      </c>
      <c r="N169" s="9">
        <v>578.03</v>
      </c>
      <c r="O169" s="9">
        <v>451.8</v>
      </c>
      <c r="P169" s="9">
        <v>392.47</v>
      </c>
      <c r="Q169" s="9">
        <v>339.42</v>
      </c>
      <c r="R169" s="9">
        <v>300.67</v>
      </c>
      <c r="S169" s="9">
        <v>265.67</v>
      </c>
      <c r="T169" s="9">
        <v>237.66</v>
      </c>
      <c r="U169" s="9">
        <v>216.4</v>
      </c>
      <c r="V169" s="9">
        <v>202.18</v>
      </c>
      <c r="W169" s="9"/>
      <c r="AW169" t="s">
        <v>1</v>
      </c>
      <c r="AX169" s="9">
        <v>577.54</v>
      </c>
      <c r="AY169" s="9">
        <v>481.69</v>
      </c>
      <c r="AZ169" s="9">
        <v>376.5</v>
      </c>
      <c r="BA169" s="9">
        <v>327.06</v>
      </c>
      <c r="BB169" s="9">
        <v>282.85000000000002</v>
      </c>
      <c r="BC169" s="9">
        <v>250.56</v>
      </c>
      <c r="BD169" s="9">
        <v>221.39</v>
      </c>
      <c r="BE169" s="9">
        <v>198.05</v>
      </c>
      <c r="BF169" s="9">
        <v>180.33</v>
      </c>
      <c r="BG169" s="9">
        <v>168.48</v>
      </c>
      <c r="BH169" s="9"/>
    </row>
    <row r="170" spans="1:60" x14ac:dyDescent="0.3">
      <c r="A170" s="162" t="s">
        <v>259</v>
      </c>
      <c r="B170" s="148" t="s">
        <v>16</v>
      </c>
      <c r="C170" s="148">
        <v>1</v>
      </c>
      <c r="D170" s="121">
        <v>47.74</v>
      </c>
      <c r="E170" s="122">
        <v>57.29</v>
      </c>
      <c r="F170" s="148">
        <v>60</v>
      </c>
      <c r="G170" s="150">
        <v>45931</v>
      </c>
      <c r="H170" s="30"/>
      <c r="I17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57.29</v>
      </c>
      <c r="K170" t="s">
        <v>260</v>
      </c>
      <c r="L170" t="s">
        <v>16</v>
      </c>
      <c r="M170" s="9">
        <v>65.680000000000007</v>
      </c>
      <c r="N170" s="9">
        <v>60.28</v>
      </c>
      <c r="O170" s="9">
        <v>55.28</v>
      </c>
      <c r="P170" s="9">
        <v>50.8</v>
      </c>
      <c r="Q170" s="9">
        <v>46.6</v>
      </c>
      <c r="R170" s="9">
        <v>42.78</v>
      </c>
      <c r="S170" s="9">
        <v>38.520000000000003</v>
      </c>
      <c r="T170" s="9">
        <v>34.659999999999997</v>
      </c>
      <c r="U170" s="9">
        <v>31.19</v>
      </c>
      <c r="V170" s="9">
        <v>28.38</v>
      </c>
      <c r="W170" s="9"/>
      <c r="AV170" t="s">
        <v>260</v>
      </c>
      <c r="AW170" t="s">
        <v>16</v>
      </c>
      <c r="AX170" s="9">
        <v>54.73</v>
      </c>
      <c r="AY170" s="9">
        <v>50.23</v>
      </c>
      <c r="AZ170" s="9">
        <v>46.07</v>
      </c>
      <c r="BA170" s="9">
        <v>42.33</v>
      </c>
      <c r="BB170" s="9">
        <v>38.83</v>
      </c>
      <c r="BC170" s="9">
        <v>35.65</v>
      </c>
      <c r="BD170" s="9">
        <v>32.1</v>
      </c>
      <c r="BE170" s="9">
        <v>28.88</v>
      </c>
      <c r="BF170" s="9">
        <v>25.99</v>
      </c>
      <c r="BG170" s="9">
        <v>23.65</v>
      </c>
      <c r="BH170" s="9"/>
    </row>
    <row r="171" spans="1:60" x14ac:dyDescent="0.3">
      <c r="A171" s="162" t="s">
        <v>259</v>
      </c>
      <c r="B171" s="148" t="s">
        <v>16</v>
      </c>
      <c r="C171" s="148">
        <v>2</v>
      </c>
      <c r="D171" s="121">
        <v>43.87</v>
      </c>
      <c r="E171" s="122">
        <v>52.64</v>
      </c>
      <c r="F171" s="148">
        <v>60</v>
      </c>
      <c r="G171" s="150">
        <v>45931</v>
      </c>
      <c r="H171" s="30"/>
      <c r="I17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105.29</v>
      </c>
      <c r="L171" t="s">
        <v>2</v>
      </c>
      <c r="M171" s="9">
        <v>539.79999999999995</v>
      </c>
      <c r="N171" s="9">
        <v>477.18</v>
      </c>
      <c r="O171" s="9">
        <v>421.75</v>
      </c>
      <c r="P171" s="9">
        <v>372.73</v>
      </c>
      <c r="Q171" s="9">
        <v>329.34</v>
      </c>
      <c r="R171" s="9">
        <v>290.99</v>
      </c>
      <c r="S171" s="9">
        <v>256.56</v>
      </c>
      <c r="T171" s="9">
        <v>228.97</v>
      </c>
      <c r="U171" s="9">
        <v>207.88</v>
      </c>
      <c r="V171" s="9">
        <v>193.68</v>
      </c>
      <c r="W171" s="9"/>
      <c r="AW171" t="s">
        <v>2</v>
      </c>
      <c r="AX171" s="9">
        <v>449.83</v>
      </c>
      <c r="AY171" s="9">
        <v>397.65</v>
      </c>
      <c r="AZ171" s="9">
        <v>351.46</v>
      </c>
      <c r="BA171" s="9">
        <v>310.61</v>
      </c>
      <c r="BB171" s="9">
        <v>274.45</v>
      </c>
      <c r="BC171" s="9">
        <v>242.49</v>
      </c>
      <c r="BD171" s="9">
        <v>213.8</v>
      </c>
      <c r="BE171" s="9">
        <v>190.81</v>
      </c>
      <c r="BF171" s="9">
        <v>173.23</v>
      </c>
      <c r="BG171" s="9">
        <v>161.4</v>
      </c>
      <c r="BH171" s="9"/>
    </row>
    <row r="172" spans="1:60" x14ac:dyDescent="0.3">
      <c r="A172" s="162" t="s">
        <v>259</v>
      </c>
      <c r="B172" s="148" t="s">
        <v>16</v>
      </c>
      <c r="C172" s="148">
        <v>3</v>
      </c>
      <c r="D172" s="121">
        <v>40.33</v>
      </c>
      <c r="E172" s="122">
        <v>48.4</v>
      </c>
      <c r="F172" s="148">
        <v>60</v>
      </c>
      <c r="G172" s="150">
        <v>45931</v>
      </c>
      <c r="H172" s="30"/>
      <c r="I17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145.19</v>
      </c>
      <c r="L172" t="s">
        <v>1</v>
      </c>
      <c r="M172" s="9">
        <v>877.01</v>
      </c>
      <c r="N172" s="9">
        <v>777.02</v>
      </c>
      <c r="O172" s="9">
        <v>688.44</v>
      </c>
      <c r="P172" s="9">
        <v>609.91</v>
      </c>
      <c r="Q172" s="9">
        <v>540.26</v>
      </c>
      <c r="R172" s="9">
        <v>478.43</v>
      </c>
      <c r="S172" s="9">
        <v>422.94</v>
      </c>
      <c r="T172" s="9">
        <v>378.4</v>
      </c>
      <c r="U172" s="9">
        <v>344.26</v>
      </c>
      <c r="V172" s="9">
        <v>321.55</v>
      </c>
      <c r="W172" s="9"/>
      <c r="AW172" t="s">
        <v>1</v>
      </c>
      <c r="AX172" s="9">
        <v>730.84</v>
      </c>
      <c r="AY172" s="9">
        <v>647.52</v>
      </c>
      <c r="AZ172" s="9">
        <v>573.70000000000005</v>
      </c>
      <c r="BA172" s="9">
        <v>508.26</v>
      </c>
      <c r="BB172" s="9">
        <v>450.22</v>
      </c>
      <c r="BC172" s="9">
        <v>398.69</v>
      </c>
      <c r="BD172" s="9">
        <v>352.45</v>
      </c>
      <c r="BE172" s="9">
        <v>315.33</v>
      </c>
      <c r="BF172" s="9">
        <v>286.88</v>
      </c>
      <c r="BG172" s="9">
        <v>267.95999999999998</v>
      </c>
      <c r="BH172" s="9"/>
    </row>
    <row r="173" spans="1:60" x14ac:dyDescent="0.3">
      <c r="A173" s="162" t="s">
        <v>259</v>
      </c>
      <c r="B173" s="148" t="s">
        <v>16</v>
      </c>
      <c r="C173" s="148">
        <v>4</v>
      </c>
      <c r="D173" s="121">
        <v>37</v>
      </c>
      <c r="E173" s="122">
        <v>44.4</v>
      </c>
      <c r="F173" s="148">
        <v>60</v>
      </c>
      <c r="G173" s="150">
        <v>45931</v>
      </c>
      <c r="H173" s="30"/>
      <c r="I17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177.6</v>
      </c>
      <c r="K173" t="s">
        <v>261</v>
      </c>
      <c r="L173" t="s">
        <v>1</v>
      </c>
      <c r="M173" s="9">
        <v>480.24</v>
      </c>
      <c r="N173" s="9"/>
      <c r="O173" s="9"/>
      <c r="P173" s="9"/>
      <c r="Q173" s="9"/>
      <c r="R173" s="9"/>
      <c r="S173" s="9"/>
      <c r="T173" s="9"/>
      <c r="U173" s="9"/>
      <c r="V173" s="9"/>
      <c r="W173" s="9"/>
      <c r="AV173" t="s">
        <v>261</v>
      </c>
      <c r="AW173" t="s">
        <v>1</v>
      </c>
      <c r="AX173" s="9">
        <v>400.2</v>
      </c>
      <c r="AY173" s="9"/>
      <c r="AZ173" s="9"/>
      <c r="BA173" s="9"/>
      <c r="BB173" s="9"/>
      <c r="BC173" s="9"/>
      <c r="BD173" s="9"/>
      <c r="BE173" s="9"/>
      <c r="BF173" s="9"/>
      <c r="BG173" s="9"/>
      <c r="BH173" s="9"/>
    </row>
    <row r="174" spans="1:60" x14ac:dyDescent="0.3">
      <c r="A174" s="162" t="s">
        <v>259</v>
      </c>
      <c r="B174" s="148" t="s">
        <v>16</v>
      </c>
      <c r="C174" s="148">
        <v>5</v>
      </c>
      <c r="D174" s="121">
        <v>34</v>
      </c>
      <c r="E174" s="122">
        <v>40.799999999999997</v>
      </c>
      <c r="F174" s="148">
        <v>60</v>
      </c>
      <c r="G174" s="150">
        <v>45931</v>
      </c>
      <c r="H174" s="30"/>
      <c r="I17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204</v>
      </c>
      <c r="K174" t="s">
        <v>262</v>
      </c>
      <c r="L174" t="s">
        <v>16</v>
      </c>
      <c r="M174" s="9">
        <v>100.76</v>
      </c>
      <c r="N174" s="9"/>
      <c r="O174" s="9"/>
      <c r="P174" s="9"/>
      <c r="Q174" s="9"/>
      <c r="R174" s="9"/>
      <c r="S174" s="9"/>
      <c r="T174" s="9"/>
      <c r="U174" s="9"/>
      <c r="V174" s="9"/>
      <c r="W174" s="9"/>
      <c r="AV174" t="s">
        <v>262</v>
      </c>
      <c r="AW174" t="s">
        <v>16</v>
      </c>
      <c r="AX174" s="9">
        <v>83.97</v>
      </c>
      <c r="AY174" s="9"/>
      <c r="AZ174" s="9"/>
      <c r="BA174" s="9"/>
      <c r="BB174" s="9"/>
      <c r="BC174" s="9"/>
      <c r="BD174" s="9"/>
      <c r="BE174" s="9"/>
      <c r="BF174" s="9"/>
      <c r="BG174" s="9"/>
      <c r="BH174" s="9"/>
    </row>
    <row r="175" spans="1:60" x14ac:dyDescent="0.3">
      <c r="A175" s="162" t="s">
        <v>259</v>
      </c>
      <c r="B175" s="148" t="s">
        <v>16</v>
      </c>
      <c r="C175" s="148">
        <v>6</v>
      </c>
      <c r="D175" s="121">
        <v>31.26</v>
      </c>
      <c r="E175" s="122">
        <v>37.51</v>
      </c>
      <c r="F175" s="148">
        <v>60</v>
      </c>
      <c r="G175" s="150">
        <v>45931</v>
      </c>
      <c r="H175" s="30"/>
      <c r="I17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225.07</v>
      </c>
      <c r="L175" t="s">
        <v>2</v>
      </c>
      <c r="M175" s="9">
        <v>240.49</v>
      </c>
      <c r="N175" s="9"/>
      <c r="O175" s="9"/>
      <c r="P175" s="9"/>
      <c r="Q175" s="9"/>
      <c r="R175" s="9"/>
      <c r="S175" s="9"/>
      <c r="T175" s="9"/>
      <c r="U175" s="9"/>
      <c r="V175" s="9"/>
      <c r="W175" s="9"/>
      <c r="AW175" t="s">
        <v>2</v>
      </c>
      <c r="AX175" s="9">
        <v>200.41</v>
      </c>
      <c r="AY175" s="9"/>
      <c r="AZ175" s="9"/>
      <c r="BA175" s="9"/>
      <c r="BB175" s="9"/>
      <c r="BC175" s="9"/>
      <c r="BD175" s="9"/>
      <c r="BE175" s="9"/>
      <c r="BF175" s="9"/>
      <c r="BG175" s="9"/>
      <c r="BH175" s="9"/>
    </row>
    <row r="176" spans="1:60" x14ac:dyDescent="0.3">
      <c r="A176" s="162" t="s">
        <v>259</v>
      </c>
      <c r="B176" s="148" t="s">
        <v>16</v>
      </c>
      <c r="C176" s="148">
        <v>7</v>
      </c>
      <c r="D176" s="121">
        <v>28.12</v>
      </c>
      <c r="E176" s="122">
        <v>33.74</v>
      </c>
      <c r="F176" s="148">
        <v>60</v>
      </c>
      <c r="G176" s="150">
        <v>45931</v>
      </c>
      <c r="H176" s="30"/>
      <c r="I17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236.21</v>
      </c>
      <c r="L176" t="s">
        <v>1</v>
      </c>
      <c r="M176" s="9">
        <v>611.14</v>
      </c>
      <c r="N176" s="9"/>
      <c r="O176" s="9"/>
      <c r="P176" s="9"/>
      <c r="Q176" s="9"/>
      <c r="R176" s="9"/>
      <c r="S176" s="9"/>
      <c r="T176" s="9"/>
      <c r="U176" s="9"/>
      <c r="V176" s="9"/>
      <c r="W176" s="9"/>
      <c r="AW176" t="s">
        <v>1</v>
      </c>
      <c r="AX176" s="9">
        <v>509.28</v>
      </c>
      <c r="AY176" s="9"/>
      <c r="AZ176" s="9"/>
      <c r="BA176" s="9"/>
      <c r="BB176" s="9"/>
      <c r="BC176" s="9"/>
      <c r="BD176" s="9"/>
      <c r="BE176" s="9"/>
      <c r="BF176" s="9"/>
      <c r="BG176" s="9"/>
      <c r="BH176" s="9"/>
    </row>
    <row r="177" spans="1:60" x14ac:dyDescent="0.3">
      <c r="A177" s="162" t="s">
        <v>259</v>
      </c>
      <c r="B177" s="148" t="s">
        <v>16</v>
      </c>
      <c r="C177" s="148">
        <v>8</v>
      </c>
      <c r="D177" s="121">
        <v>25.29</v>
      </c>
      <c r="E177" s="122">
        <v>30.35</v>
      </c>
      <c r="F177" s="148">
        <v>60</v>
      </c>
      <c r="G177" s="150">
        <v>45931</v>
      </c>
      <c r="H177" s="30"/>
      <c r="I17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242.78</v>
      </c>
      <c r="K177" t="s">
        <v>263</v>
      </c>
      <c r="L177" t="s">
        <v>16</v>
      </c>
      <c r="M177" s="9">
        <v>180.14</v>
      </c>
      <c r="N177" s="9"/>
      <c r="O177" s="9"/>
      <c r="P177" s="9"/>
      <c r="Q177" s="9"/>
      <c r="R177" s="9"/>
      <c r="S177" s="9"/>
      <c r="T177" s="9"/>
      <c r="U177" s="9"/>
      <c r="V177" s="9"/>
      <c r="W177" s="9"/>
      <c r="AV177" t="s">
        <v>263</v>
      </c>
      <c r="AW177" t="s">
        <v>16</v>
      </c>
      <c r="AX177" s="9">
        <v>150.12</v>
      </c>
      <c r="AY177" s="9"/>
      <c r="AZ177" s="9"/>
      <c r="BA177" s="9"/>
      <c r="BB177" s="9"/>
      <c r="BC177" s="9"/>
      <c r="BD177" s="9"/>
      <c r="BE177" s="9"/>
      <c r="BF177" s="9"/>
      <c r="BG177" s="9"/>
      <c r="BH177" s="9"/>
    </row>
    <row r="178" spans="1:60" x14ac:dyDescent="0.3">
      <c r="A178" s="162" t="s">
        <v>259</v>
      </c>
      <c r="B178" s="148" t="s">
        <v>16</v>
      </c>
      <c r="C178" s="148">
        <v>9</v>
      </c>
      <c r="D178" s="121">
        <v>22.8</v>
      </c>
      <c r="E178" s="122">
        <v>27.36</v>
      </c>
      <c r="F178" s="148">
        <v>60</v>
      </c>
      <c r="G178" s="150">
        <v>45931</v>
      </c>
      <c r="H178" s="30"/>
      <c r="I17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246.24</v>
      </c>
      <c r="L178" t="s">
        <v>2</v>
      </c>
      <c r="M178" s="9">
        <v>430.34</v>
      </c>
      <c r="N178" s="9"/>
      <c r="O178" s="9"/>
      <c r="P178" s="9"/>
      <c r="Q178" s="9"/>
      <c r="R178" s="9"/>
      <c r="S178" s="9"/>
      <c r="T178" s="9"/>
      <c r="U178" s="9"/>
      <c r="V178" s="9"/>
      <c r="W178" s="9"/>
      <c r="AW178" t="s">
        <v>2</v>
      </c>
      <c r="AX178" s="9">
        <v>358.62</v>
      </c>
      <c r="AY178" s="9"/>
      <c r="AZ178" s="9"/>
      <c r="BA178" s="9"/>
      <c r="BB178" s="9"/>
      <c r="BC178" s="9"/>
      <c r="BD178" s="9"/>
      <c r="BE178" s="9"/>
      <c r="BF178" s="9"/>
      <c r="BG178" s="9"/>
      <c r="BH178" s="9"/>
    </row>
    <row r="179" spans="1:60" x14ac:dyDescent="0.3">
      <c r="A179" s="162" t="s">
        <v>259</v>
      </c>
      <c r="B179" s="148" t="s">
        <v>16</v>
      </c>
      <c r="C179" s="148">
        <v>10</v>
      </c>
      <c r="D179" s="121">
        <v>20.77</v>
      </c>
      <c r="E179" s="122">
        <v>24.92</v>
      </c>
      <c r="F179" s="148">
        <v>60</v>
      </c>
      <c r="G179" s="150">
        <v>45931</v>
      </c>
      <c r="H179" s="30"/>
      <c r="I17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249.24</v>
      </c>
      <c r="L179" t="s">
        <v>1</v>
      </c>
      <c r="M179" s="9">
        <v>1120.7</v>
      </c>
      <c r="N179" s="9"/>
      <c r="O179" s="9"/>
      <c r="P179" s="9"/>
      <c r="Q179" s="9"/>
      <c r="R179" s="9"/>
      <c r="S179" s="9"/>
      <c r="T179" s="9"/>
      <c r="U179" s="9"/>
      <c r="V179" s="9"/>
      <c r="W179" s="9"/>
      <c r="AW179" t="s">
        <v>1</v>
      </c>
      <c r="AX179" s="9">
        <v>933.92</v>
      </c>
      <c r="AY179" s="9"/>
      <c r="AZ179" s="9"/>
      <c r="BA179" s="9"/>
      <c r="BB179" s="9"/>
      <c r="BC179" s="9"/>
      <c r="BD179" s="9"/>
      <c r="BE179" s="9"/>
      <c r="BF179" s="9"/>
      <c r="BG179" s="9"/>
      <c r="BH179" s="9"/>
    </row>
    <row r="180" spans="1:60" x14ac:dyDescent="0.3">
      <c r="A180" s="162" t="s">
        <v>260</v>
      </c>
      <c r="B180" s="148" t="s">
        <v>1</v>
      </c>
      <c r="C180" s="148">
        <v>1</v>
      </c>
      <c r="D180" s="121">
        <v>748.75</v>
      </c>
      <c r="E180" s="122">
        <v>898.5</v>
      </c>
      <c r="F180" s="148">
        <v>800</v>
      </c>
      <c r="G180" s="150">
        <v>45931</v>
      </c>
      <c r="H180" s="30"/>
      <c r="I18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898.5</v>
      </c>
      <c r="K180" t="s">
        <v>264</v>
      </c>
      <c r="L180" t="s">
        <v>16</v>
      </c>
      <c r="M180" s="9">
        <v>382.57</v>
      </c>
      <c r="N180" s="9"/>
      <c r="O180" s="9"/>
      <c r="P180" s="9"/>
      <c r="Q180" s="9"/>
      <c r="R180" s="9"/>
      <c r="S180" s="9"/>
      <c r="T180" s="9"/>
      <c r="U180" s="9"/>
      <c r="V180" s="9"/>
      <c r="W180" s="9"/>
      <c r="AV180" t="s">
        <v>264</v>
      </c>
      <c r="AW180" t="s">
        <v>16</v>
      </c>
      <c r="AX180" s="9">
        <v>318.81</v>
      </c>
      <c r="AY180" s="9"/>
      <c r="AZ180" s="9"/>
      <c r="BA180" s="9"/>
      <c r="BB180" s="9"/>
      <c r="BC180" s="9"/>
      <c r="BD180" s="9"/>
      <c r="BE180" s="9"/>
      <c r="BF180" s="9"/>
      <c r="BG180" s="9"/>
      <c r="BH180" s="9"/>
    </row>
    <row r="181" spans="1:60" x14ac:dyDescent="0.3">
      <c r="A181" s="162" t="s">
        <v>260</v>
      </c>
      <c r="B181" s="148" t="s">
        <v>1</v>
      </c>
      <c r="C181" s="148">
        <v>2</v>
      </c>
      <c r="D181" s="121">
        <v>664.03</v>
      </c>
      <c r="E181" s="122">
        <v>796.84</v>
      </c>
      <c r="F181" s="148">
        <v>800</v>
      </c>
      <c r="G181" s="150">
        <v>45931</v>
      </c>
      <c r="H181" s="30"/>
      <c r="I18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1593.67</v>
      </c>
      <c r="L181" t="s">
        <v>2</v>
      </c>
      <c r="M181" s="9">
        <v>882</v>
      </c>
      <c r="N181" s="9"/>
      <c r="O181" s="9"/>
      <c r="P181" s="9"/>
      <c r="Q181" s="9"/>
      <c r="R181" s="9"/>
      <c r="S181" s="9"/>
      <c r="T181" s="9"/>
      <c r="U181" s="9"/>
      <c r="V181" s="9"/>
      <c r="W181" s="9"/>
      <c r="AW181" t="s">
        <v>2</v>
      </c>
      <c r="AX181" s="9">
        <v>735</v>
      </c>
      <c r="AY181" s="9"/>
      <c r="AZ181" s="9"/>
      <c r="BA181" s="9"/>
      <c r="BB181" s="9"/>
      <c r="BC181" s="9"/>
      <c r="BD181" s="9"/>
      <c r="BE181" s="9"/>
      <c r="BF181" s="9"/>
      <c r="BG181" s="9"/>
      <c r="BH181" s="9"/>
    </row>
    <row r="182" spans="1:60" x14ac:dyDescent="0.3">
      <c r="A182" s="162" t="s">
        <v>260</v>
      </c>
      <c r="B182" s="148" t="s">
        <v>1</v>
      </c>
      <c r="C182" s="148">
        <v>3</v>
      </c>
      <c r="D182" s="121">
        <v>588.9</v>
      </c>
      <c r="E182" s="122">
        <v>706.68</v>
      </c>
      <c r="F182" s="148">
        <v>800</v>
      </c>
      <c r="G182" s="150">
        <v>45931</v>
      </c>
      <c r="H182" s="30"/>
      <c r="I18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2120.04</v>
      </c>
      <c r="L182" t="s">
        <v>1</v>
      </c>
      <c r="M182" s="9">
        <v>2274.6799999999998</v>
      </c>
      <c r="N182" s="9"/>
      <c r="O182" s="9"/>
      <c r="P182" s="9"/>
      <c r="Q182" s="9"/>
      <c r="R182" s="9"/>
      <c r="S182" s="9"/>
      <c r="T182" s="9"/>
      <c r="U182" s="9"/>
      <c r="V182" s="9"/>
      <c r="W182" s="9"/>
      <c r="AW182" t="s">
        <v>1</v>
      </c>
      <c r="AX182" s="9">
        <v>1895.57</v>
      </c>
      <c r="AY182" s="9"/>
      <c r="AZ182" s="9"/>
      <c r="BA182" s="9"/>
      <c r="BB182" s="9"/>
      <c r="BC182" s="9"/>
      <c r="BD182" s="9"/>
      <c r="BE182" s="9"/>
      <c r="BF182" s="9"/>
      <c r="BG182" s="9"/>
      <c r="BH182" s="9"/>
    </row>
    <row r="183" spans="1:60" x14ac:dyDescent="0.3">
      <c r="A183" s="162" t="s">
        <v>260</v>
      </c>
      <c r="B183" s="148" t="s">
        <v>1</v>
      </c>
      <c r="C183" s="148">
        <v>4</v>
      </c>
      <c r="D183" s="121">
        <v>522.24</v>
      </c>
      <c r="E183" s="122">
        <v>626.69000000000005</v>
      </c>
      <c r="F183" s="148">
        <v>800</v>
      </c>
      <c r="G183" s="150">
        <v>45931</v>
      </c>
      <c r="H183" s="30"/>
      <c r="I18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2506.75</v>
      </c>
      <c r="K183" t="s">
        <v>312</v>
      </c>
      <c r="L183" t="s">
        <v>2</v>
      </c>
      <c r="M183" s="9">
        <v>93.92</v>
      </c>
      <c r="N183" s="9"/>
      <c r="O183" s="9"/>
      <c r="P183" s="9"/>
      <c r="Q183" s="9"/>
      <c r="R183" s="9"/>
      <c r="S183" s="9"/>
      <c r="T183" s="9"/>
      <c r="U183" s="9"/>
      <c r="V183" s="9"/>
      <c r="W183" s="9"/>
      <c r="AV183" t="s">
        <v>312</v>
      </c>
      <c r="AW183" t="s">
        <v>2</v>
      </c>
      <c r="AX183" s="9">
        <v>78.27</v>
      </c>
      <c r="AY183" s="9"/>
      <c r="AZ183" s="9"/>
      <c r="BA183" s="9"/>
      <c r="BB183" s="9"/>
      <c r="BC183" s="9"/>
      <c r="BD183" s="9"/>
      <c r="BE183" s="9"/>
      <c r="BF183" s="9"/>
      <c r="BG183" s="9"/>
      <c r="BH183" s="9"/>
    </row>
    <row r="184" spans="1:60" x14ac:dyDescent="0.3">
      <c r="A184" s="162" t="s">
        <v>260</v>
      </c>
      <c r="B184" s="148" t="s">
        <v>1</v>
      </c>
      <c r="C184" s="148">
        <v>5</v>
      </c>
      <c r="D184" s="121">
        <v>463.05</v>
      </c>
      <c r="E184" s="122">
        <v>555.66</v>
      </c>
      <c r="F184" s="148">
        <v>800</v>
      </c>
      <c r="G184" s="150">
        <v>45931</v>
      </c>
      <c r="H184" s="30"/>
      <c r="I18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2778.3</v>
      </c>
      <c r="L184" t="s">
        <v>1</v>
      </c>
      <c r="M184" s="9">
        <v>236.53</v>
      </c>
      <c r="N184" s="9"/>
      <c r="O184" s="9"/>
      <c r="P184" s="9"/>
      <c r="Q184" s="9"/>
      <c r="R184" s="9"/>
      <c r="S184" s="9"/>
      <c r="T184" s="9"/>
      <c r="U184" s="9"/>
      <c r="V184" s="9"/>
      <c r="W184" s="9"/>
      <c r="AW184" t="s">
        <v>1</v>
      </c>
      <c r="AX184" s="9">
        <v>197.11</v>
      </c>
      <c r="AY184" s="9"/>
      <c r="AZ184" s="9"/>
      <c r="BA184" s="9"/>
      <c r="BB184" s="9"/>
      <c r="BC184" s="9"/>
      <c r="BD184" s="9"/>
      <c r="BE184" s="9"/>
      <c r="BF184" s="9"/>
      <c r="BG184" s="9"/>
      <c r="BH184" s="9"/>
    </row>
    <row r="185" spans="1:60" x14ac:dyDescent="0.3">
      <c r="A185" s="162" t="s">
        <v>260</v>
      </c>
      <c r="B185" s="148" t="s">
        <v>1</v>
      </c>
      <c r="C185" s="148">
        <v>6</v>
      </c>
      <c r="D185" s="121">
        <v>410.45</v>
      </c>
      <c r="E185" s="122">
        <v>492.54</v>
      </c>
      <c r="F185" s="148">
        <v>800</v>
      </c>
      <c r="G185" s="150">
        <v>45931</v>
      </c>
      <c r="H185" s="30"/>
      <c r="I18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2955.24</v>
      </c>
      <c r="L185" t="s">
        <v>3</v>
      </c>
      <c r="M185" s="9">
        <v>41.17</v>
      </c>
      <c r="N185" s="9"/>
      <c r="O185" s="9"/>
      <c r="P185" s="9"/>
      <c r="Q185" s="9"/>
      <c r="R185" s="9"/>
      <c r="S185" s="9"/>
      <c r="T185" s="9"/>
      <c r="U185" s="9"/>
      <c r="V185" s="9"/>
      <c r="W185" s="9"/>
      <c r="AW185" t="s">
        <v>3</v>
      </c>
      <c r="AX185" s="9">
        <v>34.31</v>
      </c>
      <c r="AY185" s="9"/>
      <c r="AZ185" s="9"/>
      <c r="BA185" s="9"/>
      <c r="BB185" s="9"/>
      <c r="BC185" s="9"/>
      <c r="BD185" s="9"/>
      <c r="BE185" s="9"/>
      <c r="BF185" s="9"/>
      <c r="BG185" s="9"/>
      <c r="BH185" s="9"/>
    </row>
    <row r="186" spans="1:60" x14ac:dyDescent="0.3">
      <c r="A186" s="162" t="s">
        <v>260</v>
      </c>
      <c r="B186" s="148" t="s">
        <v>1</v>
      </c>
      <c r="C186" s="148">
        <v>7</v>
      </c>
      <c r="D186" s="121">
        <v>362.85</v>
      </c>
      <c r="E186" s="122">
        <v>435.42</v>
      </c>
      <c r="F186" s="148">
        <v>800</v>
      </c>
      <c r="G186" s="150">
        <v>45931</v>
      </c>
      <c r="H186" s="30"/>
      <c r="I18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3047.94</v>
      </c>
      <c r="L186" t="s">
        <v>74</v>
      </c>
      <c r="M186" s="9">
        <v>109.21</v>
      </c>
      <c r="N186" s="9"/>
      <c r="O186" s="9"/>
      <c r="P186" s="9"/>
      <c r="Q186" s="9"/>
      <c r="R186" s="9"/>
      <c r="S186" s="9"/>
      <c r="T186" s="9"/>
      <c r="U186" s="9"/>
      <c r="V186" s="9"/>
      <c r="W186" s="9"/>
      <c r="AW186" t="s">
        <v>74</v>
      </c>
      <c r="AX186" s="9">
        <v>91.01</v>
      </c>
      <c r="AY186" s="9"/>
      <c r="AZ186" s="9"/>
      <c r="BA186" s="9"/>
      <c r="BB186" s="9"/>
      <c r="BC186" s="9"/>
      <c r="BD186" s="9"/>
      <c r="BE186" s="9"/>
      <c r="BF186" s="9"/>
      <c r="BG186" s="9"/>
      <c r="BH186" s="9"/>
    </row>
    <row r="187" spans="1:60" x14ac:dyDescent="0.3">
      <c r="A187" s="162" t="s">
        <v>260</v>
      </c>
      <c r="B187" s="148" t="s">
        <v>1</v>
      </c>
      <c r="C187" s="148">
        <v>8</v>
      </c>
      <c r="D187" s="121">
        <v>324.63</v>
      </c>
      <c r="E187" s="122">
        <v>389.56</v>
      </c>
      <c r="F187" s="148">
        <v>800</v>
      </c>
      <c r="G187" s="150">
        <v>45931</v>
      </c>
      <c r="H187" s="30"/>
      <c r="I18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3116.45</v>
      </c>
      <c r="K187" t="s">
        <v>313</v>
      </c>
      <c r="L187" t="s">
        <v>2</v>
      </c>
      <c r="M187" s="9">
        <v>204.52</v>
      </c>
      <c r="N187" s="9"/>
      <c r="O187" s="9"/>
      <c r="P187" s="9"/>
      <c r="Q187" s="9"/>
      <c r="R187" s="9"/>
      <c r="S187" s="9"/>
      <c r="T187" s="9"/>
      <c r="U187" s="9"/>
      <c r="V187" s="9"/>
      <c r="W187" s="9"/>
      <c r="AV187" t="s">
        <v>313</v>
      </c>
      <c r="AW187" t="s">
        <v>2</v>
      </c>
      <c r="AX187" s="9">
        <v>170.43</v>
      </c>
      <c r="AY187" s="9"/>
      <c r="AZ187" s="9"/>
      <c r="BA187" s="9"/>
      <c r="BB187" s="9"/>
      <c r="BC187" s="9"/>
      <c r="BD187" s="9"/>
      <c r="BE187" s="9"/>
      <c r="BF187" s="9"/>
      <c r="BG187" s="9"/>
      <c r="BH187" s="9"/>
    </row>
    <row r="188" spans="1:60" x14ac:dyDescent="0.3">
      <c r="A188" s="162" t="s">
        <v>260</v>
      </c>
      <c r="B188" s="148" t="s">
        <v>1</v>
      </c>
      <c r="C188" s="148">
        <v>9</v>
      </c>
      <c r="D188" s="121">
        <v>295.33999999999997</v>
      </c>
      <c r="E188" s="122">
        <v>354.41</v>
      </c>
      <c r="F188" s="148">
        <v>800</v>
      </c>
      <c r="G188" s="150">
        <v>45931</v>
      </c>
      <c r="H188" s="30"/>
      <c r="I18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3189.67</v>
      </c>
      <c r="L188" t="s">
        <v>1</v>
      </c>
      <c r="M188" s="9">
        <v>480.24</v>
      </c>
      <c r="N188" s="9"/>
      <c r="O188" s="9"/>
      <c r="P188" s="9"/>
      <c r="Q188" s="9"/>
      <c r="R188" s="9"/>
      <c r="S188" s="9"/>
      <c r="T188" s="9"/>
      <c r="U188" s="9"/>
      <c r="V188" s="9"/>
      <c r="W188" s="9"/>
      <c r="AW188" t="s">
        <v>1</v>
      </c>
      <c r="AX188" s="9">
        <v>400.2</v>
      </c>
      <c r="AY188" s="9"/>
      <c r="AZ188" s="9"/>
      <c r="BA188" s="9"/>
      <c r="BB188" s="9"/>
      <c r="BC188" s="9"/>
      <c r="BD188" s="9"/>
      <c r="BE188" s="9"/>
      <c r="BF188" s="9"/>
      <c r="BG188" s="9"/>
      <c r="BH188" s="9"/>
    </row>
    <row r="189" spans="1:60" x14ac:dyDescent="0.3">
      <c r="A189" s="162" t="s">
        <v>260</v>
      </c>
      <c r="B189" s="148" t="s">
        <v>1</v>
      </c>
      <c r="C189" s="148">
        <v>10</v>
      </c>
      <c r="D189" s="121">
        <v>275.86</v>
      </c>
      <c r="E189" s="122">
        <v>331.03</v>
      </c>
      <c r="F189" s="148">
        <v>800</v>
      </c>
      <c r="G189" s="150">
        <v>45931</v>
      </c>
      <c r="H189" s="30"/>
      <c r="I18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3310.32</v>
      </c>
      <c r="L189" t="s">
        <v>3</v>
      </c>
      <c r="M189" s="9">
        <v>85.08</v>
      </c>
      <c r="N189" s="9"/>
      <c r="O189" s="9"/>
      <c r="P189" s="9"/>
      <c r="Q189" s="9"/>
      <c r="R189" s="9"/>
      <c r="S189" s="9"/>
      <c r="T189" s="9"/>
      <c r="U189" s="9"/>
      <c r="V189" s="9"/>
      <c r="W189" s="9"/>
      <c r="AW189" t="s">
        <v>3</v>
      </c>
      <c r="AX189" s="9">
        <v>70.900000000000006</v>
      </c>
      <c r="AY189" s="9"/>
      <c r="AZ189" s="9"/>
      <c r="BA189" s="9"/>
      <c r="BB189" s="9"/>
      <c r="BC189" s="9"/>
      <c r="BD189" s="9"/>
      <c r="BE189" s="9"/>
      <c r="BF189" s="9"/>
      <c r="BG189" s="9"/>
      <c r="BH189" s="9"/>
    </row>
    <row r="190" spans="1:60" x14ac:dyDescent="0.3">
      <c r="A190" s="162" t="s">
        <v>260</v>
      </c>
      <c r="B190" s="148" t="s">
        <v>2</v>
      </c>
      <c r="C190" s="148">
        <v>1</v>
      </c>
      <c r="D190" s="121">
        <v>459.05</v>
      </c>
      <c r="E190" s="122">
        <v>550.86</v>
      </c>
      <c r="F190" s="148">
        <v>400</v>
      </c>
      <c r="G190" s="150">
        <v>45931</v>
      </c>
      <c r="H190" s="30"/>
      <c r="I19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550.86</v>
      </c>
      <c r="L190" t="s">
        <v>74</v>
      </c>
      <c r="M190" s="9">
        <v>237.43</v>
      </c>
      <c r="N190" s="9"/>
      <c r="O190" s="9"/>
      <c r="P190" s="9"/>
      <c r="Q190" s="9"/>
      <c r="R190" s="9"/>
      <c r="S190" s="9"/>
      <c r="T190" s="9"/>
      <c r="U190" s="9"/>
      <c r="V190" s="9"/>
      <c r="W190" s="9"/>
      <c r="AW190" t="s">
        <v>74</v>
      </c>
      <c r="AX190" s="9">
        <v>197.86</v>
      </c>
      <c r="AY190" s="9"/>
      <c r="AZ190" s="9"/>
      <c r="BA190" s="9"/>
      <c r="BB190" s="9"/>
      <c r="BC190" s="9"/>
      <c r="BD190" s="9"/>
      <c r="BE190" s="9"/>
      <c r="BF190" s="9"/>
      <c r="BG190" s="9"/>
      <c r="BH190" s="9"/>
    </row>
    <row r="191" spans="1:60" x14ac:dyDescent="0.3">
      <c r="A191" s="162" t="s">
        <v>260</v>
      </c>
      <c r="B191" s="148" t="s">
        <v>2</v>
      </c>
      <c r="C191" s="148">
        <v>2</v>
      </c>
      <c r="D191" s="121">
        <v>406.2</v>
      </c>
      <c r="E191" s="122">
        <v>487.44</v>
      </c>
      <c r="F191" s="148">
        <v>400</v>
      </c>
      <c r="G191" s="150">
        <v>45931</v>
      </c>
      <c r="H191" s="30"/>
      <c r="I19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974.88</v>
      </c>
      <c r="K191" t="s">
        <v>314</v>
      </c>
      <c r="L191" t="s">
        <v>2</v>
      </c>
      <c r="M191" s="9">
        <v>93.92</v>
      </c>
      <c r="N191" s="9"/>
      <c r="O191" s="9"/>
      <c r="P191" s="9"/>
      <c r="Q191" s="9"/>
      <c r="R191" s="9"/>
      <c r="S191" s="9"/>
      <c r="T191" s="9"/>
      <c r="U191" s="9"/>
      <c r="V191" s="9"/>
      <c r="W191" s="9"/>
      <c r="AV191" t="s">
        <v>314</v>
      </c>
      <c r="AW191" t="s">
        <v>2</v>
      </c>
      <c r="AX191" s="9">
        <v>78.27</v>
      </c>
      <c r="AY191" s="9"/>
      <c r="AZ191" s="9"/>
      <c r="BA191" s="9"/>
      <c r="BB191" s="9"/>
      <c r="BC191" s="9"/>
      <c r="BD191" s="9"/>
      <c r="BE191" s="9"/>
      <c r="BF191" s="9"/>
      <c r="BG191" s="9"/>
      <c r="BH191" s="9"/>
    </row>
    <row r="192" spans="1:60" x14ac:dyDescent="0.3">
      <c r="A192" s="162" t="s">
        <v>260</v>
      </c>
      <c r="B192" s="148" t="s">
        <v>2</v>
      </c>
      <c r="C192" s="148">
        <v>3</v>
      </c>
      <c r="D192" s="121">
        <v>359.37</v>
      </c>
      <c r="E192" s="122">
        <v>431.24</v>
      </c>
      <c r="F192" s="148">
        <v>400</v>
      </c>
      <c r="G192" s="150">
        <v>45931</v>
      </c>
      <c r="H192" s="30"/>
      <c r="I19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1293.73</v>
      </c>
      <c r="L192" t="s">
        <v>1</v>
      </c>
      <c r="M192" s="9">
        <v>236.53</v>
      </c>
      <c r="N192" s="9"/>
      <c r="O192" s="9"/>
      <c r="P192" s="9"/>
      <c r="Q192" s="9"/>
      <c r="R192" s="9"/>
      <c r="S192" s="9"/>
      <c r="T192" s="9"/>
      <c r="U192" s="9"/>
      <c r="V192" s="9"/>
      <c r="W192" s="9"/>
      <c r="AW192" t="s">
        <v>1</v>
      </c>
      <c r="AX192" s="9">
        <v>197.11</v>
      </c>
      <c r="AY192" s="9"/>
      <c r="AZ192" s="9"/>
      <c r="BA192" s="9"/>
      <c r="BB192" s="9"/>
      <c r="BC192" s="9"/>
      <c r="BD192" s="9"/>
      <c r="BE192" s="9"/>
      <c r="BF192" s="9"/>
      <c r="BG192" s="9"/>
      <c r="BH192" s="9"/>
    </row>
    <row r="193" spans="1:60" x14ac:dyDescent="0.3">
      <c r="A193" s="162" t="s">
        <v>260</v>
      </c>
      <c r="B193" s="148" t="s">
        <v>2</v>
      </c>
      <c r="C193" s="148">
        <v>4</v>
      </c>
      <c r="D193" s="121">
        <v>317.91000000000003</v>
      </c>
      <c r="E193" s="122">
        <v>381.49</v>
      </c>
      <c r="F193" s="148">
        <v>400</v>
      </c>
      <c r="G193" s="150">
        <v>45931</v>
      </c>
      <c r="H193" s="30"/>
      <c r="I19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1525.97</v>
      </c>
      <c r="L193" t="s">
        <v>3</v>
      </c>
      <c r="M193" s="9">
        <v>41.17</v>
      </c>
      <c r="N193" s="9"/>
      <c r="O193" s="9"/>
      <c r="P193" s="9"/>
      <c r="Q193" s="9"/>
      <c r="R193" s="9"/>
      <c r="S193" s="9"/>
      <c r="T193" s="9"/>
      <c r="U193" s="9"/>
      <c r="V193" s="9"/>
      <c r="W193" s="9"/>
      <c r="AW193" t="s">
        <v>3</v>
      </c>
      <c r="AX193" s="9">
        <v>34.31</v>
      </c>
      <c r="AY193" s="9"/>
      <c r="AZ193" s="9"/>
      <c r="BA193" s="9"/>
      <c r="BB193" s="9"/>
      <c r="BC193" s="9"/>
      <c r="BD193" s="9"/>
      <c r="BE193" s="9"/>
      <c r="BF193" s="9"/>
      <c r="BG193" s="9"/>
      <c r="BH193" s="9"/>
    </row>
    <row r="194" spans="1:60" x14ac:dyDescent="0.3">
      <c r="A194" s="162" t="s">
        <v>260</v>
      </c>
      <c r="B194" s="148" t="s">
        <v>2</v>
      </c>
      <c r="C194" s="148">
        <v>5</v>
      </c>
      <c r="D194" s="121">
        <v>281.17</v>
      </c>
      <c r="E194" s="122">
        <v>337.4</v>
      </c>
      <c r="F194" s="148">
        <v>400</v>
      </c>
      <c r="G194" s="150">
        <v>45931</v>
      </c>
      <c r="H194" s="30"/>
      <c r="I19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1687.02</v>
      </c>
      <c r="L194" t="s">
        <v>74</v>
      </c>
      <c r="M194" s="9">
        <v>109.21</v>
      </c>
      <c r="N194" s="9"/>
      <c r="O194" s="9"/>
      <c r="P194" s="9"/>
      <c r="Q194" s="9"/>
      <c r="R194" s="9"/>
      <c r="S194" s="9"/>
      <c r="T194" s="9"/>
      <c r="U194" s="9"/>
      <c r="V194" s="9"/>
      <c r="W194" s="9"/>
      <c r="AW194" t="s">
        <v>74</v>
      </c>
      <c r="AX194" s="9">
        <v>91.01</v>
      </c>
      <c r="AY194" s="9"/>
      <c r="AZ194" s="9"/>
      <c r="BA194" s="9"/>
      <c r="BB194" s="9"/>
      <c r="BC194" s="9"/>
      <c r="BD194" s="9"/>
      <c r="BE194" s="9"/>
      <c r="BF194" s="9"/>
      <c r="BG194" s="9"/>
      <c r="BH194" s="9"/>
    </row>
    <row r="195" spans="1:60" x14ac:dyDescent="0.3">
      <c r="A195" s="162" t="s">
        <v>260</v>
      </c>
      <c r="B195" s="148" t="s">
        <v>2</v>
      </c>
      <c r="C195" s="148">
        <v>6</v>
      </c>
      <c r="D195" s="121">
        <v>248.67</v>
      </c>
      <c r="E195" s="122">
        <v>298.39999999999998</v>
      </c>
      <c r="F195" s="148">
        <v>400</v>
      </c>
      <c r="G195" s="150">
        <v>45931</v>
      </c>
      <c r="H195" s="30"/>
      <c r="I19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1790.42</v>
      </c>
      <c r="K195" t="s">
        <v>315</v>
      </c>
      <c r="L195" t="s">
        <v>2</v>
      </c>
      <c r="M195" s="9">
        <v>204.52</v>
      </c>
      <c r="N195" s="9"/>
      <c r="O195" s="9"/>
      <c r="P195" s="9"/>
      <c r="Q195" s="9"/>
      <c r="R195" s="9"/>
      <c r="S195" s="9"/>
      <c r="T195" s="9"/>
      <c r="U195" s="9"/>
      <c r="V195" s="9"/>
      <c r="W195" s="9"/>
      <c r="AV195" t="s">
        <v>315</v>
      </c>
      <c r="AW195" t="s">
        <v>2</v>
      </c>
      <c r="AX195" s="9">
        <v>170.43</v>
      </c>
      <c r="AY195" s="9"/>
      <c r="AZ195" s="9"/>
      <c r="BA195" s="9"/>
      <c r="BB195" s="9"/>
      <c r="BC195" s="9"/>
      <c r="BD195" s="9"/>
      <c r="BE195" s="9"/>
      <c r="BF195" s="9"/>
      <c r="BG195" s="9"/>
      <c r="BH195" s="9"/>
    </row>
    <row r="196" spans="1:60" x14ac:dyDescent="0.3">
      <c r="A196" s="162" t="s">
        <v>260</v>
      </c>
      <c r="B196" s="148" t="s">
        <v>2</v>
      </c>
      <c r="C196" s="148">
        <v>7</v>
      </c>
      <c r="D196" s="121">
        <v>219.25</v>
      </c>
      <c r="E196" s="122">
        <v>263.10000000000002</v>
      </c>
      <c r="F196" s="148">
        <v>400</v>
      </c>
      <c r="G196" s="150">
        <v>45931</v>
      </c>
      <c r="H196" s="30"/>
      <c r="I19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1841.7</v>
      </c>
      <c r="L196" t="s">
        <v>1</v>
      </c>
      <c r="M196" s="9">
        <v>480.24</v>
      </c>
      <c r="N196" s="9"/>
      <c r="O196" s="9"/>
      <c r="P196" s="9"/>
      <c r="Q196" s="9"/>
      <c r="R196" s="9"/>
      <c r="S196" s="9"/>
      <c r="T196" s="9"/>
      <c r="U196" s="9"/>
      <c r="V196" s="9"/>
      <c r="W196" s="9"/>
      <c r="AW196" t="s">
        <v>1</v>
      </c>
      <c r="AX196" s="9">
        <v>400.2</v>
      </c>
      <c r="AY196" s="9"/>
      <c r="AZ196" s="9"/>
      <c r="BA196" s="9"/>
      <c r="BB196" s="9"/>
      <c r="BC196" s="9"/>
      <c r="BD196" s="9"/>
      <c r="BE196" s="9"/>
      <c r="BF196" s="9"/>
      <c r="BG196" s="9"/>
      <c r="BH196" s="9"/>
    </row>
    <row r="197" spans="1:60" x14ac:dyDescent="0.3">
      <c r="A197" s="162" t="s">
        <v>260</v>
      </c>
      <c r="B197" s="148" t="s">
        <v>2</v>
      </c>
      <c r="C197" s="148">
        <v>8</v>
      </c>
      <c r="D197" s="121">
        <v>195.68</v>
      </c>
      <c r="E197" s="122">
        <v>234.82</v>
      </c>
      <c r="F197" s="148">
        <v>400</v>
      </c>
      <c r="G197" s="150">
        <v>45931</v>
      </c>
      <c r="H197" s="30"/>
      <c r="I19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1878.53</v>
      </c>
      <c r="L197" t="s">
        <v>3</v>
      </c>
      <c r="M197" s="9">
        <v>85.08</v>
      </c>
      <c r="N197" s="9"/>
      <c r="O197" s="9"/>
      <c r="P197" s="9"/>
      <c r="Q197" s="9"/>
      <c r="R197" s="9"/>
      <c r="S197" s="9"/>
      <c r="T197" s="9"/>
      <c r="U197" s="9"/>
      <c r="V197" s="9"/>
      <c r="W197" s="9"/>
      <c r="AW197" t="s">
        <v>3</v>
      </c>
      <c r="AX197" s="9">
        <v>70.900000000000006</v>
      </c>
      <c r="AY197" s="9"/>
      <c r="AZ197" s="9"/>
      <c r="BA197" s="9"/>
      <c r="BB197" s="9"/>
      <c r="BC197" s="9"/>
      <c r="BD197" s="9"/>
      <c r="BE197" s="9"/>
      <c r="BF197" s="9"/>
      <c r="BG197" s="9"/>
      <c r="BH197" s="9"/>
    </row>
    <row r="198" spans="1:60" x14ac:dyDescent="0.3">
      <c r="A198" s="162" t="s">
        <v>260</v>
      </c>
      <c r="B198" s="148" t="s">
        <v>2</v>
      </c>
      <c r="C198" s="148">
        <v>9</v>
      </c>
      <c r="D198" s="121">
        <v>177.65</v>
      </c>
      <c r="E198" s="122">
        <v>213.18</v>
      </c>
      <c r="F198" s="148">
        <v>400</v>
      </c>
      <c r="G198" s="150">
        <v>45931</v>
      </c>
      <c r="H198" s="30"/>
      <c r="I19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1918.62</v>
      </c>
      <c r="L198" t="s">
        <v>74</v>
      </c>
      <c r="M198" s="9">
        <v>237.43</v>
      </c>
      <c r="N198" s="9"/>
      <c r="O198" s="9"/>
      <c r="P198" s="9"/>
      <c r="Q198" s="9"/>
      <c r="R198" s="9"/>
      <c r="S198" s="9"/>
      <c r="T198" s="9"/>
      <c r="U198" s="9"/>
      <c r="V198" s="9"/>
      <c r="W198" s="9"/>
      <c r="AW198" t="s">
        <v>74</v>
      </c>
      <c r="AX198" s="9">
        <v>197.86</v>
      </c>
      <c r="AY198" s="9"/>
      <c r="AZ198" s="9"/>
      <c r="BA198" s="9"/>
      <c r="BB198" s="9"/>
      <c r="BC198" s="9"/>
      <c r="BD198" s="9"/>
      <c r="BE198" s="9"/>
      <c r="BF198" s="9"/>
      <c r="BG198" s="9"/>
      <c r="BH198" s="9"/>
    </row>
    <row r="199" spans="1:60" x14ac:dyDescent="0.3">
      <c r="A199" s="162" t="s">
        <v>260</v>
      </c>
      <c r="B199" s="148" t="s">
        <v>2</v>
      </c>
      <c r="C199" s="148">
        <v>10</v>
      </c>
      <c r="D199" s="121">
        <v>165.52</v>
      </c>
      <c r="E199" s="122">
        <v>198.62</v>
      </c>
      <c r="F199" s="148">
        <v>400</v>
      </c>
      <c r="G199" s="150">
        <v>45931</v>
      </c>
      <c r="H199" s="30"/>
      <c r="I19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1986.24</v>
      </c>
      <c r="K199" t="s">
        <v>316</v>
      </c>
      <c r="L199" t="s">
        <v>251</v>
      </c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>
        <v>15.61</v>
      </c>
      <c r="AV199" t="s">
        <v>316</v>
      </c>
      <c r="AW199" t="s">
        <v>251</v>
      </c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>
        <v>13.01</v>
      </c>
    </row>
    <row r="200" spans="1:60" x14ac:dyDescent="0.3">
      <c r="A200" s="162" t="s">
        <v>260</v>
      </c>
      <c r="B200" s="148" t="s">
        <v>16</v>
      </c>
      <c r="C200" s="148">
        <v>1</v>
      </c>
      <c r="D200" s="121">
        <v>55.63</v>
      </c>
      <c r="E200" s="122">
        <v>66.760000000000005</v>
      </c>
      <c r="F200" s="148">
        <v>60</v>
      </c>
      <c r="G200" s="150">
        <v>45931</v>
      </c>
      <c r="H200" s="30"/>
      <c r="I20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66.760000000000005</v>
      </c>
      <c r="K200" t="s">
        <v>318</v>
      </c>
      <c r="L200" t="s">
        <v>251</v>
      </c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>
        <v>15.61</v>
      </c>
      <c r="AV200" t="s">
        <v>318</v>
      </c>
      <c r="AW200" t="s">
        <v>251</v>
      </c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>
        <v>13.01</v>
      </c>
    </row>
    <row r="201" spans="1:60" x14ac:dyDescent="0.3">
      <c r="A201" s="162" t="s">
        <v>260</v>
      </c>
      <c r="B201" s="148" t="s">
        <v>16</v>
      </c>
      <c r="C201" s="148">
        <v>2</v>
      </c>
      <c r="D201" s="121">
        <v>51.11</v>
      </c>
      <c r="E201" s="122">
        <v>61.33</v>
      </c>
      <c r="F201" s="148">
        <v>60</v>
      </c>
      <c r="G201" s="150">
        <v>45931</v>
      </c>
      <c r="H201" s="30"/>
      <c r="I20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122.66</v>
      </c>
      <c r="J201" s="8">
        <v>45931</v>
      </c>
      <c r="K201" t="s">
        <v>11</v>
      </c>
      <c r="L201" t="s">
        <v>16</v>
      </c>
      <c r="M201" s="9">
        <v>66.760000000000005</v>
      </c>
      <c r="N201" s="9">
        <v>61.33</v>
      </c>
      <c r="O201" s="9">
        <v>56.3</v>
      </c>
      <c r="P201" s="9">
        <v>51.79</v>
      </c>
      <c r="Q201" s="9">
        <v>47.56</v>
      </c>
      <c r="R201" s="9">
        <v>43.7</v>
      </c>
      <c r="S201" s="9">
        <v>39.35</v>
      </c>
      <c r="T201" s="9">
        <v>35.4</v>
      </c>
      <c r="U201" s="9">
        <v>31.86</v>
      </c>
      <c r="V201" s="9">
        <v>28.99</v>
      </c>
      <c r="W201" s="9"/>
      <c r="AU201" s="8">
        <v>45931</v>
      </c>
      <c r="AV201" t="s">
        <v>11</v>
      </c>
      <c r="AW201" t="s">
        <v>16</v>
      </c>
      <c r="AX201" s="9">
        <v>55.63</v>
      </c>
      <c r="AY201" s="9">
        <v>51.11</v>
      </c>
      <c r="AZ201" s="9">
        <v>46.92</v>
      </c>
      <c r="BA201" s="9">
        <v>43.16</v>
      </c>
      <c r="BB201" s="9">
        <v>39.630000000000003</v>
      </c>
      <c r="BC201" s="9">
        <v>36.42</v>
      </c>
      <c r="BD201" s="9">
        <v>32.79</v>
      </c>
      <c r="BE201" s="9">
        <v>29.5</v>
      </c>
      <c r="BF201" s="9">
        <v>26.55</v>
      </c>
      <c r="BG201" s="9">
        <v>24.16</v>
      </c>
      <c r="BH201" s="9"/>
    </row>
    <row r="202" spans="1:60" x14ac:dyDescent="0.3">
      <c r="A202" s="162" t="s">
        <v>260</v>
      </c>
      <c r="B202" s="148" t="s">
        <v>16</v>
      </c>
      <c r="C202" s="148">
        <v>3</v>
      </c>
      <c r="D202" s="121">
        <v>46.92</v>
      </c>
      <c r="E202" s="122">
        <v>56.3</v>
      </c>
      <c r="F202" s="148">
        <v>60</v>
      </c>
      <c r="G202" s="150">
        <v>45931</v>
      </c>
      <c r="H202" s="30"/>
      <c r="I20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168.91</v>
      </c>
      <c r="L202" t="s">
        <v>2</v>
      </c>
      <c r="M202" s="9">
        <v>550.86</v>
      </c>
      <c r="N202" s="9">
        <v>487.44</v>
      </c>
      <c r="O202" s="9">
        <v>431.24</v>
      </c>
      <c r="P202" s="9">
        <v>381.49</v>
      </c>
      <c r="Q202" s="9">
        <v>337.4</v>
      </c>
      <c r="R202" s="9">
        <v>298.39999999999998</v>
      </c>
      <c r="S202" s="9">
        <v>263.10000000000002</v>
      </c>
      <c r="T202" s="9">
        <v>234.82</v>
      </c>
      <c r="U202" s="9">
        <v>213.18</v>
      </c>
      <c r="V202" s="9">
        <v>198.62</v>
      </c>
      <c r="W202" s="9"/>
      <c r="AW202" t="s">
        <v>2</v>
      </c>
      <c r="AX202" s="9">
        <v>459.05</v>
      </c>
      <c r="AY202" s="9">
        <v>406.2</v>
      </c>
      <c r="AZ202" s="9">
        <v>359.37</v>
      </c>
      <c r="BA202" s="9">
        <v>317.91000000000003</v>
      </c>
      <c r="BB202" s="9">
        <v>281.17</v>
      </c>
      <c r="BC202" s="9">
        <v>248.67</v>
      </c>
      <c r="BD202" s="9">
        <v>219.25</v>
      </c>
      <c r="BE202" s="9">
        <v>195.68</v>
      </c>
      <c r="BF202" s="9">
        <v>177.65</v>
      </c>
      <c r="BG202" s="9">
        <v>165.52</v>
      </c>
      <c r="BH202" s="9"/>
    </row>
    <row r="203" spans="1:60" x14ac:dyDescent="0.3">
      <c r="A203" s="162" t="s">
        <v>260</v>
      </c>
      <c r="B203" s="148" t="s">
        <v>16</v>
      </c>
      <c r="C203" s="148">
        <v>4</v>
      </c>
      <c r="D203" s="121">
        <v>43.16</v>
      </c>
      <c r="E203" s="122">
        <v>51.79</v>
      </c>
      <c r="F203" s="148">
        <v>60</v>
      </c>
      <c r="G203" s="150">
        <v>45931</v>
      </c>
      <c r="H203" s="30"/>
      <c r="I20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207.17</v>
      </c>
      <c r="L203" t="s">
        <v>1</v>
      </c>
      <c r="M203" s="9">
        <v>898.5</v>
      </c>
      <c r="N203" s="9">
        <v>796.84</v>
      </c>
      <c r="O203" s="9">
        <v>706.68</v>
      </c>
      <c r="P203" s="9">
        <v>626.69000000000005</v>
      </c>
      <c r="Q203" s="9">
        <v>555.66</v>
      </c>
      <c r="R203" s="9">
        <v>492.54</v>
      </c>
      <c r="S203" s="9">
        <v>435.42</v>
      </c>
      <c r="T203" s="9">
        <v>389.56</v>
      </c>
      <c r="U203" s="9">
        <v>354.41</v>
      </c>
      <c r="V203" s="9">
        <v>331.03</v>
      </c>
      <c r="W203" s="9"/>
      <c r="AW203" t="s">
        <v>1</v>
      </c>
      <c r="AX203" s="9">
        <v>748.75</v>
      </c>
      <c r="AY203" s="9">
        <v>664.03</v>
      </c>
      <c r="AZ203" s="9">
        <v>588.9</v>
      </c>
      <c r="BA203" s="9">
        <v>522.24</v>
      </c>
      <c r="BB203" s="9">
        <v>463.05</v>
      </c>
      <c r="BC203" s="9">
        <v>410.45</v>
      </c>
      <c r="BD203" s="9">
        <v>362.85</v>
      </c>
      <c r="BE203" s="9">
        <v>324.63</v>
      </c>
      <c r="BF203" s="9">
        <v>295.33999999999997</v>
      </c>
      <c r="BG203" s="9">
        <v>275.86</v>
      </c>
      <c r="BH203" s="9"/>
    </row>
    <row r="204" spans="1:60" x14ac:dyDescent="0.3">
      <c r="A204" s="162" t="s">
        <v>260</v>
      </c>
      <c r="B204" s="148" t="s">
        <v>16</v>
      </c>
      <c r="C204" s="148">
        <v>5</v>
      </c>
      <c r="D204" s="121">
        <v>39.630000000000003</v>
      </c>
      <c r="E204" s="122">
        <v>47.56</v>
      </c>
      <c r="F204" s="148">
        <v>60</v>
      </c>
      <c r="G204" s="150">
        <v>45931</v>
      </c>
      <c r="H204" s="30"/>
      <c r="I20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237.78</v>
      </c>
      <c r="K204" t="s">
        <v>10</v>
      </c>
      <c r="L204" t="s">
        <v>2</v>
      </c>
      <c r="M204" s="9">
        <v>145.69</v>
      </c>
      <c r="N204" s="9">
        <v>121.39</v>
      </c>
      <c r="O204" s="9">
        <v>94.74</v>
      </c>
      <c r="P204" s="9">
        <v>82.18</v>
      </c>
      <c r="Q204" s="9">
        <v>70.989999999999995</v>
      </c>
      <c r="R204" s="9"/>
      <c r="S204" s="9"/>
      <c r="T204" s="9"/>
      <c r="U204" s="9"/>
      <c r="V204" s="9"/>
      <c r="W204" s="9"/>
      <c r="AV204" t="s">
        <v>10</v>
      </c>
      <c r="AW204" t="s">
        <v>2</v>
      </c>
      <c r="AX204" s="9">
        <v>121.41</v>
      </c>
      <c r="AY204" s="9">
        <v>101.16</v>
      </c>
      <c r="AZ204" s="9">
        <v>78.95</v>
      </c>
      <c r="BA204" s="9">
        <v>68.48</v>
      </c>
      <c r="BB204" s="9">
        <v>59.16</v>
      </c>
      <c r="BC204" s="9"/>
      <c r="BD204" s="9"/>
      <c r="BE204" s="9"/>
      <c r="BF204" s="9"/>
      <c r="BG204" s="9"/>
      <c r="BH204" s="9"/>
    </row>
    <row r="205" spans="1:60" x14ac:dyDescent="0.3">
      <c r="A205" s="162" t="s">
        <v>260</v>
      </c>
      <c r="B205" s="148" t="s">
        <v>16</v>
      </c>
      <c r="C205" s="148">
        <v>6</v>
      </c>
      <c r="D205" s="121">
        <v>36.42</v>
      </c>
      <c r="E205" s="122">
        <v>43.7</v>
      </c>
      <c r="F205" s="148">
        <v>60</v>
      </c>
      <c r="G205" s="150">
        <v>45931</v>
      </c>
      <c r="H205" s="30"/>
      <c r="I20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262.22000000000003</v>
      </c>
      <c r="L205" t="s">
        <v>1</v>
      </c>
      <c r="M205" s="9">
        <v>246.77</v>
      </c>
      <c r="N205" s="9">
        <v>205.96</v>
      </c>
      <c r="O205" s="9">
        <v>161.19999999999999</v>
      </c>
      <c r="P205" s="9">
        <v>140.12</v>
      </c>
      <c r="Q205" s="9">
        <v>121.36</v>
      </c>
      <c r="R205" s="9"/>
      <c r="S205" s="9"/>
      <c r="T205" s="9"/>
      <c r="U205" s="9"/>
      <c r="V205" s="9"/>
      <c r="W205" s="9"/>
      <c r="AW205" t="s">
        <v>1</v>
      </c>
      <c r="AX205" s="9">
        <v>205.64</v>
      </c>
      <c r="AY205" s="9">
        <v>171.63</v>
      </c>
      <c r="AZ205" s="9">
        <v>134.33000000000001</v>
      </c>
      <c r="BA205" s="9">
        <v>116.77</v>
      </c>
      <c r="BB205" s="9">
        <v>101.13</v>
      </c>
      <c r="BC205" s="9"/>
      <c r="BD205" s="9"/>
      <c r="BE205" s="9"/>
      <c r="BF205" s="9"/>
      <c r="BG205" s="9"/>
      <c r="BH205" s="9"/>
    </row>
    <row r="206" spans="1:60" x14ac:dyDescent="0.3">
      <c r="A206" s="162" t="s">
        <v>260</v>
      </c>
      <c r="B206" s="148" t="s">
        <v>16</v>
      </c>
      <c r="C206" s="148">
        <v>7</v>
      </c>
      <c r="D206" s="121">
        <v>32.79</v>
      </c>
      <c r="E206" s="122">
        <v>39.35</v>
      </c>
      <c r="F206" s="148">
        <v>60</v>
      </c>
      <c r="G206" s="150">
        <v>45931</v>
      </c>
      <c r="H206" s="30"/>
      <c r="I20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275.44</v>
      </c>
      <c r="L206" t="s">
        <v>3</v>
      </c>
      <c r="M206" s="9">
        <v>37.86</v>
      </c>
      <c r="N206" s="9">
        <v>34.82</v>
      </c>
      <c r="O206" s="9">
        <v>34.630000000000003</v>
      </c>
      <c r="P206" s="9"/>
      <c r="Q206" s="9"/>
      <c r="R206" s="9"/>
      <c r="S206" s="9"/>
      <c r="T206" s="9"/>
      <c r="U206" s="9"/>
      <c r="V206" s="9"/>
      <c r="W206" s="9"/>
      <c r="AW206" t="s">
        <v>3</v>
      </c>
      <c r="AX206" s="9">
        <v>31.55</v>
      </c>
      <c r="AY206" s="9">
        <v>29.02</v>
      </c>
      <c r="AZ206" s="9">
        <v>28.86</v>
      </c>
      <c r="BA206" s="9"/>
      <c r="BB206" s="9"/>
      <c r="BC206" s="9"/>
      <c r="BD206" s="9"/>
      <c r="BE206" s="9"/>
      <c r="BF206" s="9"/>
      <c r="BG206" s="9"/>
      <c r="BH206" s="9"/>
    </row>
    <row r="207" spans="1:60" x14ac:dyDescent="0.3">
      <c r="A207" s="162" t="s">
        <v>260</v>
      </c>
      <c r="B207" s="148" t="s">
        <v>16</v>
      </c>
      <c r="C207" s="148">
        <v>8</v>
      </c>
      <c r="D207" s="121">
        <v>29.5</v>
      </c>
      <c r="E207" s="122">
        <v>35.4</v>
      </c>
      <c r="F207" s="148">
        <v>60</v>
      </c>
      <c r="G207" s="150">
        <v>45931</v>
      </c>
      <c r="H207" s="30"/>
      <c r="I20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283.2</v>
      </c>
      <c r="K207" t="s">
        <v>4</v>
      </c>
      <c r="L207" t="s">
        <v>16</v>
      </c>
      <c r="M207" s="9">
        <v>43.8</v>
      </c>
      <c r="N207" s="9">
        <v>40.270000000000003</v>
      </c>
      <c r="O207" s="9">
        <v>40.08</v>
      </c>
      <c r="P207" s="9">
        <v>39.94</v>
      </c>
      <c r="Q207" s="9">
        <v>39.71</v>
      </c>
      <c r="R207" s="9"/>
      <c r="S207" s="9"/>
      <c r="T207" s="9"/>
      <c r="U207" s="9"/>
      <c r="V207" s="9"/>
      <c r="W207" s="9"/>
      <c r="AV207" t="s">
        <v>4</v>
      </c>
      <c r="AW207" t="s">
        <v>16</v>
      </c>
      <c r="AX207" s="9">
        <v>36.5</v>
      </c>
      <c r="AY207" s="9">
        <v>33.56</v>
      </c>
      <c r="AZ207" s="9">
        <v>33.4</v>
      </c>
      <c r="BA207" s="9">
        <v>33.28</v>
      </c>
      <c r="BB207" s="9">
        <v>33.090000000000003</v>
      </c>
      <c r="BC207" s="9"/>
      <c r="BD207" s="9"/>
      <c r="BE207" s="9"/>
      <c r="BF207" s="9"/>
      <c r="BG207" s="9"/>
      <c r="BH207" s="9"/>
    </row>
    <row r="208" spans="1:60" x14ac:dyDescent="0.3">
      <c r="A208" s="162" t="s">
        <v>260</v>
      </c>
      <c r="B208" s="148" t="s">
        <v>16</v>
      </c>
      <c r="C208" s="148">
        <v>9</v>
      </c>
      <c r="D208" s="121">
        <v>26.55</v>
      </c>
      <c r="E208" s="122">
        <v>31.86</v>
      </c>
      <c r="F208" s="148">
        <v>60</v>
      </c>
      <c r="G208" s="150">
        <v>45931</v>
      </c>
      <c r="H208" s="30"/>
      <c r="I20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286.74</v>
      </c>
      <c r="L208" t="s">
        <v>2</v>
      </c>
      <c r="M208" s="9">
        <v>167.66</v>
      </c>
      <c r="N208" s="9">
        <v>139.58000000000001</v>
      </c>
      <c r="O208" s="9">
        <v>108.97</v>
      </c>
      <c r="P208" s="9">
        <v>94.48</v>
      </c>
      <c r="Q208" s="9">
        <v>81.59</v>
      </c>
      <c r="R208" s="9">
        <v>81.22</v>
      </c>
      <c r="S208" s="9">
        <v>79.19</v>
      </c>
      <c r="T208" s="9">
        <v>77.22</v>
      </c>
      <c r="U208" s="9">
        <v>75.28</v>
      </c>
      <c r="V208" s="9">
        <v>73.42</v>
      </c>
      <c r="W208" s="9"/>
      <c r="AW208" t="s">
        <v>2</v>
      </c>
      <c r="AX208" s="9">
        <v>139.72</v>
      </c>
      <c r="AY208" s="9">
        <v>116.32</v>
      </c>
      <c r="AZ208" s="9">
        <v>90.81</v>
      </c>
      <c r="BA208" s="9">
        <v>78.73</v>
      </c>
      <c r="BB208" s="9">
        <v>67.989999999999995</v>
      </c>
      <c r="BC208" s="9">
        <v>67.680000000000007</v>
      </c>
      <c r="BD208" s="9">
        <v>65.989999999999995</v>
      </c>
      <c r="BE208" s="9">
        <v>64.349999999999994</v>
      </c>
      <c r="BF208" s="9">
        <v>62.73</v>
      </c>
      <c r="BG208" s="9">
        <v>61.18</v>
      </c>
      <c r="BH208" s="9"/>
    </row>
    <row r="209" spans="1:60" x14ac:dyDescent="0.3">
      <c r="A209" s="162" t="s">
        <v>260</v>
      </c>
      <c r="B209" s="148" t="s">
        <v>16</v>
      </c>
      <c r="C209" s="148">
        <v>10</v>
      </c>
      <c r="D209" s="121">
        <v>24.16</v>
      </c>
      <c r="E209" s="122">
        <v>28.99</v>
      </c>
      <c r="F209" s="148">
        <v>60</v>
      </c>
      <c r="G209" s="150">
        <v>45931</v>
      </c>
      <c r="H209" s="30"/>
      <c r="I20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289.92</v>
      </c>
      <c r="L209" t="s">
        <v>1</v>
      </c>
      <c r="M209" s="9">
        <v>305.3</v>
      </c>
      <c r="N209" s="9">
        <v>254.88</v>
      </c>
      <c r="O209" s="9">
        <v>199.45</v>
      </c>
      <c r="P209" s="9">
        <v>173.34</v>
      </c>
      <c r="Q209" s="9">
        <v>150.1</v>
      </c>
      <c r="R209" s="9">
        <v>149.38999999999999</v>
      </c>
      <c r="S209" s="9">
        <v>145.66999999999999</v>
      </c>
      <c r="T209" s="9">
        <v>142</v>
      </c>
      <c r="U209" s="9">
        <v>138.46</v>
      </c>
      <c r="V209" s="9">
        <v>135</v>
      </c>
      <c r="W209" s="9"/>
      <c r="AW209" t="s">
        <v>1</v>
      </c>
      <c r="AX209" s="9">
        <v>254.42</v>
      </c>
      <c r="AY209" s="9">
        <v>212.4</v>
      </c>
      <c r="AZ209" s="9">
        <v>166.21</v>
      </c>
      <c r="BA209" s="9">
        <v>144.44999999999999</v>
      </c>
      <c r="BB209" s="9">
        <v>125.08</v>
      </c>
      <c r="BC209" s="9">
        <v>124.49</v>
      </c>
      <c r="BD209" s="9">
        <v>121.39</v>
      </c>
      <c r="BE209" s="9">
        <v>118.33</v>
      </c>
      <c r="BF209" s="9">
        <v>115.38</v>
      </c>
      <c r="BG209" s="9">
        <v>112.5</v>
      </c>
      <c r="BH209" s="9"/>
    </row>
    <row r="210" spans="1:60" x14ac:dyDescent="0.3">
      <c r="A210" s="157" t="s">
        <v>252</v>
      </c>
      <c r="B210" s="158"/>
      <c r="C210" s="158"/>
      <c r="D210" s="166">
        <v>13.8</v>
      </c>
      <c r="E210" s="167">
        <v>16.559999999999999</v>
      </c>
      <c r="F210" s="155">
        <v>60</v>
      </c>
      <c r="G210" s="30">
        <v>45931</v>
      </c>
      <c r="H210" s="156"/>
      <c r="I21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16.559999999999999</v>
      </c>
      <c r="K210" t="s">
        <v>9</v>
      </c>
      <c r="L210" t="s">
        <v>16</v>
      </c>
      <c r="M210" s="9">
        <v>57.29</v>
      </c>
      <c r="N210" s="9">
        <v>52.64</v>
      </c>
      <c r="O210" s="9">
        <v>48.4</v>
      </c>
      <c r="P210" s="9">
        <v>44.4</v>
      </c>
      <c r="Q210" s="9">
        <v>40.799999999999997</v>
      </c>
      <c r="R210" s="9">
        <v>37.51</v>
      </c>
      <c r="S210" s="9">
        <v>33.74</v>
      </c>
      <c r="T210" s="9">
        <v>30.35</v>
      </c>
      <c r="U210" s="9">
        <v>27.36</v>
      </c>
      <c r="V210" s="9">
        <v>24.92</v>
      </c>
      <c r="W210" s="9"/>
      <c r="AV210" t="s">
        <v>9</v>
      </c>
      <c r="AW210" t="s">
        <v>16</v>
      </c>
      <c r="AX210" s="9">
        <v>47.74</v>
      </c>
      <c r="AY210" s="9">
        <v>43.87</v>
      </c>
      <c r="AZ210" s="9">
        <v>40.33</v>
      </c>
      <c r="BA210" s="9">
        <v>37</v>
      </c>
      <c r="BB210" s="9">
        <v>34</v>
      </c>
      <c r="BC210" s="9">
        <v>31.26</v>
      </c>
      <c r="BD210" s="9">
        <v>28.12</v>
      </c>
      <c r="BE210" s="9">
        <v>25.29</v>
      </c>
      <c r="BF210" s="9">
        <v>22.8</v>
      </c>
      <c r="BG210" s="9">
        <v>20.77</v>
      </c>
      <c r="BH210" s="9"/>
    </row>
    <row r="211" spans="1:60" x14ac:dyDescent="0.3">
      <c r="A211" s="162" t="s">
        <v>261</v>
      </c>
      <c r="B211" s="148" t="s">
        <v>1</v>
      </c>
      <c r="C211" s="148">
        <v>1</v>
      </c>
      <c r="D211" s="121">
        <v>406.4</v>
      </c>
      <c r="E211" s="122">
        <v>487.68</v>
      </c>
      <c r="F211" s="148">
        <v>800</v>
      </c>
      <c r="G211" s="150">
        <v>45931</v>
      </c>
      <c r="H211" s="150"/>
      <c r="I21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487.68</v>
      </c>
      <c r="L211" t="s">
        <v>2</v>
      </c>
      <c r="M211" s="9">
        <v>333.71</v>
      </c>
      <c r="N211" s="9">
        <v>277.85000000000002</v>
      </c>
      <c r="O211" s="9">
        <v>216.92</v>
      </c>
      <c r="P211" s="9">
        <v>188.2</v>
      </c>
      <c r="Q211" s="9">
        <v>162.55000000000001</v>
      </c>
      <c r="R211" s="9">
        <v>143.74</v>
      </c>
      <c r="S211" s="9">
        <v>126.66</v>
      </c>
      <c r="T211" s="9">
        <v>113.08</v>
      </c>
      <c r="U211" s="9">
        <v>102.67</v>
      </c>
      <c r="V211" s="9">
        <v>95.65</v>
      </c>
      <c r="W211" s="9"/>
      <c r="AW211" t="s">
        <v>2</v>
      </c>
      <c r="AX211" s="9">
        <v>278.08999999999997</v>
      </c>
      <c r="AY211" s="9">
        <v>231.54</v>
      </c>
      <c r="AZ211" s="9">
        <v>180.77</v>
      </c>
      <c r="BA211" s="9">
        <v>156.83000000000001</v>
      </c>
      <c r="BB211" s="9">
        <v>135.46</v>
      </c>
      <c r="BC211" s="9">
        <v>119.78</v>
      </c>
      <c r="BD211" s="9">
        <v>105.55</v>
      </c>
      <c r="BE211" s="9">
        <v>94.23</v>
      </c>
      <c r="BF211" s="9">
        <v>85.56</v>
      </c>
      <c r="BG211" s="9">
        <v>79.709999999999994</v>
      </c>
      <c r="BH211" s="9"/>
    </row>
    <row r="212" spans="1:60" x14ac:dyDescent="0.3">
      <c r="A212" s="162" t="s">
        <v>262</v>
      </c>
      <c r="B212" s="148" t="s">
        <v>1</v>
      </c>
      <c r="C212" s="148">
        <v>1</v>
      </c>
      <c r="D212" s="121">
        <v>518.19000000000005</v>
      </c>
      <c r="E212" s="122">
        <v>621.83000000000004</v>
      </c>
      <c r="F212" s="148">
        <v>800</v>
      </c>
      <c r="G212" s="150">
        <v>45931</v>
      </c>
      <c r="H212" s="150"/>
      <c r="I21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621.83000000000004</v>
      </c>
      <c r="L212" t="s">
        <v>1</v>
      </c>
      <c r="M212" s="9">
        <v>709.33</v>
      </c>
      <c r="N212" s="9">
        <v>592.19000000000005</v>
      </c>
      <c r="O212" s="9">
        <v>463.32</v>
      </c>
      <c r="P212" s="9">
        <v>402.88</v>
      </c>
      <c r="Q212" s="9">
        <v>348.76</v>
      </c>
      <c r="R212" s="9">
        <v>309.24</v>
      </c>
      <c r="S212" s="9">
        <v>273.24</v>
      </c>
      <c r="T212" s="9">
        <v>244.43</v>
      </c>
      <c r="U212" s="9">
        <v>222.56</v>
      </c>
      <c r="V212" s="9">
        <v>207.94</v>
      </c>
      <c r="W212" s="9"/>
      <c r="AW212" t="s">
        <v>1</v>
      </c>
      <c r="AX212" s="9">
        <v>591.11</v>
      </c>
      <c r="AY212" s="9">
        <v>493.49</v>
      </c>
      <c r="AZ212" s="9">
        <v>386.1</v>
      </c>
      <c r="BA212" s="9">
        <v>335.73</v>
      </c>
      <c r="BB212" s="9">
        <v>290.63</v>
      </c>
      <c r="BC212" s="9">
        <v>257.7</v>
      </c>
      <c r="BD212" s="9">
        <v>227.7</v>
      </c>
      <c r="BE212" s="9">
        <v>203.69</v>
      </c>
      <c r="BF212" s="9">
        <v>185.47</v>
      </c>
      <c r="BG212" s="9">
        <v>173.28</v>
      </c>
      <c r="BH212" s="9"/>
    </row>
    <row r="213" spans="1:60" x14ac:dyDescent="0.3">
      <c r="A213" s="162" t="s">
        <v>262</v>
      </c>
      <c r="B213" s="148" t="s">
        <v>2</v>
      </c>
      <c r="C213" s="148">
        <v>1</v>
      </c>
      <c r="D213" s="121">
        <v>203.12</v>
      </c>
      <c r="E213" s="122">
        <v>243.74</v>
      </c>
      <c r="F213" s="148">
        <v>400</v>
      </c>
      <c r="G213" s="150">
        <v>45931</v>
      </c>
      <c r="H213" s="150"/>
      <c r="I21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243.74</v>
      </c>
      <c r="K213" t="s">
        <v>50</v>
      </c>
      <c r="L213" t="s">
        <v>16</v>
      </c>
      <c r="M213" s="9">
        <v>101.72</v>
      </c>
      <c r="N213" s="9"/>
      <c r="O213" s="9"/>
      <c r="P213" s="9"/>
      <c r="Q213" s="9"/>
      <c r="R213" s="9"/>
      <c r="S213" s="9"/>
      <c r="T213" s="9"/>
      <c r="U213" s="9"/>
      <c r="V213" s="9"/>
      <c r="W213" s="9"/>
      <c r="AV213" t="s">
        <v>50</v>
      </c>
      <c r="AW213" t="s">
        <v>16</v>
      </c>
      <c r="AX213" s="9">
        <v>84.77</v>
      </c>
      <c r="AY213" s="9"/>
      <c r="AZ213" s="9"/>
      <c r="BA213" s="9"/>
      <c r="BB213" s="9"/>
      <c r="BC213" s="9"/>
      <c r="BD213" s="9"/>
      <c r="BE213" s="9"/>
      <c r="BF213" s="9"/>
      <c r="BG213" s="9"/>
      <c r="BH213" s="9"/>
    </row>
    <row r="214" spans="1:60" x14ac:dyDescent="0.3">
      <c r="A214" s="162" t="s">
        <v>262</v>
      </c>
      <c r="B214" s="148" t="s">
        <v>16</v>
      </c>
      <c r="C214" s="148">
        <v>1</v>
      </c>
      <c r="D214" s="121">
        <v>84.77</v>
      </c>
      <c r="E214" s="122">
        <v>101.72</v>
      </c>
      <c r="F214" s="148">
        <v>60</v>
      </c>
      <c r="G214" s="150">
        <v>45931</v>
      </c>
      <c r="H214" s="150"/>
      <c r="I21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101.72</v>
      </c>
      <c r="L214" t="s">
        <v>2</v>
      </c>
      <c r="M214" s="9">
        <v>243.74</v>
      </c>
      <c r="N214" s="9"/>
      <c r="O214" s="9"/>
      <c r="P214" s="9"/>
      <c r="Q214" s="9"/>
      <c r="R214" s="9"/>
      <c r="S214" s="9"/>
      <c r="T214" s="9"/>
      <c r="U214" s="9"/>
      <c r="V214" s="9"/>
      <c r="W214" s="9"/>
      <c r="AW214" t="s">
        <v>2</v>
      </c>
      <c r="AX214" s="9">
        <v>203.12</v>
      </c>
      <c r="AY214" s="9"/>
      <c r="AZ214" s="9"/>
      <c r="BA214" s="9"/>
      <c r="BB214" s="9"/>
      <c r="BC214" s="9"/>
      <c r="BD214" s="9"/>
      <c r="BE214" s="9"/>
      <c r="BF214" s="9"/>
      <c r="BG214" s="9"/>
      <c r="BH214" s="9"/>
    </row>
    <row r="215" spans="1:60" x14ac:dyDescent="0.3">
      <c r="A215" s="162" t="s">
        <v>263</v>
      </c>
      <c r="B215" s="148" t="s">
        <v>1</v>
      </c>
      <c r="C215" s="148">
        <v>1</v>
      </c>
      <c r="D215" s="121">
        <v>955.87</v>
      </c>
      <c r="E215" s="122">
        <v>1147.04</v>
      </c>
      <c r="F215" s="148">
        <v>800</v>
      </c>
      <c r="G215" s="150">
        <v>45931</v>
      </c>
      <c r="H215" s="150"/>
      <c r="I21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1147.04</v>
      </c>
      <c r="L215" t="s">
        <v>1</v>
      </c>
      <c r="M215" s="9">
        <v>621.83000000000004</v>
      </c>
      <c r="N215" s="9"/>
      <c r="O215" s="9"/>
      <c r="P215" s="9"/>
      <c r="Q215" s="9"/>
      <c r="R215" s="9"/>
      <c r="S215" s="9"/>
      <c r="T215" s="9"/>
      <c r="U215" s="9"/>
      <c r="V215" s="9"/>
      <c r="W215" s="9"/>
      <c r="AW215" t="s">
        <v>1</v>
      </c>
      <c r="AX215" s="9">
        <v>518.19000000000005</v>
      </c>
      <c r="AY215" s="9"/>
      <c r="AZ215" s="9"/>
      <c r="BA215" s="9"/>
      <c r="BB215" s="9"/>
      <c r="BC215" s="9"/>
      <c r="BD215" s="9"/>
      <c r="BE215" s="9"/>
      <c r="BF215" s="9"/>
      <c r="BG215" s="9"/>
      <c r="BH215" s="9"/>
    </row>
    <row r="216" spans="1:60" x14ac:dyDescent="0.3">
      <c r="A216" s="162" t="s">
        <v>263</v>
      </c>
      <c r="B216" s="148" t="s">
        <v>2</v>
      </c>
      <c r="C216" s="148">
        <v>1</v>
      </c>
      <c r="D216" s="121">
        <v>365.61</v>
      </c>
      <c r="E216" s="122">
        <v>438.73</v>
      </c>
      <c r="F216" s="148">
        <v>400</v>
      </c>
      <c r="G216" s="150">
        <v>45931</v>
      </c>
      <c r="H216" s="150"/>
      <c r="I21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438.73</v>
      </c>
      <c r="K216" t="s">
        <v>51</v>
      </c>
      <c r="L216" t="s">
        <v>16</v>
      </c>
      <c r="M216" s="9">
        <v>182.94</v>
      </c>
      <c r="N216" s="9"/>
      <c r="O216" s="9"/>
      <c r="P216" s="9"/>
      <c r="Q216" s="9"/>
      <c r="R216" s="9"/>
      <c r="S216" s="9"/>
      <c r="T216" s="9"/>
      <c r="U216" s="9"/>
      <c r="V216" s="9"/>
      <c r="W216" s="9"/>
      <c r="AV216" t="s">
        <v>51</v>
      </c>
      <c r="AW216" t="s">
        <v>16</v>
      </c>
      <c r="AX216" s="9">
        <v>152.44999999999999</v>
      </c>
      <c r="AY216" s="9"/>
      <c r="AZ216" s="9"/>
      <c r="BA216" s="9"/>
      <c r="BB216" s="9"/>
      <c r="BC216" s="9"/>
      <c r="BD216" s="9"/>
      <c r="BE216" s="9"/>
      <c r="BF216" s="9"/>
      <c r="BG216" s="9"/>
      <c r="BH216" s="9"/>
    </row>
    <row r="217" spans="1:60" x14ac:dyDescent="0.3">
      <c r="A217" s="162" t="s">
        <v>263</v>
      </c>
      <c r="B217" s="148" t="s">
        <v>16</v>
      </c>
      <c r="C217" s="148">
        <v>1</v>
      </c>
      <c r="D217" s="121">
        <v>152.44999999999999</v>
      </c>
      <c r="E217" s="122">
        <v>182.94</v>
      </c>
      <c r="F217" s="148">
        <v>60</v>
      </c>
      <c r="G217" s="150">
        <v>45931</v>
      </c>
      <c r="H217" s="150"/>
      <c r="I21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182.94</v>
      </c>
      <c r="L217" t="s">
        <v>2</v>
      </c>
      <c r="M217" s="9">
        <v>438.73</v>
      </c>
      <c r="N217" s="9"/>
      <c r="O217" s="9"/>
      <c r="P217" s="9"/>
      <c r="Q217" s="9"/>
      <c r="R217" s="9"/>
      <c r="S217" s="9"/>
      <c r="T217" s="9"/>
      <c r="U217" s="9"/>
      <c r="V217" s="9"/>
      <c r="W217" s="9"/>
      <c r="AW217" t="s">
        <v>2</v>
      </c>
      <c r="AX217" s="9">
        <v>365.61</v>
      </c>
      <c r="AY217" s="9"/>
      <c r="AZ217" s="9"/>
      <c r="BA217" s="9"/>
      <c r="BB217" s="9"/>
      <c r="BC217" s="9"/>
      <c r="BD217" s="9"/>
      <c r="BE217" s="9"/>
      <c r="BF217" s="9"/>
      <c r="BG217" s="9"/>
      <c r="BH217" s="9"/>
    </row>
    <row r="218" spans="1:60" x14ac:dyDescent="0.3">
      <c r="A218" s="162" t="s">
        <v>264</v>
      </c>
      <c r="B218" s="148" t="s">
        <v>1</v>
      </c>
      <c r="C218" s="148">
        <v>1</v>
      </c>
      <c r="D218" s="121">
        <v>1942.01</v>
      </c>
      <c r="E218" s="122">
        <v>2330.41</v>
      </c>
      <c r="F218" s="148">
        <v>800</v>
      </c>
      <c r="G218" s="150">
        <v>45931</v>
      </c>
      <c r="H218" s="150"/>
      <c r="I21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2330.41</v>
      </c>
      <c r="L218" t="s">
        <v>1</v>
      </c>
      <c r="M218" s="9">
        <v>1147.04</v>
      </c>
      <c r="N218" s="9"/>
      <c r="O218" s="9"/>
      <c r="P218" s="9"/>
      <c r="Q218" s="9"/>
      <c r="R218" s="9"/>
      <c r="S218" s="9"/>
      <c r="T218" s="9"/>
      <c r="U218" s="9"/>
      <c r="V218" s="9"/>
      <c r="W218" s="9"/>
      <c r="AW218" t="s">
        <v>1</v>
      </c>
      <c r="AX218" s="9">
        <v>955.87</v>
      </c>
      <c r="AY218" s="9"/>
      <c r="AZ218" s="9"/>
      <c r="BA218" s="9"/>
      <c r="BB218" s="9"/>
      <c r="BC218" s="9"/>
      <c r="BD218" s="9"/>
      <c r="BE218" s="9"/>
      <c r="BF218" s="9"/>
      <c r="BG218" s="9"/>
      <c r="BH218" s="9"/>
    </row>
    <row r="219" spans="1:60" x14ac:dyDescent="0.3">
      <c r="A219" s="162" t="s">
        <v>264</v>
      </c>
      <c r="B219" s="148" t="s">
        <v>2</v>
      </c>
      <c r="C219" s="148">
        <v>1</v>
      </c>
      <c r="D219" s="121">
        <v>750.07</v>
      </c>
      <c r="E219" s="122">
        <v>900.08</v>
      </c>
      <c r="F219" s="148">
        <v>400</v>
      </c>
      <c r="G219" s="150">
        <v>45931</v>
      </c>
      <c r="H219" s="150"/>
      <c r="I21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900.08</v>
      </c>
      <c r="K219" t="s">
        <v>49</v>
      </c>
      <c r="L219" t="s">
        <v>1</v>
      </c>
      <c r="M219" s="9">
        <v>487.68</v>
      </c>
      <c r="N219" s="9"/>
      <c r="O219" s="9"/>
      <c r="P219" s="9"/>
      <c r="Q219" s="9"/>
      <c r="R219" s="9"/>
      <c r="S219" s="9"/>
      <c r="T219" s="9"/>
      <c r="U219" s="9"/>
      <c r="V219" s="9"/>
      <c r="W219" s="9"/>
      <c r="AV219" t="s">
        <v>49</v>
      </c>
      <c r="AW219" t="s">
        <v>1</v>
      </c>
      <c r="AX219" s="9">
        <v>406.4</v>
      </c>
      <c r="AY219" s="9"/>
      <c r="AZ219" s="9"/>
      <c r="BA219" s="9"/>
      <c r="BB219" s="9"/>
      <c r="BC219" s="9"/>
      <c r="BD219" s="9"/>
      <c r="BE219" s="9"/>
      <c r="BF219" s="9"/>
      <c r="BG219" s="9"/>
      <c r="BH219" s="9"/>
    </row>
    <row r="220" spans="1:60" x14ac:dyDescent="0.3">
      <c r="A220" s="162" t="s">
        <v>264</v>
      </c>
      <c r="B220" s="148" t="s">
        <v>16</v>
      </c>
      <c r="C220" s="148">
        <v>1</v>
      </c>
      <c r="D220" s="121">
        <v>324.07</v>
      </c>
      <c r="E220" s="122">
        <v>388.88</v>
      </c>
      <c r="F220" s="148">
        <v>60</v>
      </c>
      <c r="G220" s="150">
        <v>45931</v>
      </c>
      <c r="H220" s="150"/>
      <c r="I22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388.88</v>
      </c>
      <c r="K220" t="s">
        <v>73</v>
      </c>
      <c r="L220" t="s">
        <v>16</v>
      </c>
      <c r="M220" s="9">
        <v>388.88</v>
      </c>
      <c r="N220" s="9"/>
      <c r="O220" s="9"/>
      <c r="P220" s="9"/>
      <c r="Q220" s="9"/>
      <c r="R220" s="9"/>
      <c r="S220" s="9"/>
      <c r="T220" s="9"/>
      <c r="U220" s="9"/>
      <c r="V220" s="9"/>
      <c r="W220" s="9"/>
      <c r="AV220" t="s">
        <v>73</v>
      </c>
      <c r="AW220" t="s">
        <v>16</v>
      </c>
      <c r="AX220" s="9">
        <v>324.07</v>
      </c>
      <c r="AY220" s="9"/>
      <c r="AZ220" s="9"/>
      <c r="BA220" s="9"/>
      <c r="BB220" s="9"/>
      <c r="BC220" s="9"/>
      <c r="BD220" s="9"/>
      <c r="BE220" s="9"/>
      <c r="BF220" s="9"/>
      <c r="BG220" s="9"/>
      <c r="BH220" s="9"/>
    </row>
    <row r="221" spans="1:60" x14ac:dyDescent="0.3">
      <c r="A221" s="157" t="s">
        <v>253</v>
      </c>
      <c r="B221" s="158"/>
      <c r="C221" s="158"/>
      <c r="D221" s="166">
        <v>13.39</v>
      </c>
      <c r="E221" s="167">
        <v>16.07</v>
      </c>
      <c r="F221" s="45">
        <v>60</v>
      </c>
      <c r="G221" s="30">
        <v>45931</v>
      </c>
      <c r="H221" s="30"/>
      <c r="I22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16.07</v>
      </c>
      <c r="L221" t="s">
        <v>2</v>
      </c>
      <c r="M221" s="9">
        <v>900.08</v>
      </c>
      <c r="N221" s="9"/>
      <c r="O221" s="9"/>
      <c r="P221" s="9"/>
      <c r="Q221" s="9"/>
      <c r="R221" s="9"/>
      <c r="S221" s="9"/>
      <c r="T221" s="9"/>
      <c r="U221" s="9"/>
      <c r="V221" s="9"/>
      <c r="W221" s="9"/>
      <c r="AW221" t="s">
        <v>2</v>
      </c>
      <c r="AX221" s="9">
        <v>750.07</v>
      </c>
      <c r="AY221" s="9"/>
      <c r="AZ221" s="9"/>
      <c r="BA221" s="9"/>
      <c r="BB221" s="9"/>
      <c r="BC221" s="9"/>
      <c r="BD221" s="9"/>
      <c r="BE221" s="9"/>
      <c r="BF221" s="9"/>
      <c r="BG221" s="9"/>
      <c r="BH221" s="9"/>
    </row>
    <row r="222" spans="1:60" x14ac:dyDescent="0.3">
      <c r="A222" s="261" t="s">
        <v>314</v>
      </c>
      <c r="B222" s="45" t="s">
        <v>1</v>
      </c>
      <c r="C222" s="45">
        <v>1</v>
      </c>
      <c r="D222" s="164">
        <v>197.11</v>
      </c>
      <c r="E222" s="165">
        <v>236.53</v>
      </c>
      <c r="F222" s="155">
        <v>600</v>
      </c>
      <c r="G222" s="150">
        <v>45931</v>
      </c>
      <c r="H222" s="156"/>
      <c r="I22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236.53</v>
      </c>
      <c r="L222" t="s">
        <v>1</v>
      </c>
      <c r="M222" s="9">
        <v>2330.41</v>
      </c>
      <c r="N222" s="9"/>
      <c r="O222" s="9"/>
      <c r="P222" s="9"/>
      <c r="Q222" s="9"/>
      <c r="R222" s="9"/>
      <c r="S222" s="9"/>
      <c r="T222" s="9"/>
      <c r="U222" s="9"/>
      <c r="V222" s="9"/>
      <c r="W222" s="9"/>
      <c r="AW222" t="s">
        <v>1</v>
      </c>
      <c r="AX222" s="9">
        <v>1942.01</v>
      </c>
      <c r="AY222" s="9"/>
      <c r="AZ222" s="9"/>
      <c r="BA222" s="9"/>
      <c r="BB222" s="9"/>
      <c r="BC222" s="9"/>
      <c r="BD222" s="9"/>
      <c r="BE222" s="9"/>
      <c r="BF222" s="9"/>
      <c r="BG222" s="9"/>
      <c r="BH222" s="9"/>
    </row>
    <row r="223" spans="1:60" x14ac:dyDescent="0.3">
      <c r="A223" s="261" t="s">
        <v>314</v>
      </c>
      <c r="B223" s="45" t="s">
        <v>74</v>
      </c>
      <c r="C223" s="45">
        <v>1</v>
      </c>
      <c r="D223" s="164">
        <v>92.06</v>
      </c>
      <c r="E223" s="165">
        <v>110.47</v>
      </c>
      <c r="F223" s="155" t="s">
        <v>78</v>
      </c>
      <c r="G223" s="30">
        <v>45931</v>
      </c>
      <c r="H223" s="156"/>
      <c r="I22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110.47</v>
      </c>
      <c r="K223" t="s">
        <v>245</v>
      </c>
      <c r="L223" t="s">
        <v>251</v>
      </c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>
        <v>16.559999999999999</v>
      </c>
      <c r="AV223" t="s">
        <v>245</v>
      </c>
      <c r="AW223" t="s">
        <v>251</v>
      </c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>
        <v>13.8</v>
      </c>
    </row>
    <row r="224" spans="1:60" x14ac:dyDescent="0.3">
      <c r="A224" s="261" t="s">
        <v>314</v>
      </c>
      <c r="B224" s="45" t="s">
        <v>2</v>
      </c>
      <c r="C224" s="45">
        <v>1</v>
      </c>
      <c r="D224" s="164">
        <v>79.17</v>
      </c>
      <c r="E224" s="165">
        <v>95</v>
      </c>
      <c r="F224" s="155">
        <v>300</v>
      </c>
      <c r="G224" s="150">
        <v>45931</v>
      </c>
      <c r="H224" s="156"/>
      <c r="I22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95</v>
      </c>
      <c r="K224" t="s">
        <v>246</v>
      </c>
      <c r="L224" t="s">
        <v>251</v>
      </c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>
        <v>16.07</v>
      </c>
      <c r="AV224" t="s">
        <v>246</v>
      </c>
      <c r="AW224" t="s">
        <v>251</v>
      </c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>
        <v>13.39</v>
      </c>
    </row>
    <row r="225" spans="1:60" x14ac:dyDescent="0.3">
      <c r="A225" s="261" t="s">
        <v>314</v>
      </c>
      <c r="B225" s="45" t="s">
        <v>3</v>
      </c>
      <c r="C225" s="45">
        <v>1</v>
      </c>
      <c r="D225" s="164">
        <v>34.6</v>
      </c>
      <c r="E225" s="165">
        <v>41.52</v>
      </c>
      <c r="F225" s="155">
        <v>60</v>
      </c>
      <c r="G225" s="30">
        <v>45931</v>
      </c>
      <c r="H225" s="156"/>
      <c r="I22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41.52</v>
      </c>
      <c r="K225" t="s">
        <v>252</v>
      </c>
      <c r="L225" t="s">
        <v>251</v>
      </c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>
        <v>16.559999999999999</v>
      </c>
      <c r="AV225" t="s">
        <v>252</v>
      </c>
      <c r="AW225" t="s">
        <v>251</v>
      </c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>
        <v>13.8</v>
      </c>
    </row>
    <row r="226" spans="1:60" x14ac:dyDescent="0.3">
      <c r="A226" s="261" t="s">
        <v>315</v>
      </c>
      <c r="B226" s="45" t="s">
        <v>1</v>
      </c>
      <c r="C226" s="45">
        <v>1</v>
      </c>
      <c r="D226" s="164">
        <v>406.4</v>
      </c>
      <c r="E226" s="165">
        <v>487.68</v>
      </c>
      <c r="F226" s="155">
        <v>800</v>
      </c>
      <c r="G226" s="150">
        <v>45931</v>
      </c>
      <c r="H226" s="156"/>
      <c r="I22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487.68</v>
      </c>
      <c r="K226" t="s">
        <v>253</v>
      </c>
      <c r="L226" t="s">
        <v>251</v>
      </c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>
        <v>16.07</v>
      </c>
      <c r="AV226" t="s">
        <v>253</v>
      </c>
      <c r="AW226" t="s">
        <v>251</v>
      </c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>
        <v>13.39</v>
      </c>
    </row>
    <row r="227" spans="1:60" x14ac:dyDescent="0.3">
      <c r="A227" s="261" t="s">
        <v>315</v>
      </c>
      <c r="B227" s="45" t="s">
        <v>74</v>
      </c>
      <c r="C227" s="45">
        <v>1</v>
      </c>
      <c r="D227" s="164">
        <v>200.14</v>
      </c>
      <c r="E227" s="165">
        <v>240.17</v>
      </c>
      <c r="F227" s="155" t="s">
        <v>79</v>
      </c>
      <c r="G227" s="30">
        <v>45931</v>
      </c>
      <c r="H227" s="156"/>
      <c r="I22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240.17</v>
      </c>
      <c r="K227" t="s">
        <v>257</v>
      </c>
      <c r="L227" t="s">
        <v>2</v>
      </c>
      <c r="M227" s="9">
        <v>145.69</v>
      </c>
      <c r="N227" s="9">
        <v>121.39</v>
      </c>
      <c r="O227" s="9">
        <v>94.74</v>
      </c>
      <c r="P227" s="9">
        <v>82.18</v>
      </c>
      <c r="Q227" s="9">
        <v>70.989999999999995</v>
      </c>
      <c r="R227" s="9"/>
      <c r="S227" s="9"/>
      <c r="T227" s="9"/>
      <c r="U227" s="9"/>
      <c r="V227" s="9"/>
      <c r="W227" s="9"/>
      <c r="AV227" t="s">
        <v>257</v>
      </c>
      <c r="AW227" t="s">
        <v>2</v>
      </c>
      <c r="AX227" s="9">
        <v>121.41</v>
      </c>
      <c r="AY227" s="9">
        <v>101.16</v>
      </c>
      <c r="AZ227" s="9">
        <v>78.95</v>
      </c>
      <c r="BA227" s="9">
        <v>68.48</v>
      </c>
      <c r="BB227" s="9">
        <v>59.16</v>
      </c>
      <c r="BC227" s="9"/>
      <c r="BD227" s="9"/>
      <c r="BE227" s="9"/>
      <c r="BF227" s="9"/>
      <c r="BG227" s="9"/>
      <c r="BH227" s="9"/>
    </row>
    <row r="228" spans="1:60" x14ac:dyDescent="0.3">
      <c r="A228" s="261" t="s">
        <v>315</v>
      </c>
      <c r="B228" s="45" t="s">
        <v>2</v>
      </c>
      <c r="C228" s="45">
        <v>1</v>
      </c>
      <c r="D228" s="164">
        <v>172.39</v>
      </c>
      <c r="E228" s="165">
        <v>206.87</v>
      </c>
      <c r="F228" s="155">
        <v>400</v>
      </c>
      <c r="G228" s="150">
        <v>45931</v>
      </c>
      <c r="H228" s="156"/>
      <c r="I22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206.87</v>
      </c>
      <c r="L228" t="s">
        <v>1</v>
      </c>
      <c r="M228" s="9">
        <v>246.77</v>
      </c>
      <c r="N228" s="9">
        <v>205.96</v>
      </c>
      <c r="O228" s="9">
        <v>161.19999999999999</v>
      </c>
      <c r="P228" s="9">
        <v>140.12</v>
      </c>
      <c r="Q228" s="9">
        <v>121.36</v>
      </c>
      <c r="R228" s="9"/>
      <c r="S228" s="9"/>
      <c r="T228" s="9"/>
      <c r="U228" s="9"/>
      <c r="V228" s="9"/>
      <c r="W228" s="9"/>
      <c r="AW228" t="s">
        <v>1</v>
      </c>
      <c r="AX228" s="9">
        <v>205.64</v>
      </c>
      <c r="AY228" s="9">
        <v>171.63</v>
      </c>
      <c r="AZ228" s="9">
        <v>134.33000000000001</v>
      </c>
      <c r="BA228" s="9">
        <v>116.77</v>
      </c>
      <c r="BB228" s="9">
        <v>101.13</v>
      </c>
      <c r="BC228" s="9"/>
      <c r="BD228" s="9"/>
      <c r="BE228" s="9"/>
      <c r="BF228" s="9"/>
      <c r="BG228" s="9"/>
      <c r="BH228" s="9"/>
    </row>
    <row r="229" spans="1:60" x14ac:dyDescent="0.3">
      <c r="A229" s="261" t="s">
        <v>315</v>
      </c>
      <c r="B229" s="45" t="s">
        <v>3</v>
      </c>
      <c r="C229" s="45">
        <v>1</v>
      </c>
      <c r="D229" s="164">
        <v>71.5</v>
      </c>
      <c r="E229" s="165">
        <v>85.8</v>
      </c>
      <c r="F229" s="155">
        <v>60</v>
      </c>
      <c r="G229" s="30">
        <v>45931</v>
      </c>
      <c r="H229" s="156"/>
      <c r="I22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85.8</v>
      </c>
      <c r="L229" t="s">
        <v>3</v>
      </c>
      <c r="M229" s="9">
        <v>37.86</v>
      </c>
      <c r="N229" s="9">
        <v>34.82</v>
      </c>
      <c r="O229" s="9">
        <v>34.630000000000003</v>
      </c>
      <c r="P229" s="9"/>
      <c r="Q229" s="9"/>
      <c r="R229" s="9"/>
      <c r="S229" s="9"/>
      <c r="T229" s="9"/>
      <c r="U229" s="9"/>
      <c r="V229" s="9"/>
      <c r="W229" s="9"/>
      <c r="AW229" t="s">
        <v>3</v>
      </c>
      <c r="AX229" s="9">
        <v>31.55</v>
      </c>
      <c r="AY229" s="9">
        <v>29.02</v>
      </c>
      <c r="AZ229" s="9">
        <v>28.86</v>
      </c>
      <c r="BA229" s="9"/>
      <c r="BB229" s="9"/>
      <c r="BC229" s="9"/>
      <c r="BD229" s="9"/>
      <c r="BE229" s="9"/>
      <c r="BF229" s="9"/>
      <c r="BG229" s="9"/>
      <c r="BH229" s="9"/>
    </row>
    <row r="230" spans="1:60" x14ac:dyDescent="0.3">
      <c r="A230" s="262" t="s">
        <v>316</v>
      </c>
      <c r="B230" s="158"/>
      <c r="C230" s="158"/>
      <c r="D230" s="166">
        <v>13.39</v>
      </c>
      <c r="E230" s="167">
        <v>16.07</v>
      </c>
      <c r="F230" s="155">
        <v>60</v>
      </c>
      <c r="G230" s="150">
        <v>45931</v>
      </c>
      <c r="H230" s="156"/>
      <c r="I23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16.07</v>
      </c>
      <c r="K230" t="s">
        <v>258</v>
      </c>
      <c r="L230" t="s">
        <v>16</v>
      </c>
      <c r="M230" s="9">
        <v>43.8</v>
      </c>
      <c r="N230" s="9">
        <v>40.270000000000003</v>
      </c>
      <c r="O230" s="9">
        <v>40.08</v>
      </c>
      <c r="P230" s="9">
        <v>39.94</v>
      </c>
      <c r="Q230" s="9">
        <v>39.71</v>
      </c>
      <c r="R230" s="9"/>
      <c r="S230" s="9"/>
      <c r="T230" s="9"/>
      <c r="U230" s="9"/>
      <c r="V230" s="9"/>
      <c r="W230" s="9"/>
      <c r="AV230" t="s">
        <v>258</v>
      </c>
      <c r="AW230" t="s">
        <v>16</v>
      </c>
      <c r="AX230" s="9">
        <v>36.5</v>
      </c>
      <c r="AY230" s="9">
        <v>33.56</v>
      </c>
      <c r="AZ230" s="9">
        <v>33.4</v>
      </c>
      <c r="BA230" s="9">
        <v>33.28</v>
      </c>
      <c r="BB230" s="9">
        <v>33.090000000000003</v>
      </c>
      <c r="BC230" s="9"/>
      <c r="BD230" s="9"/>
      <c r="BE230" s="9"/>
      <c r="BF230" s="9"/>
      <c r="BG230" s="9"/>
      <c r="BH230" s="9"/>
    </row>
    <row r="231" spans="1:60" x14ac:dyDescent="0.3">
      <c r="A231" s="261" t="s">
        <v>312</v>
      </c>
      <c r="B231" s="45" t="s">
        <v>1</v>
      </c>
      <c r="C231" s="45">
        <v>1</v>
      </c>
      <c r="D231" s="164">
        <v>197.11</v>
      </c>
      <c r="E231" s="165">
        <v>236.53</v>
      </c>
      <c r="F231" s="155">
        <v>600</v>
      </c>
      <c r="G231" s="30">
        <v>45931</v>
      </c>
      <c r="H231" s="156"/>
      <c r="I23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236.53</v>
      </c>
      <c r="L231" t="s">
        <v>2</v>
      </c>
      <c r="M231" s="9">
        <v>167.66</v>
      </c>
      <c r="N231" s="9">
        <v>139.58000000000001</v>
      </c>
      <c r="O231" s="9">
        <v>108.97</v>
      </c>
      <c r="P231" s="9">
        <v>94.48</v>
      </c>
      <c r="Q231" s="9">
        <v>81.59</v>
      </c>
      <c r="R231" s="9">
        <v>81.22</v>
      </c>
      <c r="S231" s="9">
        <v>79.19</v>
      </c>
      <c r="T231" s="9">
        <v>77.22</v>
      </c>
      <c r="U231" s="9">
        <v>75.28</v>
      </c>
      <c r="V231" s="9">
        <v>73.42</v>
      </c>
      <c r="W231" s="9"/>
      <c r="AW231" t="s">
        <v>2</v>
      </c>
      <c r="AX231" s="9">
        <v>139.72</v>
      </c>
      <c r="AY231" s="9">
        <v>116.32</v>
      </c>
      <c r="AZ231" s="9">
        <v>90.81</v>
      </c>
      <c r="BA231" s="9">
        <v>78.73</v>
      </c>
      <c r="BB231" s="9">
        <v>67.989999999999995</v>
      </c>
      <c r="BC231" s="9">
        <v>67.680000000000007</v>
      </c>
      <c r="BD231" s="9">
        <v>65.989999999999995</v>
      </c>
      <c r="BE231" s="9">
        <v>64.349999999999994</v>
      </c>
      <c r="BF231" s="9">
        <v>62.73</v>
      </c>
      <c r="BG231" s="9">
        <v>61.18</v>
      </c>
      <c r="BH231" s="9"/>
    </row>
    <row r="232" spans="1:60" x14ac:dyDescent="0.3">
      <c r="A232" s="261" t="s">
        <v>312</v>
      </c>
      <c r="B232" s="45" t="s">
        <v>74</v>
      </c>
      <c r="C232" s="45">
        <v>1</v>
      </c>
      <c r="D232" s="164">
        <v>92.06</v>
      </c>
      <c r="E232" s="165">
        <v>110.47</v>
      </c>
      <c r="F232" s="155" t="s">
        <v>78</v>
      </c>
      <c r="G232" s="150">
        <v>45931</v>
      </c>
      <c r="H232" s="156"/>
      <c r="I23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110.47</v>
      </c>
      <c r="L232" t="s">
        <v>1</v>
      </c>
      <c r="M232" s="9">
        <v>305.3</v>
      </c>
      <c r="N232" s="9">
        <v>254.88</v>
      </c>
      <c r="O232" s="9">
        <v>199.45</v>
      </c>
      <c r="P232" s="9">
        <v>173.34</v>
      </c>
      <c r="Q232" s="9">
        <v>150.1</v>
      </c>
      <c r="R232" s="9">
        <v>149.38999999999999</v>
      </c>
      <c r="S232" s="9">
        <v>145.66999999999999</v>
      </c>
      <c r="T232" s="9">
        <v>142</v>
      </c>
      <c r="U232" s="9">
        <v>138.46</v>
      </c>
      <c r="V232" s="9">
        <v>135</v>
      </c>
      <c r="W232" s="9"/>
      <c r="AW232" t="s">
        <v>1</v>
      </c>
      <c r="AX232" s="9">
        <v>254.42</v>
      </c>
      <c r="AY232" s="9">
        <v>212.4</v>
      </c>
      <c r="AZ232" s="9">
        <v>166.21</v>
      </c>
      <c r="BA232" s="9">
        <v>144.44999999999999</v>
      </c>
      <c r="BB232" s="9">
        <v>125.08</v>
      </c>
      <c r="BC232" s="9">
        <v>124.49</v>
      </c>
      <c r="BD232" s="9">
        <v>121.39</v>
      </c>
      <c r="BE232" s="9">
        <v>118.33</v>
      </c>
      <c r="BF232" s="9">
        <v>115.38</v>
      </c>
      <c r="BG232" s="9">
        <v>112.5</v>
      </c>
      <c r="BH232" s="9"/>
    </row>
    <row r="233" spans="1:60" x14ac:dyDescent="0.3">
      <c r="A233" s="261" t="s">
        <v>312</v>
      </c>
      <c r="B233" s="45" t="s">
        <v>2</v>
      </c>
      <c r="C233" s="45">
        <v>1</v>
      </c>
      <c r="D233" s="164">
        <v>79.17</v>
      </c>
      <c r="E233" s="165">
        <v>95</v>
      </c>
      <c r="F233" s="155">
        <v>300</v>
      </c>
      <c r="G233" s="30">
        <v>45931</v>
      </c>
      <c r="H233" s="156"/>
      <c r="I23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95</v>
      </c>
      <c r="K233" t="s">
        <v>259</v>
      </c>
      <c r="L233" t="s">
        <v>16</v>
      </c>
      <c r="M233" s="9">
        <v>57.29</v>
      </c>
      <c r="N233" s="9">
        <v>52.64</v>
      </c>
      <c r="O233" s="9">
        <v>48.4</v>
      </c>
      <c r="P233" s="9">
        <v>44.4</v>
      </c>
      <c r="Q233" s="9">
        <v>40.799999999999997</v>
      </c>
      <c r="R233" s="9">
        <v>37.51</v>
      </c>
      <c r="S233" s="9">
        <v>33.74</v>
      </c>
      <c r="T233" s="9">
        <v>30.35</v>
      </c>
      <c r="U233" s="9">
        <v>27.36</v>
      </c>
      <c r="V233" s="9">
        <v>24.92</v>
      </c>
      <c r="W233" s="9"/>
      <c r="AV233" t="s">
        <v>259</v>
      </c>
      <c r="AW233" t="s">
        <v>16</v>
      </c>
      <c r="AX233" s="9">
        <v>47.74</v>
      </c>
      <c r="AY233" s="9">
        <v>43.87</v>
      </c>
      <c r="AZ233" s="9">
        <v>40.33</v>
      </c>
      <c r="BA233" s="9">
        <v>37</v>
      </c>
      <c r="BB233" s="9">
        <v>34</v>
      </c>
      <c r="BC233" s="9">
        <v>31.26</v>
      </c>
      <c r="BD233" s="9">
        <v>28.12</v>
      </c>
      <c r="BE233" s="9">
        <v>25.29</v>
      </c>
      <c r="BF233" s="9">
        <v>22.8</v>
      </c>
      <c r="BG233" s="9">
        <v>20.77</v>
      </c>
      <c r="BH233" s="9"/>
    </row>
    <row r="234" spans="1:60" x14ac:dyDescent="0.3">
      <c r="A234" s="261" t="s">
        <v>312</v>
      </c>
      <c r="B234" s="45" t="s">
        <v>3</v>
      </c>
      <c r="C234" s="45">
        <v>1</v>
      </c>
      <c r="D234" s="164">
        <v>34.6</v>
      </c>
      <c r="E234" s="165">
        <v>41.52</v>
      </c>
      <c r="F234" s="155">
        <v>60</v>
      </c>
      <c r="G234" s="150">
        <v>45931</v>
      </c>
      <c r="H234" s="156"/>
      <c r="I23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41.52</v>
      </c>
      <c r="L234" t="s">
        <v>2</v>
      </c>
      <c r="M234" s="9">
        <v>333.71</v>
      </c>
      <c r="N234" s="9">
        <v>277.85000000000002</v>
      </c>
      <c r="O234" s="9">
        <v>216.92</v>
      </c>
      <c r="P234" s="9">
        <v>188.2</v>
      </c>
      <c r="Q234" s="9">
        <v>162.55000000000001</v>
      </c>
      <c r="R234" s="9">
        <v>143.74</v>
      </c>
      <c r="S234" s="9">
        <v>126.66</v>
      </c>
      <c r="T234" s="9">
        <v>113.08</v>
      </c>
      <c r="U234" s="9">
        <v>102.67</v>
      </c>
      <c r="V234" s="9">
        <v>95.65</v>
      </c>
      <c r="W234" s="9"/>
      <c r="AW234" t="s">
        <v>2</v>
      </c>
      <c r="AX234" s="9">
        <v>278.08999999999997</v>
      </c>
      <c r="AY234" s="9">
        <v>231.54</v>
      </c>
      <c r="AZ234" s="9">
        <v>180.77</v>
      </c>
      <c r="BA234" s="9">
        <v>156.83000000000001</v>
      </c>
      <c r="BB234" s="9">
        <v>135.46</v>
      </c>
      <c r="BC234" s="9">
        <v>119.78</v>
      </c>
      <c r="BD234" s="9">
        <v>105.55</v>
      </c>
      <c r="BE234" s="9">
        <v>94.23</v>
      </c>
      <c r="BF234" s="9">
        <v>85.56</v>
      </c>
      <c r="BG234" s="9">
        <v>79.709999999999994</v>
      </c>
      <c r="BH234" s="9"/>
    </row>
    <row r="235" spans="1:60" x14ac:dyDescent="0.3">
      <c r="A235" s="261" t="s">
        <v>313</v>
      </c>
      <c r="B235" s="45" t="s">
        <v>1</v>
      </c>
      <c r="C235" s="45">
        <v>1</v>
      </c>
      <c r="D235" s="164">
        <v>406.4</v>
      </c>
      <c r="E235" s="165">
        <v>487.68</v>
      </c>
      <c r="F235" s="155">
        <v>800</v>
      </c>
      <c r="G235" s="30">
        <v>45931</v>
      </c>
      <c r="H235" s="156"/>
      <c r="I23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487.68</v>
      </c>
      <c r="L235" t="s">
        <v>1</v>
      </c>
      <c r="M235" s="9">
        <v>709.33</v>
      </c>
      <c r="N235" s="9">
        <v>592.19000000000005</v>
      </c>
      <c r="O235" s="9">
        <v>463.32</v>
      </c>
      <c r="P235" s="9">
        <v>402.88</v>
      </c>
      <c r="Q235" s="9">
        <v>348.76</v>
      </c>
      <c r="R235" s="9">
        <v>309.24</v>
      </c>
      <c r="S235" s="9">
        <v>273.24</v>
      </c>
      <c r="T235" s="9">
        <v>244.43</v>
      </c>
      <c r="U235" s="9">
        <v>222.56</v>
      </c>
      <c r="V235" s="9">
        <v>207.94</v>
      </c>
      <c r="W235" s="9"/>
      <c r="AW235" t="s">
        <v>1</v>
      </c>
      <c r="AX235" s="9">
        <v>591.11</v>
      </c>
      <c r="AY235" s="9">
        <v>493.49</v>
      </c>
      <c r="AZ235" s="9">
        <v>386.1</v>
      </c>
      <c r="BA235" s="9">
        <v>335.73</v>
      </c>
      <c r="BB235" s="9">
        <v>290.63</v>
      </c>
      <c r="BC235" s="9">
        <v>257.7</v>
      </c>
      <c r="BD235" s="9">
        <v>227.7</v>
      </c>
      <c r="BE235" s="9">
        <v>203.69</v>
      </c>
      <c r="BF235" s="9">
        <v>185.47</v>
      </c>
      <c r="BG235" s="9">
        <v>173.28</v>
      </c>
      <c r="BH235" s="9"/>
    </row>
    <row r="236" spans="1:60" x14ac:dyDescent="0.3">
      <c r="A236" s="261" t="s">
        <v>313</v>
      </c>
      <c r="B236" s="45" t="s">
        <v>74</v>
      </c>
      <c r="C236" s="45">
        <v>1</v>
      </c>
      <c r="D236" s="164">
        <v>200.14</v>
      </c>
      <c r="E236" s="165">
        <v>240.17</v>
      </c>
      <c r="F236" s="155" t="s">
        <v>79</v>
      </c>
      <c r="G236" s="150">
        <v>45931</v>
      </c>
      <c r="H236" s="156"/>
      <c r="I23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240.17</v>
      </c>
      <c r="K236" t="s">
        <v>260</v>
      </c>
      <c r="L236" t="s">
        <v>16</v>
      </c>
      <c r="M236" s="9">
        <v>66.760000000000005</v>
      </c>
      <c r="N236" s="9">
        <v>61.33</v>
      </c>
      <c r="O236" s="9">
        <v>56.3</v>
      </c>
      <c r="P236" s="9">
        <v>51.79</v>
      </c>
      <c r="Q236" s="9">
        <v>47.56</v>
      </c>
      <c r="R236" s="9">
        <v>43.7</v>
      </c>
      <c r="S236" s="9">
        <v>39.35</v>
      </c>
      <c r="T236" s="9">
        <v>35.4</v>
      </c>
      <c r="U236" s="9">
        <v>31.86</v>
      </c>
      <c r="V236" s="9">
        <v>28.99</v>
      </c>
      <c r="W236" s="9"/>
      <c r="AV236" t="s">
        <v>260</v>
      </c>
      <c r="AW236" t="s">
        <v>16</v>
      </c>
      <c r="AX236" s="9">
        <v>55.63</v>
      </c>
      <c r="AY236" s="9">
        <v>51.11</v>
      </c>
      <c r="AZ236" s="9">
        <v>46.92</v>
      </c>
      <c r="BA236" s="9">
        <v>43.16</v>
      </c>
      <c r="BB236" s="9">
        <v>39.630000000000003</v>
      </c>
      <c r="BC236" s="9">
        <v>36.42</v>
      </c>
      <c r="BD236" s="9">
        <v>32.79</v>
      </c>
      <c r="BE236" s="9">
        <v>29.5</v>
      </c>
      <c r="BF236" s="9">
        <v>26.55</v>
      </c>
      <c r="BG236" s="9">
        <v>24.16</v>
      </c>
      <c r="BH236" s="9"/>
    </row>
    <row r="237" spans="1:60" x14ac:dyDescent="0.3">
      <c r="A237" s="261" t="s">
        <v>313</v>
      </c>
      <c r="B237" s="45" t="s">
        <v>2</v>
      </c>
      <c r="C237" s="45">
        <v>1</v>
      </c>
      <c r="D237" s="164">
        <v>172.39</v>
      </c>
      <c r="E237" s="165">
        <v>206.87</v>
      </c>
      <c r="F237" s="155">
        <v>400</v>
      </c>
      <c r="G237" s="30">
        <v>45931</v>
      </c>
      <c r="H237" s="156"/>
      <c r="I23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206.87</v>
      </c>
      <c r="L237" t="s">
        <v>2</v>
      </c>
      <c r="M237" s="9">
        <v>550.86</v>
      </c>
      <c r="N237" s="9">
        <v>487.44</v>
      </c>
      <c r="O237" s="9">
        <v>431.24</v>
      </c>
      <c r="P237" s="9">
        <v>381.49</v>
      </c>
      <c r="Q237" s="9">
        <v>337.4</v>
      </c>
      <c r="R237" s="9">
        <v>298.39999999999998</v>
      </c>
      <c r="S237" s="9">
        <v>263.10000000000002</v>
      </c>
      <c r="T237" s="9">
        <v>234.82</v>
      </c>
      <c r="U237" s="9">
        <v>213.18</v>
      </c>
      <c r="V237" s="9">
        <v>198.62</v>
      </c>
      <c r="W237" s="9"/>
      <c r="AW237" t="s">
        <v>2</v>
      </c>
      <c r="AX237" s="9">
        <v>459.05</v>
      </c>
      <c r="AY237" s="9">
        <v>406.2</v>
      </c>
      <c r="AZ237" s="9">
        <v>359.37</v>
      </c>
      <c r="BA237" s="9">
        <v>317.91000000000003</v>
      </c>
      <c r="BB237" s="9">
        <v>281.17</v>
      </c>
      <c r="BC237" s="9">
        <v>248.67</v>
      </c>
      <c r="BD237" s="9">
        <v>219.25</v>
      </c>
      <c r="BE237" s="9">
        <v>195.68</v>
      </c>
      <c r="BF237" s="9">
        <v>177.65</v>
      </c>
      <c r="BG237" s="9">
        <v>165.52</v>
      </c>
      <c r="BH237" s="9"/>
    </row>
    <row r="238" spans="1:60" x14ac:dyDescent="0.3">
      <c r="A238" s="261" t="s">
        <v>313</v>
      </c>
      <c r="B238" s="45" t="s">
        <v>3</v>
      </c>
      <c r="C238" s="45">
        <v>1</v>
      </c>
      <c r="D238" s="164">
        <v>71.5</v>
      </c>
      <c r="E238" s="165">
        <v>85.8</v>
      </c>
      <c r="F238" s="155">
        <v>60</v>
      </c>
      <c r="G238" s="150">
        <v>45931</v>
      </c>
      <c r="H238" s="156"/>
      <c r="I23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85.8</v>
      </c>
      <c r="L238" t="s">
        <v>1</v>
      </c>
      <c r="M238" s="9">
        <v>898.5</v>
      </c>
      <c r="N238" s="9">
        <v>796.84</v>
      </c>
      <c r="O238" s="9">
        <v>706.68</v>
      </c>
      <c r="P238" s="9">
        <v>626.69000000000005</v>
      </c>
      <c r="Q238" s="9">
        <v>555.66</v>
      </c>
      <c r="R238" s="9">
        <v>492.54</v>
      </c>
      <c r="S238" s="9">
        <v>435.42</v>
      </c>
      <c r="T238" s="9">
        <v>389.56</v>
      </c>
      <c r="U238" s="9">
        <v>354.41</v>
      </c>
      <c r="V238" s="9">
        <v>331.03</v>
      </c>
      <c r="W238" s="9"/>
      <c r="AW238" t="s">
        <v>1</v>
      </c>
      <c r="AX238" s="9">
        <v>748.75</v>
      </c>
      <c r="AY238" s="9">
        <v>664.03</v>
      </c>
      <c r="AZ238" s="9">
        <v>588.9</v>
      </c>
      <c r="BA238" s="9">
        <v>522.24</v>
      </c>
      <c r="BB238" s="9">
        <v>463.05</v>
      </c>
      <c r="BC238" s="9">
        <v>410.45</v>
      </c>
      <c r="BD238" s="9">
        <v>362.85</v>
      </c>
      <c r="BE238" s="9">
        <v>324.63</v>
      </c>
      <c r="BF238" s="9">
        <v>295.33999999999997</v>
      </c>
      <c r="BG238" s="9">
        <v>275.86</v>
      </c>
      <c r="BH238" s="9"/>
    </row>
    <row r="239" spans="1:60" ht="14.4" thickBot="1" x14ac:dyDescent="0.35">
      <c r="A239" s="275" t="s">
        <v>318</v>
      </c>
      <c r="B239" s="263"/>
      <c r="C239" s="263"/>
      <c r="D239" s="264">
        <v>13.39</v>
      </c>
      <c r="E239" s="265">
        <v>16.07</v>
      </c>
      <c r="F239" s="266">
        <v>60</v>
      </c>
      <c r="G239" s="267">
        <v>45931</v>
      </c>
      <c r="H239" s="268"/>
      <c r="I239" s="26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16.07</v>
      </c>
      <c r="K239" t="s">
        <v>261</v>
      </c>
      <c r="L239" t="s">
        <v>1</v>
      </c>
      <c r="M239" s="9">
        <v>487.68</v>
      </c>
      <c r="N239" s="9"/>
      <c r="O239" s="9"/>
      <c r="P239" s="9"/>
      <c r="Q239" s="9"/>
      <c r="R239" s="9"/>
      <c r="S239" s="9"/>
      <c r="T239" s="9"/>
      <c r="U239" s="9"/>
      <c r="V239" s="9"/>
      <c r="W239" s="9"/>
      <c r="AV239" t="s">
        <v>261</v>
      </c>
      <c r="AW239" t="s">
        <v>1</v>
      </c>
      <c r="AX239" s="9">
        <v>406.4</v>
      </c>
      <c r="AY239" s="9"/>
      <c r="AZ239" s="9"/>
      <c r="BA239" s="9"/>
      <c r="BB239" s="9"/>
      <c r="BC239" s="9"/>
      <c r="BD239" s="9"/>
      <c r="BE239" s="9"/>
      <c r="BF239" s="9"/>
      <c r="BG239" s="9"/>
      <c r="BH239" s="9"/>
    </row>
    <row r="240" spans="1:60" x14ac:dyDescent="0.3">
      <c r="A240" s="44" t="s">
        <v>10</v>
      </c>
      <c r="B240" s="45" t="s">
        <v>1</v>
      </c>
      <c r="C240" s="45">
        <v>1</v>
      </c>
      <c r="D240" s="123">
        <v>200.89</v>
      </c>
      <c r="E240" s="159">
        <v>241.07</v>
      </c>
      <c r="F240" s="45">
        <v>800</v>
      </c>
      <c r="G240" s="30">
        <v>45870</v>
      </c>
      <c r="H240" s="30"/>
      <c r="I24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241.07</v>
      </c>
      <c r="K240" t="s">
        <v>262</v>
      </c>
      <c r="L240" t="s">
        <v>16</v>
      </c>
      <c r="M240" s="9">
        <v>101.72</v>
      </c>
      <c r="N240" s="9"/>
      <c r="O240" s="9"/>
      <c r="P240" s="9"/>
      <c r="Q240" s="9"/>
      <c r="R240" s="9"/>
      <c r="S240" s="9"/>
      <c r="T240" s="9"/>
      <c r="U240" s="9"/>
      <c r="V240" s="9"/>
      <c r="W240" s="9"/>
      <c r="AV240" t="s">
        <v>262</v>
      </c>
      <c r="AW240" t="s">
        <v>16</v>
      </c>
      <c r="AX240" s="9">
        <v>84.77</v>
      </c>
      <c r="AY240" s="9"/>
      <c r="AZ240" s="9"/>
      <c r="BA240" s="9"/>
      <c r="BB240" s="9"/>
      <c r="BC240" s="9"/>
      <c r="BD240" s="9"/>
      <c r="BE240" s="9"/>
      <c r="BF240" s="9"/>
      <c r="BG240" s="9"/>
      <c r="BH240" s="9"/>
    </row>
    <row r="241" spans="1:60" x14ac:dyDescent="0.3">
      <c r="A241" s="44" t="s">
        <v>10</v>
      </c>
      <c r="B241" s="45" t="s">
        <v>1</v>
      </c>
      <c r="C241" s="45">
        <v>2</v>
      </c>
      <c r="D241" s="123">
        <v>167.33</v>
      </c>
      <c r="E241" s="159">
        <v>200.8</v>
      </c>
      <c r="F241" s="45">
        <v>800</v>
      </c>
      <c r="G241" s="30">
        <v>45870</v>
      </c>
      <c r="H241" s="30"/>
      <c r="I24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401.59</v>
      </c>
      <c r="L241" t="s">
        <v>2</v>
      </c>
      <c r="M241" s="9">
        <v>243.74</v>
      </c>
      <c r="N241" s="9"/>
      <c r="O241" s="9"/>
      <c r="P241" s="9"/>
      <c r="Q241" s="9"/>
      <c r="R241" s="9"/>
      <c r="S241" s="9"/>
      <c r="T241" s="9"/>
      <c r="U241" s="9"/>
      <c r="V241" s="9"/>
      <c r="W241" s="9"/>
      <c r="AW241" t="s">
        <v>2</v>
      </c>
      <c r="AX241" s="9">
        <v>203.12</v>
      </c>
      <c r="AY241" s="9"/>
      <c r="AZ241" s="9"/>
      <c r="BA241" s="9"/>
      <c r="BB241" s="9"/>
      <c r="BC241" s="9"/>
      <c r="BD241" s="9"/>
      <c r="BE241" s="9"/>
      <c r="BF241" s="9"/>
      <c r="BG241" s="9"/>
      <c r="BH241" s="9"/>
    </row>
    <row r="242" spans="1:60" x14ac:dyDescent="0.3">
      <c r="A242" s="44" t="s">
        <v>10</v>
      </c>
      <c r="B242" s="45" t="s">
        <v>1</v>
      </c>
      <c r="C242" s="45">
        <v>3</v>
      </c>
      <c r="D242" s="123">
        <v>130.71</v>
      </c>
      <c r="E242" s="159">
        <v>156.85</v>
      </c>
      <c r="F242" s="45">
        <v>800</v>
      </c>
      <c r="G242" s="30">
        <v>45870</v>
      </c>
      <c r="H242" s="30"/>
      <c r="I24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470.56</v>
      </c>
      <c r="L242" t="s">
        <v>1</v>
      </c>
      <c r="M242" s="9">
        <v>621.83000000000004</v>
      </c>
      <c r="N242" s="9"/>
      <c r="O242" s="9"/>
      <c r="P242" s="9"/>
      <c r="Q242" s="9"/>
      <c r="R242" s="9"/>
      <c r="S242" s="9"/>
      <c r="T242" s="9"/>
      <c r="U242" s="9"/>
      <c r="V242" s="9"/>
      <c r="W242" s="9"/>
      <c r="AW242" t="s">
        <v>1</v>
      </c>
      <c r="AX242" s="9">
        <v>518.19000000000005</v>
      </c>
      <c r="AY242" s="9"/>
      <c r="AZ242" s="9"/>
      <c r="BA242" s="9"/>
      <c r="BB242" s="9"/>
      <c r="BC242" s="9"/>
      <c r="BD242" s="9"/>
      <c r="BE242" s="9"/>
      <c r="BF242" s="9"/>
      <c r="BG242" s="9"/>
      <c r="BH242" s="9"/>
    </row>
    <row r="243" spans="1:60" x14ac:dyDescent="0.3">
      <c r="A243" s="44" t="s">
        <v>10</v>
      </c>
      <c r="B243" s="45" t="s">
        <v>1</v>
      </c>
      <c r="C243" s="45">
        <v>4</v>
      </c>
      <c r="D243" s="123">
        <v>113.4</v>
      </c>
      <c r="E243" s="159">
        <v>136.08000000000001</v>
      </c>
      <c r="F243" s="45">
        <v>800</v>
      </c>
      <c r="G243" s="30">
        <v>45870</v>
      </c>
      <c r="H243" s="30"/>
      <c r="I24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544.32000000000005</v>
      </c>
      <c r="K243" t="s">
        <v>263</v>
      </c>
      <c r="L243" t="s">
        <v>16</v>
      </c>
      <c r="M243" s="9">
        <v>182.94</v>
      </c>
      <c r="N243" s="9"/>
      <c r="O243" s="9"/>
      <c r="P243" s="9"/>
      <c r="Q243" s="9"/>
      <c r="R243" s="9"/>
      <c r="S243" s="9"/>
      <c r="T243" s="9"/>
      <c r="U243" s="9"/>
      <c r="V243" s="9"/>
      <c r="W243" s="9"/>
      <c r="AV243" t="s">
        <v>263</v>
      </c>
      <c r="AW243" t="s">
        <v>16</v>
      </c>
      <c r="AX243" s="9">
        <v>152.44999999999999</v>
      </c>
      <c r="AY243" s="9"/>
      <c r="AZ243" s="9"/>
      <c r="BA243" s="9"/>
      <c r="BB243" s="9"/>
      <c r="BC243" s="9"/>
      <c r="BD243" s="9"/>
      <c r="BE243" s="9"/>
      <c r="BF243" s="9"/>
      <c r="BG243" s="9"/>
      <c r="BH243" s="9"/>
    </row>
    <row r="244" spans="1:60" x14ac:dyDescent="0.3">
      <c r="A244" s="44" t="s">
        <v>10</v>
      </c>
      <c r="B244" s="45" t="s">
        <v>1</v>
      </c>
      <c r="C244" s="45">
        <v>5</v>
      </c>
      <c r="D244" s="123">
        <v>98.02</v>
      </c>
      <c r="E244" s="159">
        <v>117.62</v>
      </c>
      <c r="F244" s="45">
        <v>800</v>
      </c>
      <c r="G244" s="30">
        <v>45870</v>
      </c>
      <c r="H244" s="30"/>
      <c r="I24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588.12</v>
      </c>
      <c r="L244" t="s">
        <v>2</v>
      </c>
      <c r="M244" s="9">
        <v>438.73</v>
      </c>
      <c r="N244" s="9"/>
      <c r="O244" s="9"/>
      <c r="P244" s="9"/>
      <c r="Q244" s="9"/>
      <c r="R244" s="9"/>
      <c r="S244" s="9"/>
      <c r="T244" s="9"/>
      <c r="U244" s="9"/>
      <c r="V244" s="9"/>
      <c r="W244" s="9"/>
      <c r="AW244" t="s">
        <v>2</v>
      </c>
      <c r="AX244" s="9">
        <v>365.61</v>
      </c>
      <c r="AY244" s="9"/>
      <c r="AZ244" s="9"/>
      <c r="BA244" s="9"/>
      <c r="BB244" s="9"/>
      <c r="BC244" s="9"/>
      <c r="BD244" s="9"/>
      <c r="BE244" s="9"/>
      <c r="BF244" s="9"/>
      <c r="BG244" s="9"/>
      <c r="BH244" s="9"/>
    </row>
    <row r="245" spans="1:60" x14ac:dyDescent="0.3">
      <c r="A245" s="44" t="s">
        <v>10</v>
      </c>
      <c r="B245" s="45" t="s">
        <v>2</v>
      </c>
      <c r="C245" s="45">
        <v>1</v>
      </c>
      <c r="D245" s="123">
        <v>119.55</v>
      </c>
      <c r="E245" s="159">
        <v>143.46</v>
      </c>
      <c r="F245" s="45">
        <v>400</v>
      </c>
      <c r="G245" s="30">
        <v>45870</v>
      </c>
      <c r="H245" s="30"/>
      <c r="I24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143.46</v>
      </c>
      <c r="L245" t="s">
        <v>1</v>
      </c>
      <c r="M245" s="9">
        <v>1147.04</v>
      </c>
      <c r="N245" s="9"/>
      <c r="O245" s="9"/>
      <c r="P245" s="9"/>
      <c r="Q245" s="9"/>
      <c r="R245" s="9"/>
      <c r="S245" s="9"/>
      <c r="T245" s="9"/>
      <c r="U245" s="9"/>
      <c r="V245" s="9"/>
      <c r="W245" s="9"/>
      <c r="AW245" t="s">
        <v>1</v>
      </c>
      <c r="AX245" s="9">
        <v>955.87</v>
      </c>
      <c r="AY245" s="9"/>
      <c r="AZ245" s="9"/>
      <c r="BA245" s="9"/>
      <c r="BB245" s="9"/>
      <c r="BC245" s="9"/>
      <c r="BD245" s="9"/>
      <c r="BE245" s="9"/>
      <c r="BF245" s="9"/>
      <c r="BG245" s="9"/>
      <c r="BH245" s="9"/>
    </row>
    <row r="246" spans="1:60" x14ac:dyDescent="0.3">
      <c r="A246" s="44" t="s">
        <v>10</v>
      </c>
      <c r="B246" s="45" t="s">
        <v>2</v>
      </c>
      <c r="C246" s="45">
        <v>2</v>
      </c>
      <c r="D246" s="123">
        <v>99.41</v>
      </c>
      <c r="E246" s="159">
        <v>119.29</v>
      </c>
      <c r="F246" s="45">
        <v>400</v>
      </c>
      <c r="G246" s="30">
        <v>45870</v>
      </c>
      <c r="H246" s="30"/>
      <c r="I24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238.58</v>
      </c>
      <c r="K246" t="s">
        <v>264</v>
      </c>
      <c r="L246" t="s">
        <v>16</v>
      </c>
      <c r="M246" s="9">
        <v>388.88</v>
      </c>
      <c r="N246" s="9"/>
      <c r="O246" s="9"/>
      <c r="P246" s="9"/>
      <c r="Q246" s="9"/>
      <c r="R246" s="9"/>
      <c r="S246" s="9"/>
      <c r="T246" s="9"/>
      <c r="U246" s="9"/>
      <c r="V246" s="9"/>
      <c r="W246" s="9"/>
      <c r="AV246" t="s">
        <v>264</v>
      </c>
      <c r="AW246" t="s">
        <v>16</v>
      </c>
      <c r="AX246" s="9">
        <v>324.07</v>
      </c>
      <c r="AY246" s="9"/>
      <c r="AZ246" s="9"/>
      <c r="BA246" s="9"/>
      <c r="BB246" s="9"/>
      <c r="BC246" s="9"/>
      <c r="BD246" s="9"/>
      <c r="BE246" s="9"/>
      <c r="BF246" s="9"/>
      <c r="BG246" s="9"/>
      <c r="BH246" s="9"/>
    </row>
    <row r="247" spans="1:60" x14ac:dyDescent="0.3">
      <c r="A247" s="44" t="s">
        <v>10</v>
      </c>
      <c r="B247" s="45" t="s">
        <v>2</v>
      </c>
      <c r="C247" s="45">
        <v>3</v>
      </c>
      <c r="D247" s="123">
        <v>77.44</v>
      </c>
      <c r="E247" s="159">
        <v>92.93</v>
      </c>
      <c r="F247" s="45">
        <v>400</v>
      </c>
      <c r="G247" s="30">
        <v>45870</v>
      </c>
      <c r="H247" s="30"/>
      <c r="I24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278.77999999999997</v>
      </c>
      <c r="L247" t="s">
        <v>2</v>
      </c>
      <c r="M247" s="9">
        <v>900.08</v>
      </c>
      <c r="N247" s="9"/>
      <c r="O247" s="9"/>
      <c r="P247" s="9"/>
      <c r="Q247" s="9"/>
      <c r="R247" s="9"/>
      <c r="S247" s="9"/>
      <c r="T247" s="9"/>
      <c r="U247" s="9"/>
      <c r="V247" s="9"/>
      <c r="W247" s="9"/>
      <c r="AW247" t="s">
        <v>2</v>
      </c>
      <c r="AX247" s="9">
        <v>750.07</v>
      </c>
      <c r="AY247" s="9"/>
      <c r="AZ247" s="9"/>
      <c r="BA247" s="9"/>
      <c r="BB247" s="9"/>
      <c r="BC247" s="9"/>
      <c r="BD247" s="9"/>
      <c r="BE247" s="9"/>
      <c r="BF247" s="9"/>
      <c r="BG247" s="9"/>
      <c r="BH247" s="9"/>
    </row>
    <row r="248" spans="1:60" x14ac:dyDescent="0.3">
      <c r="A248" s="44" t="s">
        <v>10</v>
      </c>
      <c r="B248" s="45" t="s">
        <v>2</v>
      </c>
      <c r="C248" s="45">
        <v>4</v>
      </c>
      <c r="D248" s="123">
        <v>67.03</v>
      </c>
      <c r="E248" s="159">
        <v>80.44</v>
      </c>
      <c r="F248" s="45">
        <v>400</v>
      </c>
      <c r="G248" s="30">
        <v>45870</v>
      </c>
      <c r="H248" s="30"/>
      <c r="I24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321.74</v>
      </c>
      <c r="L248" t="s">
        <v>1</v>
      </c>
      <c r="M248" s="9">
        <v>2330.41</v>
      </c>
      <c r="N248" s="9"/>
      <c r="O248" s="9"/>
      <c r="P248" s="9"/>
      <c r="Q248" s="9"/>
      <c r="R248" s="9"/>
      <c r="S248" s="9"/>
      <c r="T248" s="9"/>
      <c r="U248" s="9"/>
      <c r="V248" s="9"/>
      <c r="W248" s="9"/>
      <c r="AW248" t="s">
        <v>1</v>
      </c>
      <c r="AX248" s="9">
        <v>1942.01</v>
      </c>
      <c r="AY248" s="9"/>
      <c r="AZ248" s="9"/>
      <c r="BA248" s="9"/>
      <c r="BB248" s="9"/>
      <c r="BC248" s="9"/>
      <c r="BD248" s="9"/>
      <c r="BE248" s="9"/>
      <c r="BF248" s="9"/>
      <c r="BG248" s="9"/>
      <c r="BH248" s="9"/>
    </row>
    <row r="249" spans="1:60" x14ac:dyDescent="0.3">
      <c r="A249" s="44" t="s">
        <v>10</v>
      </c>
      <c r="B249" s="45" t="s">
        <v>2</v>
      </c>
      <c r="C249" s="45">
        <v>5</v>
      </c>
      <c r="D249" s="123">
        <v>57.8</v>
      </c>
      <c r="E249" s="159">
        <v>69.36</v>
      </c>
      <c r="F249" s="45">
        <v>400</v>
      </c>
      <c r="G249" s="30">
        <v>45870</v>
      </c>
      <c r="H249" s="30"/>
      <c r="I24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346.8</v>
      </c>
      <c r="K249" t="s">
        <v>312</v>
      </c>
      <c r="L249" t="s">
        <v>2</v>
      </c>
      <c r="M249" s="9">
        <v>95</v>
      </c>
      <c r="N249" s="9"/>
      <c r="O249" s="9"/>
      <c r="P249" s="9"/>
      <c r="Q249" s="9"/>
      <c r="R249" s="9"/>
      <c r="S249" s="9"/>
      <c r="T249" s="9"/>
      <c r="U249" s="9"/>
      <c r="V249" s="9"/>
      <c r="W249" s="9"/>
      <c r="AV249" t="s">
        <v>312</v>
      </c>
      <c r="AW249" t="s">
        <v>2</v>
      </c>
      <c r="AX249" s="9">
        <v>79.17</v>
      </c>
      <c r="AY249" s="9"/>
      <c r="AZ249" s="9"/>
      <c r="BA249" s="9"/>
      <c r="BB249" s="9"/>
      <c r="BC249" s="9"/>
      <c r="BD249" s="9"/>
      <c r="BE249" s="9"/>
      <c r="BF249" s="9"/>
      <c r="BG249" s="9"/>
      <c r="BH249" s="9"/>
    </row>
    <row r="250" spans="1:60" x14ac:dyDescent="0.3">
      <c r="A250" s="44" t="s">
        <v>10</v>
      </c>
      <c r="B250" s="45" t="s">
        <v>3</v>
      </c>
      <c r="C250" s="45">
        <v>1</v>
      </c>
      <c r="D250" s="123">
        <v>31.25</v>
      </c>
      <c r="E250" s="159">
        <v>37.5</v>
      </c>
      <c r="F250" s="45">
        <v>60</v>
      </c>
      <c r="G250" s="30">
        <v>45870</v>
      </c>
      <c r="H250" s="30"/>
      <c r="I25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37.5</v>
      </c>
      <c r="L250" t="s">
        <v>1</v>
      </c>
      <c r="M250" s="9">
        <v>236.53</v>
      </c>
      <c r="N250" s="9"/>
      <c r="O250" s="9"/>
      <c r="P250" s="9"/>
      <c r="Q250" s="9"/>
      <c r="R250" s="9"/>
      <c r="S250" s="9"/>
      <c r="T250" s="9"/>
      <c r="U250" s="9"/>
      <c r="V250" s="9"/>
      <c r="W250" s="9"/>
      <c r="AW250" t="s">
        <v>1</v>
      </c>
      <c r="AX250" s="9">
        <v>197.11</v>
      </c>
      <c r="AY250" s="9"/>
      <c r="AZ250" s="9"/>
      <c r="BA250" s="9"/>
      <c r="BB250" s="9"/>
      <c r="BC250" s="9"/>
      <c r="BD250" s="9"/>
      <c r="BE250" s="9"/>
      <c r="BF250" s="9"/>
      <c r="BG250" s="9"/>
      <c r="BH250" s="9"/>
    </row>
    <row r="251" spans="1:60" x14ac:dyDescent="0.3">
      <c r="A251" s="44" t="s">
        <v>10</v>
      </c>
      <c r="B251" s="45" t="s">
        <v>3</v>
      </c>
      <c r="C251" s="45">
        <v>2</v>
      </c>
      <c r="D251" s="123">
        <v>28.69</v>
      </c>
      <c r="E251" s="159">
        <v>34.43</v>
      </c>
      <c r="F251" s="45">
        <v>60</v>
      </c>
      <c r="G251" s="30">
        <v>45870</v>
      </c>
      <c r="H251" s="30"/>
      <c r="I25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68.86</v>
      </c>
      <c r="L251" t="s">
        <v>3</v>
      </c>
      <c r="M251" s="9">
        <v>41.52</v>
      </c>
      <c r="N251" s="9"/>
      <c r="O251" s="9"/>
      <c r="P251" s="9"/>
      <c r="Q251" s="9"/>
      <c r="R251" s="9"/>
      <c r="S251" s="9"/>
      <c r="T251" s="9"/>
      <c r="U251" s="9"/>
      <c r="V251" s="9"/>
      <c r="W251" s="9"/>
      <c r="AW251" t="s">
        <v>3</v>
      </c>
      <c r="AX251" s="9">
        <v>34.6</v>
      </c>
      <c r="AY251" s="9"/>
      <c r="AZ251" s="9"/>
      <c r="BA251" s="9"/>
      <c r="BB251" s="9"/>
      <c r="BC251" s="9"/>
      <c r="BD251" s="9"/>
      <c r="BE251" s="9"/>
      <c r="BF251" s="9"/>
      <c r="BG251" s="9"/>
      <c r="BH251" s="9"/>
    </row>
    <row r="252" spans="1:60" x14ac:dyDescent="0.3">
      <c r="A252" s="44" t="s">
        <v>10</v>
      </c>
      <c r="B252" s="45" t="s">
        <v>3</v>
      </c>
      <c r="C252" s="45">
        <v>3</v>
      </c>
      <c r="D252" s="123">
        <v>28.47</v>
      </c>
      <c r="E252" s="159">
        <v>34.159999999999997</v>
      </c>
      <c r="F252" s="45">
        <v>60</v>
      </c>
      <c r="G252" s="30">
        <v>45870</v>
      </c>
      <c r="H252" s="30"/>
      <c r="I25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102.49</v>
      </c>
      <c r="L252" t="s">
        <v>74</v>
      </c>
      <c r="M252" s="9">
        <v>110.47</v>
      </c>
      <c r="N252" s="9"/>
      <c r="O252" s="9"/>
      <c r="P252" s="9"/>
      <c r="Q252" s="9"/>
      <c r="R252" s="9"/>
      <c r="S252" s="9"/>
      <c r="T252" s="9"/>
      <c r="U252" s="9"/>
      <c r="V252" s="9"/>
      <c r="W252" s="9"/>
      <c r="AW252" t="s">
        <v>74</v>
      </c>
      <c r="AX252" s="9">
        <v>92.06</v>
      </c>
      <c r="AY252" s="9"/>
      <c r="AZ252" s="9"/>
      <c r="BA252" s="9"/>
      <c r="BB252" s="9"/>
      <c r="BC252" s="9"/>
      <c r="BD252" s="9"/>
      <c r="BE252" s="9"/>
      <c r="BF252" s="9"/>
      <c r="BG252" s="9"/>
      <c r="BH252" s="9"/>
    </row>
    <row r="253" spans="1:60" x14ac:dyDescent="0.3">
      <c r="A253" s="44" t="s">
        <v>4</v>
      </c>
      <c r="B253" s="45" t="s">
        <v>1</v>
      </c>
      <c r="C253" s="45">
        <v>1</v>
      </c>
      <c r="D253" s="123">
        <v>247.56</v>
      </c>
      <c r="E253" s="159">
        <v>297.07</v>
      </c>
      <c r="F253" s="45">
        <v>800</v>
      </c>
      <c r="G253" s="30">
        <v>45870</v>
      </c>
      <c r="H253" s="30"/>
      <c r="I25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297.07</v>
      </c>
      <c r="K253" t="s">
        <v>313</v>
      </c>
      <c r="L253" t="s">
        <v>2</v>
      </c>
      <c r="M253" s="9">
        <v>206.87</v>
      </c>
      <c r="N253" s="9"/>
      <c r="O253" s="9"/>
      <c r="P253" s="9"/>
      <c r="Q253" s="9"/>
      <c r="R253" s="9"/>
      <c r="S253" s="9"/>
      <c r="T253" s="9"/>
      <c r="U253" s="9"/>
      <c r="V253" s="9"/>
      <c r="W253" s="9"/>
      <c r="AV253" t="s">
        <v>313</v>
      </c>
      <c r="AW253" t="s">
        <v>2</v>
      </c>
      <c r="AX253" s="9">
        <v>172.39</v>
      </c>
      <c r="AY253" s="9"/>
      <c r="AZ253" s="9"/>
      <c r="BA253" s="9"/>
      <c r="BB253" s="9"/>
      <c r="BC253" s="9"/>
      <c r="BD253" s="9"/>
      <c r="BE253" s="9"/>
      <c r="BF253" s="9"/>
      <c r="BG253" s="9"/>
      <c r="BH253" s="9"/>
    </row>
    <row r="254" spans="1:60" x14ac:dyDescent="0.3">
      <c r="A254" s="44" t="s">
        <v>4</v>
      </c>
      <c r="B254" s="45" t="s">
        <v>1</v>
      </c>
      <c r="C254" s="45">
        <v>2</v>
      </c>
      <c r="D254" s="123">
        <v>206.27</v>
      </c>
      <c r="E254" s="159">
        <v>247.52</v>
      </c>
      <c r="F254" s="45">
        <v>800</v>
      </c>
      <c r="G254" s="30">
        <v>45870</v>
      </c>
      <c r="H254" s="30"/>
      <c r="I25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495.05</v>
      </c>
      <c r="L254" t="s">
        <v>1</v>
      </c>
      <c r="M254" s="9">
        <v>487.68</v>
      </c>
      <c r="N254" s="9"/>
      <c r="O254" s="9"/>
      <c r="P254" s="9"/>
      <c r="Q254" s="9"/>
      <c r="R254" s="9"/>
      <c r="S254" s="9"/>
      <c r="T254" s="9"/>
      <c r="U254" s="9"/>
      <c r="V254" s="9"/>
      <c r="W254" s="9"/>
      <c r="AW254" t="s">
        <v>1</v>
      </c>
      <c r="AX254" s="9">
        <v>406.4</v>
      </c>
      <c r="AY254" s="9"/>
      <c r="AZ254" s="9"/>
      <c r="BA254" s="9"/>
      <c r="BB254" s="9"/>
      <c r="BC254" s="9"/>
      <c r="BD254" s="9"/>
      <c r="BE254" s="9"/>
      <c r="BF254" s="9"/>
      <c r="BG254" s="9"/>
      <c r="BH254" s="9"/>
    </row>
    <row r="255" spans="1:60" x14ac:dyDescent="0.3">
      <c r="A255" s="44" t="s">
        <v>4</v>
      </c>
      <c r="B255" s="45" t="s">
        <v>1</v>
      </c>
      <c r="C255" s="45">
        <v>3</v>
      </c>
      <c r="D255" s="123">
        <v>161.1</v>
      </c>
      <c r="E255" s="159">
        <v>193.32</v>
      </c>
      <c r="F255" s="45">
        <v>800</v>
      </c>
      <c r="G255" s="30">
        <v>45870</v>
      </c>
      <c r="H255" s="30"/>
      <c r="I25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579.96</v>
      </c>
      <c r="L255" t="s">
        <v>3</v>
      </c>
      <c r="M255" s="9">
        <v>85.8</v>
      </c>
      <c r="N255" s="9"/>
      <c r="O255" s="9"/>
      <c r="P255" s="9"/>
      <c r="Q255" s="9"/>
      <c r="R255" s="9"/>
      <c r="S255" s="9"/>
      <c r="T255" s="9"/>
      <c r="U255" s="9"/>
      <c r="V255" s="9"/>
      <c r="W255" s="9"/>
      <c r="AW255" t="s">
        <v>3</v>
      </c>
      <c r="AX255" s="9">
        <v>71.5</v>
      </c>
      <c r="AY255" s="9"/>
      <c r="AZ255" s="9"/>
      <c r="BA255" s="9"/>
      <c r="BB255" s="9"/>
      <c r="BC255" s="9"/>
      <c r="BD255" s="9"/>
      <c r="BE255" s="9"/>
      <c r="BF255" s="9"/>
      <c r="BG255" s="9"/>
      <c r="BH255" s="9"/>
    </row>
    <row r="256" spans="1:60" x14ac:dyDescent="0.3">
      <c r="A256" s="44" t="s">
        <v>4</v>
      </c>
      <c r="B256" s="45" t="s">
        <v>1</v>
      </c>
      <c r="C256" s="45">
        <v>4</v>
      </c>
      <c r="D256" s="123">
        <v>139.72999999999999</v>
      </c>
      <c r="E256" s="159">
        <v>167.68</v>
      </c>
      <c r="F256" s="45">
        <v>800</v>
      </c>
      <c r="G256" s="30">
        <v>45870</v>
      </c>
      <c r="H256" s="30"/>
      <c r="I25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670.7</v>
      </c>
      <c r="L256" t="s">
        <v>74</v>
      </c>
      <c r="M256" s="9">
        <v>240.17</v>
      </c>
      <c r="N256" s="9"/>
      <c r="O256" s="9"/>
      <c r="P256" s="9"/>
      <c r="Q256" s="9"/>
      <c r="R256" s="9"/>
      <c r="S256" s="9"/>
      <c r="T256" s="9"/>
      <c r="U256" s="9"/>
      <c r="V256" s="9"/>
      <c r="W256" s="9"/>
      <c r="AW256" t="s">
        <v>74</v>
      </c>
      <c r="AX256" s="9">
        <v>200.14</v>
      </c>
      <c r="AY256" s="9"/>
      <c r="AZ256" s="9"/>
      <c r="BA256" s="9"/>
      <c r="BB256" s="9"/>
      <c r="BC256" s="9"/>
      <c r="BD256" s="9"/>
      <c r="BE256" s="9"/>
      <c r="BF256" s="9"/>
      <c r="BG256" s="9"/>
      <c r="BH256" s="9"/>
    </row>
    <row r="257" spans="1:60" x14ac:dyDescent="0.3">
      <c r="A257" s="44" t="s">
        <v>4</v>
      </c>
      <c r="B257" s="45" t="s">
        <v>1</v>
      </c>
      <c r="C257" s="45">
        <v>5</v>
      </c>
      <c r="D257" s="123">
        <v>120.76</v>
      </c>
      <c r="E257" s="159">
        <v>144.91</v>
      </c>
      <c r="F257" s="45">
        <v>800</v>
      </c>
      <c r="G257" s="30">
        <v>45870</v>
      </c>
      <c r="H257" s="30"/>
      <c r="I25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724.56</v>
      </c>
      <c r="K257" t="s">
        <v>314</v>
      </c>
      <c r="L257" t="s">
        <v>2</v>
      </c>
      <c r="M257" s="9">
        <v>95</v>
      </c>
      <c r="N257" s="9"/>
      <c r="O257" s="9"/>
      <c r="P257" s="9"/>
      <c r="Q257" s="9"/>
      <c r="R257" s="9"/>
      <c r="S257" s="9"/>
      <c r="T257" s="9"/>
      <c r="U257" s="9"/>
      <c r="V257" s="9"/>
      <c r="W257" s="9"/>
      <c r="AV257" t="s">
        <v>314</v>
      </c>
      <c r="AW257" t="s">
        <v>2</v>
      </c>
      <c r="AX257" s="9">
        <v>79.17</v>
      </c>
      <c r="AY257" s="9"/>
      <c r="AZ257" s="9"/>
      <c r="BA257" s="9"/>
      <c r="BB257" s="9"/>
      <c r="BC257" s="9"/>
      <c r="BD257" s="9"/>
      <c r="BE257" s="9"/>
      <c r="BF257" s="9"/>
      <c r="BG257" s="9"/>
      <c r="BH257" s="9"/>
    </row>
    <row r="258" spans="1:60" x14ac:dyDescent="0.3">
      <c r="A258" s="44" t="s">
        <v>4</v>
      </c>
      <c r="B258" s="45" t="s">
        <v>1</v>
      </c>
      <c r="C258" s="45">
        <v>6</v>
      </c>
      <c r="D258" s="123">
        <v>119.95</v>
      </c>
      <c r="E258" s="159">
        <v>143.94</v>
      </c>
      <c r="F258" s="45">
        <v>800</v>
      </c>
      <c r="G258" s="30">
        <v>45870</v>
      </c>
      <c r="H258" s="30"/>
      <c r="I25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863.64</v>
      </c>
      <c r="L258" t="s">
        <v>1</v>
      </c>
      <c r="M258" s="9">
        <v>236.53</v>
      </c>
      <c r="N258" s="9"/>
      <c r="O258" s="9"/>
      <c r="P258" s="9"/>
      <c r="Q258" s="9"/>
      <c r="R258" s="9"/>
      <c r="S258" s="9"/>
      <c r="T258" s="9"/>
      <c r="U258" s="9"/>
      <c r="V258" s="9"/>
      <c r="W258" s="9"/>
      <c r="AW258" t="s">
        <v>1</v>
      </c>
      <c r="AX258" s="9">
        <v>197.11</v>
      </c>
      <c r="AY258" s="9"/>
      <c r="AZ258" s="9"/>
      <c r="BA258" s="9"/>
      <c r="BB258" s="9"/>
      <c r="BC258" s="9"/>
      <c r="BD258" s="9"/>
      <c r="BE258" s="9"/>
      <c r="BF258" s="9"/>
      <c r="BG258" s="9"/>
      <c r="BH258" s="9"/>
    </row>
    <row r="259" spans="1:60" x14ac:dyDescent="0.3">
      <c r="A259" s="44" t="s">
        <v>4</v>
      </c>
      <c r="B259" s="45" t="s">
        <v>1</v>
      </c>
      <c r="C259" s="45">
        <v>7</v>
      </c>
      <c r="D259" s="123">
        <v>116.97</v>
      </c>
      <c r="E259" s="159">
        <v>140.36000000000001</v>
      </c>
      <c r="F259" s="45">
        <v>800</v>
      </c>
      <c r="G259" s="30">
        <v>45870</v>
      </c>
      <c r="H259" s="30"/>
      <c r="I25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982.55</v>
      </c>
      <c r="L259" t="s">
        <v>3</v>
      </c>
      <c r="M259" s="9">
        <v>41.52</v>
      </c>
      <c r="N259" s="9"/>
      <c r="O259" s="9"/>
      <c r="P259" s="9"/>
      <c r="Q259" s="9"/>
      <c r="R259" s="9"/>
      <c r="S259" s="9"/>
      <c r="T259" s="9"/>
      <c r="U259" s="9"/>
      <c r="V259" s="9"/>
      <c r="W259" s="9"/>
      <c r="AW259" t="s">
        <v>3</v>
      </c>
      <c r="AX259" s="9">
        <v>34.6</v>
      </c>
      <c r="AY259" s="9"/>
      <c r="AZ259" s="9"/>
      <c r="BA259" s="9"/>
      <c r="BB259" s="9"/>
      <c r="BC259" s="9"/>
      <c r="BD259" s="9"/>
      <c r="BE259" s="9"/>
      <c r="BF259" s="9"/>
      <c r="BG259" s="9"/>
      <c r="BH259" s="9"/>
    </row>
    <row r="260" spans="1:60" x14ac:dyDescent="0.3">
      <c r="A260" s="44" t="s">
        <v>4</v>
      </c>
      <c r="B260" s="45" t="s">
        <v>1</v>
      </c>
      <c r="C260" s="45">
        <v>8</v>
      </c>
      <c r="D260" s="123">
        <v>114.02</v>
      </c>
      <c r="E260" s="159">
        <v>136.82</v>
      </c>
      <c r="F260" s="45">
        <v>800</v>
      </c>
      <c r="G260" s="30">
        <v>45870</v>
      </c>
      <c r="H260" s="30"/>
      <c r="I26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1094.5899999999999</v>
      </c>
      <c r="L260" t="s">
        <v>74</v>
      </c>
      <c r="M260" s="9">
        <v>110.47</v>
      </c>
      <c r="N260" s="9"/>
      <c r="O260" s="9"/>
      <c r="P260" s="9"/>
      <c r="Q260" s="9"/>
      <c r="R260" s="9"/>
      <c r="S260" s="9"/>
      <c r="T260" s="9"/>
      <c r="U260" s="9"/>
      <c r="V260" s="9"/>
      <c r="W260" s="9"/>
      <c r="AW260" t="s">
        <v>74</v>
      </c>
      <c r="AX260" s="9">
        <v>92.06</v>
      </c>
      <c r="AY260" s="9"/>
      <c r="AZ260" s="9"/>
      <c r="BA260" s="9"/>
      <c r="BB260" s="9"/>
      <c r="BC260" s="9"/>
      <c r="BD260" s="9"/>
      <c r="BE260" s="9"/>
      <c r="BF260" s="9"/>
      <c r="BG260" s="9"/>
      <c r="BH260" s="9"/>
    </row>
    <row r="261" spans="1:60" x14ac:dyDescent="0.3">
      <c r="A261" s="44" t="s">
        <v>4</v>
      </c>
      <c r="B261" s="45" t="s">
        <v>1</v>
      </c>
      <c r="C261" s="45">
        <v>9</v>
      </c>
      <c r="D261" s="123">
        <v>111.17</v>
      </c>
      <c r="E261" s="159">
        <v>133.4</v>
      </c>
      <c r="F261" s="45">
        <v>800</v>
      </c>
      <c r="G261" s="30">
        <v>45870</v>
      </c>
      <c r="H261" s="30"/>
      <c r="I26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1200.6400000000001</v>
      </c>
      <c r="K261" t="s">
        <v>315</v>
      </c>
      <c r="L261" t="s">
        <v>2</v>
      </c>
      <c r="M261" s="9">
        <v>206.87</v>
      </c>
      <c r="N261" s="9"/>
      <c r="O261" s="9"/>
      <c r="P261" s="9"/>
      <c r="Q261" s="9"/>
      <c r="R261" s="9"/>
      <c r="S261" s="9"/>
      <c r="T261" s="9"/>
      <c r="U261" s="9"/>
      <c r="V261" s="9"/>
      <c r="W261" s="9"/>
      <c r="AV261" t="s">
        <v>315</v>
      </c>
      <c r="AW261" t="s">
        <v>2</v>
      </c>
      <c r="AX261" s="9">
        <v>172.39</v>
      </c>
      <c r="AY261" s="9"/>
      <c r="AZ261" s="9"/>
      <c r="BA261" s="9"/>
      <c r="BB261" s="9"/>
      <c r="BC261" s="9"/>
      <c r="BD261" s="9"/>
      <c r="BE261" s="9"/>
      <c r="BF261" s="9"/>
      <c r="BG261" s="9"/>
      <c r="BH261" s="9"/>
    </row>
    <row r="262" spans="1:60" x14ac:dyDescent="0.3">
      <c r="A262" s="44" t="s">
        <v>4</v>
      </c>
      <c r="B262" s="45" t="s">
        <v>1</v>
      </c>
      <c r="C262" s="45">
        <v>10</v>
      </c>
      <c r="D262" s="123">
        <v>108.39</v>
      </c>
      <c r="E262" s="159">
        <v>130.07</v>
      </c>
      <c r="F262" s="45">
        <v>800</v>
      </c>
      <c r="G262" s="30">
        <v>45870</v>
      </c>
      <c r="H262" s="30"/>
      <c r="I26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1300.68</v>
      </c>
      <c r="L262" t="s">
        <v>1</v>
      </c>
      <c r="M262" s="9">
        <v>487.68</v>
      </c>
      <c r="N262" s="9"/>
      <c r="O262" s="9"/>
      <c r="P262" s="9"/>
      <c r="Q262" s="9"/>
      <c r="R262" s="9"/>
      <c r="S262" s="9"/>
      <c r="T262" s="9"/>
      <c r="U262" s="9"/>
      <c r="V262" s="9"/>
      <c r="W262" s="9"/>
      <c r="AW262" t="s">
        <v>1</v>
      </c>
      <c r="AX262" s="9">
        <v>406.4</v>
      </c>
      <c r="AY262" s="9"/>
      <c r="AZ262" s="9"/>
      <c r="BA262" s="9"/>
      <c r="BB262" s="9"/>
      <c r="BC262" s="9"/>
      <c r="BD262" s="9"/>
      <c r="BE262" s="9"/>
      <c r="BF262" s="9"/>
      <c r="BG262" s="9"/>
      <c r="BH262" s="9"/>
    </row>
    <row r="263" spans="1:60" x14ac:dyDescent="0.3">
      <c r="A263" s="44" t="s">
        <v>4</v>
      </c>
      <c r="B263" s="45" t="s">
        <v>2</v>
      </c>
      <c r="C263" s="45">
        <v>1</v>
      </c>
      <c r="D263" s="123">
        <v>137.04</v>
      </c>
      <c r="E263" s="159">
        <v>164.45</v>
      </c>
      <c r="F263" s="45">
        <v>400</v>
      </c>
      <c r="G263" s="30">
        <v>45870</v>
      </c>
      <c r="H263" s="30"/>
      <c r="I26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164.45</v>
      </c>
      <c r="L263" t="s">
        <v>3</v>
      </c>
      <c r="M263" s="9">
        <v>85.8</v>
      </c>
      <c r="N263" s="9"/>
      <c r="O263" s="9"/>
      <c r="P263" s="9"/>
      <c r="Q263" s="9"/>
      <c r="R263" s="9"/>
      <c r="S263" s="9"/>
      <c r="T263" s="9"/>
      <c r="U263" s="9"/>
      <c r="V263" s="9"/>
      <c r="W263" s="9"/>
      <c r="AW263" t="s">
        <v>3</v>
      </c>
      <c r="AX263" s="9">
        <v>71.5</v>
      </c>
      <c r="AY263" s="9"/>
      <c r="AZ263" s="9"/>
      <c r="BA263" s="9"/>
      <c r="BB263" s="9"/>
      <c r="BC263" s="9"/>
      <c r="BD263" s="9"/>
      <c r="BE263" s="9"/>
      <c r="BF263" s="9"/>
      <c r="BG263" s="9"/>
      <c r="BH263" s="9"/>
    </row>
    <row r="264" spans="1:60" x14ac:dyDescent="0.3">
      <c r="A264" s="44" t="s">
        <v>4</v>
      </c>
      <c r="B264" s="45" t="s">
        <v>2</v>
      </c>
      <c r="C264" s="45">
        <v>2</v>
      </c>
      <c r="D264" s="123">
        <v>113.86</v>
      </c>
      <c r="E264" s="159">
        <v>136.63</v>
      </c>
      <c r="F264" s="45">
        <v>400</v>
      </c>
      <c r="G264" s="30">
        <v>45870</v>
      </c>
      <c r="H264" s="30"/>
      <c r="I26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273.26</v>
      </c>
      <c r="L264" t="s">
        <v>74</v>
      </c>
      <c r="M264" s="9">
        <v>240.17</v>
      </c>
      <c r="N264" s="9"/>
      <c r="O264" s="9"/>
      <c r="P264" s="9"/>
      <c r="Q264" s="9"/>
      <c r="R264" s="9"/>
      <c r="S264" s="9"/>
      <c r="T264" s="9"/>
      <c r="U264" s="9"/>
      <c r="V264" s="9"/>
      <c r="W264" s="9"/>
      <c r="AW264" t="s">
        <v>74</v>
      </c>
      <c r="AX264" s="9">
        <v>200.14</v>
      </c>
      <c r="AY264" s="9"/>
      <c r="AZ264" s="9"/>
      <c r="BA264" s="9"/>
      <c r="BB264" s="9"/>
      <c r="BC264" s="9"/>
      <c r="BD264" s="9"/>
      <c r="BE264" s="9"/>
      <c r="BF264" s="9"/>
      <c r="BG264" s="9"/>
      <c r="BH264" s="9"/>
    </row>
    <row r="265" spans="1:60" x14ac:dyDescent="0.3">
      <c r="A265" s="44" t="s">
        <v>4</v>
      </c>
      <c r="B265" s="45" t="s">
        <v>2</v>
      </c>
      <c r="C265" s="45">
        <v>3</v>
      </c>
      <c r="D265" s="123">
        <v>88.71</v>
      </c>
      <c r="E265" s="159">
        <v>106.45</v>
      </c>
      <c r="F265" s="45">
        <v>400</v>
      </c>
      <c r="G265" s="30">
        <v>45870</v>
      </c>
      <c r="H265" s="30"/>
      <c r="I26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319.36</v>
      </c>
      <c r="K265" t="s">
        <v>316</v>
      </c>
      <c r="L265" t="s">
        <v>251</v>
      </c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>
        <v>16.07</v>
      </c>
      <c r="AV265" t="s">
        <v>316</v>
      </c>
      <c r="AW265" t="s">
        <v>251</v>
      </c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>
        <v>13.39</v>
      </c>
    </row>
    <row r="266" spans="1:60" x14ac:dyDescent="0.3">
      <c r="A266" s="44" t="s">
        <v>4</v>
      </c>
      <c r="B266" s="45" t="s">
        <v>2</v>
      </c>
      <c r="C266" s="45">
        <v>4</v>
      </c>
      <c r="D266" s="123">
        <v>76.760000000000005</v>
      </c>
      <c r="E266" s="159">
        <v>92.11</v>
      </c>
      <c r="F266" s="45">
        <v>400</v>
      </c>
      <c r="G266" s="30">
        <v>45870</v>
      </c>
      <c r="H266" s="30"/>
      <c r="I26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368.45</v>
      </c>
      <c r="K266" t="s">
        <v>318</v>
      </c>
      <c r="L266" t="s">
        <v>251</v>
      </c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>
        <v>16.07</v>
      </c>
      <c r="AV266" t="s">
        <v>318</v>
      </c>
      <c r="AW266" t="s">
        <v>251</v>
      </c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>
        <v>13.39</v>
      </c>
    </row>
    <row r="267" spans="1:60" x14ac:dyDescent="0.3">
      <c r="A267" s="44" t="s">
        <v>4</v>
      </c>
      <c r="B267" s="45" t="s">
        <v>2</v>
      </c>
      <c r="C267" s="45">
        <v>5</v>
      </c>
      <c r="D267" s="123">
        <v>66.16</v>
      </c>
      <c r="E267" s="159">
        <v>79.39</v>
      </c>
      <c r="F267" s="45">
        <v>400</v>
      </c>
      <c r="G267" s="30">
        <v>45870</v>
      </c>
      <c r="H267" s="30"/>
      <c r="I26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396.96</v>
      </c>
    </row>
    <row r="268" spans="1:60" x14ac:dyDescent="0.3">
      <c r="A268" s="44" t="s">
        <v>4</v>
      </c>
      <c r="B268" s="45" t="s">
        <v>2</v>
      </c>
      <c r="C268" s="45">
        <v>6</v>
      </c>
      <c r="D268" s="123">
        <v>65.73</v>
      </c>
      <c r="E268" s="159">
        <v>78.88</v>
      </c>
      <c r="F268" s="45">
        <v>400</v>
      </c>
      <c r="G268" s="30">
        <v>45870</v>
      </c>
      <c r="H268" s="30"/>
      <c r="I26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473.26</v>
      </c>
    </row>
    <row r="269" spans="1:60" x14ac:dyDescent="0.3">
      <c r="A269" s="44" t="s">
        <v>4</v>
      </c>
      <c r="B269" s="45" t="s">
        <v>2</v>
      </c>
      <c r="C269" s="45">
        <v>7</v>
      </c>
      <c r="D269" s="123">
        <v>64.09</v>
      </c>
      <c r="E269" s="159">
        <v>76.91</v>
      </c>
      <c r="F269" s="45">
        <v>400</v>
      </c>
      <c r="G269" s="30">
        <v>45870</v>
      </c>
      <c r="H269" s="30"/>
      <c r="I26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538.36</v>
      </c>
    </row>
    <row r="270" spans="1:60" x14ac:dyDescent="0.3">
      <c r="A270" s="44" t="s">
        <v>4</v>
      </c>
      <c r="B270" s="45" t="s">
        <v>2</v>
      </c>
      <c r="C270" s="45">
        <v>8</v>
      </c>
      <c r="D270" s="123">
        <v>62.49</v>
      </c>
      <c r="E270" s="159">
        <v>74.989999999999995</v>
      </c>
      <c r="F270" s="45">
        <v>400</v>
      </c>
      <c r="G270" s="30">
        <v>45870</v>
      </c>
      <c r="H270" s="30"/>
      <c r="I27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599.9</v>
      </c>
    </row>
    <row r="271" spans="1:60" x14ac:dyDescent="0.3">
      <c r="A271" s="44" t="s">
        <v>4</v>
      </c>
      <c r="B271" s="45" t="s">
        <v>2</v>
      </c>
      <c r="C271" s="45">
        <v>9</v>
      </c>
      <c r="D271" s="123">
        <v>60.92</v>
      </c>
      <c r="E271" s="159">
        <v>73.099999999999994</v>
      </c>
      <c r="F271" s="45">
        <v>400</v>
      </c>
      <c r="G271" s="30">
        <v>45870</v>
      </c>
      <c r="H271" s="30"/>
      <c r="I27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657.94</v>
      </c>
    </row>
    <row r="272" spans="1:60" x14ac:dyDescent="0.3">
      <c r="A272" s="44" t="s">
        <v>4</v>
      </c>
      <c r="B272" s="45" t="s">
        <v>2</v>
      </c>
      <c r="C272" s="45">
        <v>10</v>
      </c>
      <c r="D272" s="123">
        <v>59.42</v>
      </c>
      <c r="E272" s="159">
        <v>71.3</v>
      </c>
      <c r="F272" s="45">
        <v>400</v>
      </c>
      <c r="G272" s="30">
        <v>45870</v>
      </c>
      <c r="H272" s="30"/>
      <c r="I27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713.04</v>
      </c>
    </row>
    <row r="273" spans="1:9" x14ac:dyDescent="0.3">
      <c r="A273" s="44" t="s">
        <v>4</v>
      </c>
      <c r="B273" s="45" t="s">
        <v>16</v>
      </c>
      <c r="C273" s="45">
        <v>1</v>
      </c>
      <c r="D273" s="123">
        <v>36.090000000000003</v>
      </c>
      <c r="E273" s="159">
        <v>43.31</v>
      </c>
      <c r="F273" s="45">
        <v>60</v>
      </c>
      <c r="G273" s="30">
        <v>45870</v>
      </c>
      <c r="H273" s="30"/>
      <c r="I27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43.31</v>
      </c>
    </row>
    <row r="274" spans="1:9" x14ac:dyDescent="0.3">
      <c r="A274" s="44" t="s">
        <v>4</v>
      </c>
      <c r="B274" s="45" t="s">
        <v>16</v>
      </c>
      <c r="C274" s="45">
        <v>2</v>
      </c>
      <c r="D274" s="123">
        <v>33.11</v>
      </c>
      <c r="E274" s="159">
        <v>39.729999999999997</v>
      </c>
      <c r="F274" s="45">
        <v>60</v>
      </c>
      <c r="G274" s="30">
        <v>45870</v>
      </c>
      <c r="H274" s="30"/>
      <c r="I27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79.459999999999994</v>
      </c>
    </row>
    <row r="275" spans="1:9" x14ac:dyDescent="0.3">
      <c r="A275" s="44" t="s">
        <v>4</v>
      </c>
      <c r="B275" s="45" t="s">
        <v>16</v>
      </c>
      <c r="C275" s="45">
        <v>3</v>
      </c>
      <c r="D275" s="123">
        <v>32.89</v>
      </c>
      <c r="E275" s="159">
        <v>39.47</v>
      </c>
      <c r="F275" s="45">
        <v>60</v>
      </c>
      <c r="G275" s="30">
        <v>45870</v>
      </c>
      <c r="H275" s="30"/>
      <c r="I27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118.4</v>
      </c>
    </row>
    <row r="276" spans="1:9" x14ac:dyDescent="0.3">
      <c r="A276" s="44" t="s">
        <v>4</v>
      </c>
      <c r="B276" s="45" t="s">
        <v>16</v>
      </c>
      <c r="C276" s="45">
        <v>4</v>
      </c>
      <c r="D276" s="123">
        <v>32.71</v>
      </c>
      <c r="E276" s="159">
        <v>39.25</v>
      </c>
      <c r="F276" s="45">
        <v>60</v>
      </c>
      <c r="G276" s="30">
        <v>45870</v>
      </c>
      <c r="H276" s="30"/>
      <c r="I27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157.01</v>
      </c>
    </row>
    <row r="277" spans="1:9" x14ac:dyDescent="0.3">
      <c r="A277" s="44" t="s">
        <v>4</v>
      </c>
      <c r="B277" s="45" t="s">
        <v>16</v>
      </c>
      <c r="C277" s="45">
        <v>5</v>
      </c>
      <c r="D277" s="123">
        <v>32.46</v>
      </c>
      <c r="E277" s="159">
        <v>38.950000000000003</v>
      </c>
      <c r="F277" s="45">
        <v>60</v>
      </c>
      <c r="G277" s="30">
        <v>45870</v>
      </c>
      <c r="H277" s="30"/>
      <c r="I27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194.76</v>
      </c>
    </row>
    <row r="278" spans="1:9" x14ac:dyDescent="0.3">
      <c r="A278" s="44" t="s">
        <v>9</v>
      </c>
      <c r="B278" s="45" t="s">
        <v>1</v>
      </c>
      <c r="C278" s="45">
        <v>1</v>
      </c>
      <c r="D278" s="123">
        <v>571.26</v>
      </c>
      <c r="E278" s="159">
        <v>685.51</v>
      </c>
      <c r="F278" s="45">
        <v>800</v>
      </c>
      <c r="G278" s="30">
        <v>45870</v>
      </c>
      <c r="H278" s="30"/>
      <c r="I27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685.51</v>
      </c>
    </row>
    <row r="279" spans="1:9" x14ac:dyDescent="0.3">
      <c r="A279" s="44" t="s">
        <v>9</v>
      </c>
      <c r="B279" s="45" t="s">
        <v>1</v>
      </c>
      <c r="C279" s="45">
        <v>2</v>
      </c>
      <c r="D279" s="123">
        <v>475.98</v>
      </c>
      <c r="E279" s="159">
        <v>571.17999999999995</v>
      </c>
      <c r="F279" s="45">
        <v>800</v>
      </c>
      <c r="G279" s="30">
        <v>45870</v>
      </c>
      <c r="H279" s="30"/>
      <c r="I27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1142.3499999999999</v>
      </c>
    </row>
    <row r="280" spans="1:9" x14ac:dyDescent="0.3">
      <c r="A280" s="44" t="s">
        <v>9</v>
      </c>
      <c r="B280" s="45" t="s">
        <v>1</v>
      </c>
      <c r="C280" s="45">
        <v>3</v>
      </c>
      <c r="D280" s="123">
        <v>371.67</v>
      </c>
      <c r="E280" s="159">
        <v>446</v>
      </c>
      <c r="F280" s="45">
        <v>800</v>
      </c>
      <c r="G280" s="30">
        <v>45870</v>
      </c>
      <c r="H280" s="30"/>
      <c r="I28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1338.01</v>
      </c>
    </row>
    <row r="281" spans="1:9" x14ac:dyDescent="0.3">
      <c r="A281" s="44" t="s">
        <v>9</v>
      </c>
      <c r="B281" s="45" t="s">
        <v>1</v>
      </c>
      <c r="C281" s="45">
        <v>4</v>
      </c>
      <c r="D281" s="123">
        <v>322.54000000000002</v>
      </c>
      <c r="E281" s="159">
        <v>387.05</v>
      </c>
      <c r="F281" s="45">
        <v>800</v>
      </c>
      <c r="G281" s="30">
        <v>45870</v>
      </c>
      <c r="H281" s="30"/>
      <c r="I28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1548.19</v>
      </c>
    </row>
    <row r="282" spans="1:9" x14ac:dyDescent="0.3">
      <c r="A282" s="44" t="s">
        <v>9</v>
      </c>
      <c r="B282" s="45" t="s">
        <v>1</v>
      </c>
      <c r="C282" s="45">
        <v>5</v>
      </c>
      <c r="D282" s="123">
        <v>278.67</v>
      </c>
      <c r="E282" s="159">
        <v>334.4</v>
      </c>
      <c r="F282" s="45">
        <v>800</v>
      </c>
      <c r="G282" s="30">
        <v>45870</v>
      </c>
      <c r="H282" s="30"/>
      <c r="I28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1672.02</v>
      </c>
    </row>
    <row r="283" spans="1:9" x14ac:dyDescent="0.3">
      <c r="A283" s="44" t="s">
        <v>9</v>
      </c>
      <c r="B283" s="45" t="s">
        <v>1</v>
      </c>
      <c r="C283" s="45">
        <v>6</v>
      </c>
      <c r="D283" s="123">
        <v>246.61</v>
      </c>
      <c r="E283" s="159">
        <v>295.93</v>
      </c>
      <c r="F283" s="45">
        <v>800</v>
      </c>
      <c r="G283" s="30">
        <v>45870</v>
      </c>
      <c r="H283" s="30"/>
      <c r="I28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1775.59</v>
      </c>
    </row>
    <row r="284" spans="1:9" x14ac:dyDescent="0.3">
      <c r="A284" s="44" t="s">
        <v>9</v>
      </c>
      <c r="B284" s="45" t="s">
        <v>1</v>
      </c>
      <c r="C284" s="45">
        <v>7</v>
      </c>
      <c r="D284" s="123">
        <v>217.9</v>
      </c>
      <c r="E284" s="159">
        <v>261.48</v>
      </c>
      <c r="F284" s="45">
        <v>800</v>
      </c>
      <c r="G284" s="30">
        <v>45870</v>
      </c>
      <c r="H284" s="30"/>
      <c r="I28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1830.36</v>
      </c>
    </row>
    <row r="285" spans="1:9" x14ac:dyDescent="0.3">
      <c r="A285" s="44" t="s">
        <v>9</v>
      </c>
      <c r="B285" s="45" t="s">
        <v>1</v>
      </c>
      <c r="C285" s="45">
        <v>8</v>
      </c>
      <c r="D285" s="123">
        <v>194.93</v>
      </c>
      <c r="E285" s="159">
        <v>233.92</v>
      </c>
      <c r="F285" s="45">
        <v>800</v>
      </c>
      <c r="G285" s="30">
        <v>45870</v>
      </c>
      <c r="H285" s="30"/>
      <c r="I28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1871.33</v>
      </c>
    </row>
    <row r="286" spans="1:9" x14ac:dyDescent="0.3">
      <c r="A286" s="44" t="s">
        <v>9</v>
      </c>
      <c r="B286" s="45" t="s">
        <v>1</v>
      </c>
      <c r="C286" s="45">
        <v>9</v>
      </c>
      <c r="D286" s="123">
        <v>177.49</v>
      </c>
      <c r="E286" s="159">
        <v>212.99</v>
      </c>
      <c r="F286" s="45">
        <v>800</v>
      </c>
      <c r="G286" s="30">
        <v>45870</v>
      </c>
      <c r="H286" s="30"/>
      <c r="I28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1916.89</v>
      </c>
    </row>
    <row r="287" spans="1:9" x14ac:dyDescent="0.3">
      <c r="A287" s="44" t="s">
        <v>9</v>
      </c>
      <c r="B287" s="45" t="s">
        <v>1</v>
      </c>
      <c r="C287" s="45">
        <v>10</v>
      </c>
      <c r="D287" s="123">
        <v>165.83</v>
      </c>
      <c r="E287" s="159">
        <v>199</v>
      </c>
      <c r="F287" s="45">
        <v>800</v>
      </c>
      <c r="G287" s="30">
        <v>45870</v>
      </c>
      <c r="H287" s="30"/>
      <c r="I28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1989.96</v>
      </c>
    </row>
    <row r="288" spans="1:9" x14ac:dyDescent="0.3">
      <c r="A288" s="44" t="s">
        <v>9</v>
      </c>
      <c r="B288" s="45" t="s">
        <v>2</v>
      </c>
      <c r="C288" s="45">
        <v>1</v>
      </c>
      <c r="D288" s="123">
        <v>270.87</v>
      </c>
      <c r="E288" s="159">
        <v>325.04000000000002</v>
      </c>
      <c r="F288" s="45">
        <v>400</v>
      </c>
      <c r="G288" s="30">
        <v>45870</v>
      </c>
      <c r="H288" s="30"/>
      <c r="I28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325.04000000000002</v>
      </c>
    </row>
    <row r="289" spans="1:9" x14ac:dyDescent="0.3">
      <c r="A289" s="44" t="s">
        <v>9</v>
      </c>
      <c r="B289" s="45" t="s">
        <v>2</v>
      </c>
      <c r="C289" s="45">
        <v>2</v>
      </c>
      <c r="D289" s="123">
        <v>225.09</v>
      </c>
      <c r="E289" s="159">
        <v>270.11</v>
      </c>
      <c r="F289" s="45">
        <v>400</v>
      </c>
      <c r="G289" s="30">
        <v>45870</v>
      </c>
      <c r="H289" s="30"/>
      <c r="I28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540.22</v>
      </c>
    </row>
    <row r="290" spans="1:9" x14ac:dyDescent="0.3">
      <c r="A290" s="44" t="s">
        <v>9</v>
      </c>
      <c r="B290" s="45" t="s">
        <v>2</v>
      </c>
      <c r="C290" s="45">
        <v>3</v>
      </c>
      <c r="D290" s="123">
        <v>175.39</v>
      </c>
      <c r="E290" s="159">
        <v>210.47</v>
      </c>
      <c r="F290" s="45">
        <v>400</v>
      </c>
      <c r="G290" s="30">
        <v>45870</v>
      </c>
      <c r="H290" s="30"/>
      <c r="I29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631.4</v>
      </c>
    </row>
    <row r="291" spans="1:9" x14ac:dyDescent="0.3">
      <c r="A291" s="44" t="s">
        <v>9</v>
      </c>
      <c r="B291" s="45" t="s">
        <v>2</v>
      </c>
      <c r="C291" s="45">
        <v>4</v>
      </c>
      <c r="D291" s="123">
        <v>151.86000000000001</v>
      </c>
      <c r="E291" s="159">
        <v>182.23</v>
      </c>
      <c r="F291" s="45">
        <v>400</v>
      </c>
      <c r="G291" s="30">
        <v>45870</v>
      </c>
      <c r="H291" s="30"/>
      <c r="I29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728.93</v>
      </c>
    </row>
    <row r="292" spans="1:9" x14ac:dyDescent="0.3">
      <c r="A292" s="44" t="s">
        <v>9</v>
      </c>
      <c r="B292" s="45" t="s">
        <v>2</v>
      </c>
      <c r="C292" s="45">
        <v>5</v>
      </c>
      <c r="D292" s="123">
        <v>130.91</v>
      </c>
      <c r="E292" s="159">
        <v>157.09</v>
      </c>
      <c r="F292" s="45">
        <v>400</v>
      </c>
      <c r="G292" s="30">
        <v>45870</v>
      </c>
      <c r="H292" s="30"/>
      <c r="I29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785.46</v>
      </c>
    </row>
    <row r="293" spans="1:9" x14ac:dyDescent="0.3">
      <c r="A293" s="44" t="s">
        <v>9</v>
      </c>
      <c r="B293" s="45" t="s">
        <v>2</v>
      </c>
      <c r="C293" s="45">
        <v>6</v>
      </c>
      <c r="D293" s="123">
        <v>115.53</v>
      </c>
      <c r="E293" s="159">
        <v>138.63999999999999</v>
      </c>
      <c r="F293" s="45">
        <v>400</v>
      </c>
      <c r="G293" s="30">
        <v>45870</v>
      </c>
      <c r="H293" s="30"/>
      <c r="I29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831.82</v>
      </c>
    </row>
    <row r="294" spans="1:9" x14ac:dyDescent="0.3">
      <c r="A294" s="44" t="s">
        <v>9</v>
      </c>
      <c r="B294" s="45" t="s">
        <v>2</v>
      </c>
      <c r="C294" s="45">
        <v>7</v>
      </c>
      <c r="D294" s="123">
        <v>101.81</v>
      </c>
      <c r="E294" s="159">
        <v>122.17</v>
      </c>
      <c r="F294" s="45">
        <v>400</v>
      </c>
      <c r="G294" s="30">
        <v>45870</v>
      </c>
      <c r="H294" s="30"/>
      <c r="I29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855.2</v>
      </c>
    </row>
    <row r="295" spans="1:9" x14ac:dyDescent="0.3">
      <c r="A295" s="44" t="s">
        <v>9</v>
      </c>
      <c r="B295" s="45" t="s">
        <v>2</v>
      </c>
      <c r="C295" s="45">
        <v>8</v>
      </c>
      <c r="D295" s="123">
        <v>90.89</v>
      </c>
      <c r="E295" s="159">
        <v>109.07</v>
      </c>
      <c r="F295" s="45">
        <v>400</v>
      </c>
      <c r="G295" s="30">
        <v>45870</v>
      </c>
      <c r="H295" s="30"/>
      <c r="I29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872.54</v>
      </c>
    </row>
    <row r="296" spans="1:9" x14ac:dyDescent="0.3">
      <c r="A296" s="44" t="s">
        <v>9</v>
      </c>
      <c r="B296" s="45" t="s">
        <v>2</v>
      </c>
      <c r="C296" s="45">
        <v>9</v>
      </c>
      <c r="D296" s="123">
        <v>82.52</v>
      </c>
      <c r="E296" s="159">
        <v>99.02</v>
      </c>
      <c r="F296" s="45">
        <v>400</v>
      </c>
      <c r="G296" s="30">
        <v>45870</v>
      </c>
      <c r="H296" s="30"/>
      <c r="I29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891.22</v>
      </c>
    </row>
    <row r="297" spans="1:9" x14ac:dyDescent="0.3">
      <c r="A297" s="44" t="s">
        <v>9</v>
      </c>
      <c r="B297" s="45" t="s">
        <v>2</v>
      </c>
      <c r="C297" s="45">
        <v>10</v>
      </c>
      <c r="D297" s="123">
        <v>76.88</v>
      </c>
      <c r="E297" s="159">
        <v>92.26</v>
      </c>
      <c r="F297" s="45">
        <v>400</v>
      </c>
      <c r="G297" s="30">
        <v>45870</v>
      </c>
      <c r="H297" s="30"/>
      <c r="I29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922.56</v>
      </c>
    </row>
    <row r="298" spans="1:9" x14ac:dyDescent="0.3">
      <c r="A298" s="44" t="s">
        <v>9</v>
      </c>
      <c r="B298" s="45" t="s">
        <v>16</v>
      </c>
      <c r="C298" s="45">
        <v>1</v>
      </c>
      <c r="D298" s="123">
        <v>46.87</v>
      </c>
      <c r="E298" s="159">
        <v>56.24</v>
      </c>
      <c r="F298" s="45">
        <v>60</v>
      </c>
      <c r="G298" s="30">
        <v>45870</v>
      </c>
      <c r="H298" s="30"/>
      <c r="I29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56.24</v>
      </c>
    </row>
    <row r="299" spans="1:9" x14ac:dyDescent="0.3">
      <c r="A299" s="44" t="s">
        <v>9</v>
      </c>
      <c r="B299" s="45" t="s">
        <v>16</v>
      </c>
      <c r="C299" s="45">
        <v>2</v>
      </c>
      <c r="D299" s="123">
        <v>42.99</v>
      </c>
      <c r="E299" s="159">
        <v>51.59</v>
      </c>
      <c r="F299" s="45">
        <v>60</v>
      </c>
      <c r="G299" s="30">
        <v>45870</v>
      </c>
      <c r="H299" s="30"/>
      <c r="I29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103.18</v>
      </c>
    </row>
    <row r="300" spans="1:9" x14ac:dyDescent="0.3">
      <c r="A300" s="44" t="s">
        <v>9</v>
      </c>
      <c r="B300" s="45" t="s">
        <v>16</v>
      </c>
      <c r="C300" s="45">
        <v>3</v>
      </c>
      <c r="D300" s="123">
        <v>39.44</v>
      </c>
      <c r="E300" s="159">
        <v>47.33</v>
      </c>
      <c r="F300" s="45">
        <v>60</v>
      </c>
      <c r="G300" s="30">
        <v>45870</v>
      </c>
      <c r="H300" s="30"/>
      <c r="I30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141.97999999999999</v>
      </c>
    </row>
    <row r="301" spans="1:9" x14ac:dyDescent="0.3">
      <c r="A301" s="44" t="s">
        <v>9</v>
      </c>
      <c r="B301" s="45" t="s">
        <v>16</v>
      </c>
      <c r="C301" s="45">
        <v>4</v>
      </c>
      <c r="D301" s="123">
        <v>36.11</v>
      </c>
      <c r="E301" s="159">
        <v>43.33</v>
      </c>
      <c r="F301" s="45">
        <v>60</v>
      </c>
      <c r="G301" s="30">
        <v>45870</v>
      </c>
      <c r="H301" s="30"/>
      <c r="I30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173.33</v>
      </c>
    </row>
    <row r="302" spans="1:9" x14ac:dyDescent="0.3">
      <c r="A302" s="44" t="s">
        <v>9</v>
      </c>
      <c r="B302" s="45" t="s">
        <v>16</v>
      </c>
      <c r="C302" s="45">
        <v>5</v>
      </c>
      <c r="D302" s="123">
        <v>33.119999999999997</v>
      </c>
      <c r="E302" s="159">
        <v>39.74</v>
      </c>
      <c r="F302" s="45">
        <v>60</v>
      </c>
      <c r="G302" s="30">
        <v>45870</v>
      </c>
      <c r="H302" s="30"/>
      <c r="I30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198.72</v>
      </c>
    </row>
    <row r="303" spans="1:9" x14ac:dyDescent="0.3">
      <c r="A303" s="44" t="s">
        <v>9</v>
      </c>
      <c r="B303" s="45" t="s">
        <v>16</v>
      </c>
      <c r="C303" s="45">
        <v>6</v>
      </c>
      <c r="D303" s="123">
        <v>30.39</v>
      </c>
      <c r="E303" s="159">
        <v>36.47</v>
      </c>
      <c r="F303" s="45">
        <v>60</v>
      </c>
      <c r="G303" s="30">
        <v>45870</v>
      </c>
      <c r="H303" s="30"/>
      <c r="I30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218.81</v>
      </c>
    </row>
    <row r="304" spans="1:9" x14ac:dyDescent="0.3">
      <c r="A304" s="44" t="s">
        <v>9</v>
      </c>
      <c r="B304" s="45" t="s">
        <v>16</v>
      </c>
      <c r="C304" s="45">
        <v>7</v>
      </c>
      <c r="D304" s="123">
        <v>27.34</v>
      </c>
      <c r="E304" s="159">
        <v>32.81</v>
      </c>
      <c r="F304" s="45">
        <v>60</v>
      </c>
      <c r="G304" s="30">
        <v>45870</v>
      </c>
      <c r="H304" s="30"/>
      <c r="I30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229.66</v>
      </c>
    </row>
    <row r="305" spans="1:9" x14ac:dyDescent="0.3">
      <c r="A305" s="44" t="s">
        <v>9</v>
      </c>
      <c r="B305" s="45" t="s">
        <v>16</v>
      </c>
      <c r="C305" s="45">
        <v>8</v>
      </c>
      <c r="D305" s="123">
        <v>24.58</v>
      </c>
      <c r="E305" s="159">
        <v>29.5</v>
      </c>
      <c r="F305" s="45">
        <v>60</v>
      </c>
      <c r="G305" s="30">
        <v>45870</v>
      </c>
      <c r="H305" s="30"/>
      <c r="I30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235.97</v>
      </c>
    </row>
    <row r="306" spans="1:9" x14ac:dyDescent="0.3">
      <c r="A306" s="44" t="s">
        <v>9</v>
      </c>
      <c r="B306" s="45" t="s">
        <v>16</v>
      </c>
      <c r="C306" s="45">
        <v>9</v>
      </c>
      <c r="D306" s="123">
        <v>22.16</v>
      </c>
      <c r="E306" s="159">
        <v>26.59</v>
      </c>
      <c r="F306" s="45">
        <v>60</v>
      </c>
      <c r="G306" s="30">
        <v>45870</v>
      </c>
      <c r="H306" s="30"/>
      <c r="I30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239.33</v>
      </c>
    </row>
    <row r="307" spans="1:9" x14ac:dyDescent="0.3">
      <c r="A307" s="44" t="s">
        <v>9</v>
      </c>
      <c r="B307" s="45" t="s">
        <v>16</v>
      </c>
      <c r="C307" s="45">
        <v>10</v>
      </c>
      <c r="D307" s="123">
        <v>20.190000000000001</v>
      </c>
      <c r="E307" s="159">
        <v>24.23</v>
      </c>
      <c r="F307" s="45">
        <v>60</v>
      </c>
      <c r="G307" s="30">
        <v>45870</v>
      </c>
      <c r="H307" s="30"/>
      <c r="I30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242.28</v>
      </c>
    </row>
    <row r="308" spans="1:9" x14ac:dyDescent="0.3">
      <c r="A308" s="44" t="s">
        <v>11</v>
      </c>
      <c r="B308" s="45" t="s">
        <v>1</v>
      </c>
      <c r="C308" s="45">
        <v>1</v>
      </c>
      <c r="D308" s="123">
        <v>722.17</v>
      </c>
      <c r="E308" s="159">
        <v>866.6</v>
      </c>
      <c r="F308" s="45">
        <v>800</v>
      </c>
      <c r="G308" s="30">
        <v>45870</v>
      </c>
      <c r="H308" s="30"/>
      <c r="I30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866.6</v>
      </c>
    </row>
    <row r="309" spans="1:9" x14ac:dyDescent="0.3">
      <c r="A309" s="44" t="s">
        <v>11</v>
      </c>
      <c r="B309" s="45" t="s">
        <v>1</v>
      </c>
      <c r="C309" s="45">
        <v>2</v>
      </c>
      <c r="D309" s="123">
        <v>639.21</v>
      </c>
      <c r="E309" s="159">
        <v>767.05</v>
      </c>
      <c r="F309" s="45">
        <v>800</v>
      </c>
      <c r="G309" s="30">
        <v>45870</v>
      </c>
      <c r="H309" s="30"/>
      <c r="I30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1534.1</v>
      </c>
    </row>
    <row r="310" spans="1:9" x14ac:dyDescent="0.3">
      <c r="A310" s="44" t="s">
        <v>11</v>
      </c>
      <c r="B310" s="45" t="s">
        <v>1</v>
      </c>
      <c r="C310" s="45">
        <v>3</v>
      </c>
      <c r="D310" s="123">
        <v>565.78</v>
      </c>
      <c r="E310" s="159">
        <v>678.94</v>
      </c>
      <c r="F310" s="45">
        <v>800</v>
      </c>
      <c r="G310" s="30">
        <v>45870</v>
      </c>
      <c r="H310" s="30"/>
      <c r="I31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2036.81</v>
      </c>
    </row>
    <row r="311" spans="1:9" x14ac:dyDescent="0.3">
      <c r="A311" s="44" t="s">
        <v>11</v>
      </c>
      <c r="B311" s="45" t="s">
        <v>1</v>
      </c>
      <c r="C311" s="45">
        <v>4</v>
      </c>
      <c r="D311" s="123">
        <v>500.75</v>
      </c>
      <c r="E311" s="159">
        <v>600.9</v>
      </c>
      <c r="F311" s="45">
        <v>800</v>
      </c>
      <c r="G311" s="30">
        <v>45870</v>
      </c>
      <c r="H311" s="30"/>
      <c r="I31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2403.6</v>
      </c>
    </row>
    <row r="312" spans="1:9" x14ac:dyDescent="0.3">
      <c r="A312" s="44" t="s">
        <v>11</v>
      </c>
      <c r="B312" s="45" t="s">
        <v>1</v>
      </c>
      <c r="C312" s="45">
        <v>5</v>
      </c>
      <c r="D312" s="123">
        <v>443.13</v>
      </c>
      <c r="E312" s="159">
        <v>531.76</v>
      </c>
      <c r="F312" s="45">
        <v>800</v>
      </c>
      <c r="G312" s="30">
        <v>45870</v>
      </c>
      <c r="H312" s="30"/>
      <c r="I31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2658.78</v>
      </c>
    </row>
    <row r="313" spans="1:9" x14ac:dyDescent="0.3">
      <c r="A313" s="44" t="s">
        <v>11</v>
      </c>
      <c r="B313" s="45" t="s">
        <v>1</v>
      </c>
      <c r="C313" s="45">
        <v>6</v>
      </c>
      <c r="D313" s="123">
        <v>392.03</v>
      </c>
      <c r="E313" s="159">
        <v>470.44</v>
      </c>
      <c r="F313" s="45">
        <v>800</v>
      </c>
      <c r="G313" s="30">
        <v>45870</v>
      </c>
      <c r="H313" s="30"/>
      <c r="I31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2822.62</v>
      </c>
    </row>
    <row r="314" spans="1:9" x14ac:dyDescent="0.3">
      <c r="A314" s="44" t="s">
        <v>11</v>
      </c>
      <c r="B314" s="45" t="s">
        <v>1</v>
      </c>
      <c r="C314" s="45">
        <v>7</v>
      </c>
      <c r="D314" s="123">
        <v>346.56</v>
      </c>
      <c r="E314" s="159">
        <v>415.87</v>
      </c>
      <c r="F314" s="45">
        <v>800</v>
      </c>
      <c r="G314" s="30">
        <v>45870</v>
      </c>
      <c r="H314" s="30"/>
      <c r="I31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2911.1</v>
      </c>
    </row>
    <row r="315" spans="1:9" x14ac:dyDescent="0.3">
      <c r="A315" s="44" t="s">
        <v>11</v>
      </c>
      <c r="B315" s="45" t="s">
        <v>1</v>
      </c>
      <c r="C315" s="45">
        <v>8</v>
      </c>
      <c r="D315" s="123">
        <v>310.06</v>
      </c>
      <c r="E315" s="159">
        <v>372.07</v>
      </c>
      <c r="F315" s="45">
        <v>800</v>
      </c>
      <c r="G315" s="30">
        <v>45870</v>
      </c>
      <c r="H315" s="30"/>
      <c r="I31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2976.58</v>
      </c>
    </row>
    <row r="316" spans="1:9" x14ac:dyDescent="0.3">
      <c r="A316" s="44" t="s">
        <v>11</v>
      </c>
      <c r="B316" s="45" t="s">
        <v>1</v>
      </c>
      <c r="C316" s="45">
        <v>9</v>
      </c>
      <c r="D316" s="123">
        <v>282.08</v>
      </c>
      <c r="E316" s="159">
        <v>338.5</v>
      </c>
      <c r="F316" s="45">
        <v>800</v>
      </c>
      <c r="G316" s="30">
        <v>45870</v>
      </c>
      <c r="H316" s="30"/>
      <c r="I31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3046.46</v>
      </c>
    </row>
    <row r="317" spans="1:9" x14ac:dyDescent="0.3">
      <c r="A317" s="44" t="s">
        <v>11</v>
      </c>
      <c r="B317" s="45" t="s">
        <v>1</v>
      </c>
      <c r="C317" s="45">
        <v>10</v>
      </c>
      <c r="D317" s="123">
        <v>263.48</v>
      </c>
      <c r="E317" s="159">
        <v>316.18</v>
      </c>
      <c r="F317" s="45">
        <v>800</v>
      </c>
      <c r="G317" s="30">
        <v>45870</v>
      </c>
      <c r="H317" s="30"/>
      <c r="I31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3161.76</v>
      </c>
    </row>
    <row r="318" spans="1:9" x14ac:dyDescent="0.3">
      <c r="A318" s="44" t="s">
        <v>11</v>
      </c>
      <c r="B318" s="45" t="s">
        <v>2</v>
      </c>
      <c r="C318" s="45">
        <v>1</v>
      </c>
      <c r="D318" s="123">
        <v>446.26</v>
      </c>
      <c r="E318" s="159">
        <v>535.51</v>
      </c>
      <c r="F318" s="45">
        <v>400</v>
      </c>
      <c r="G318" s="30">
        <v>45870</v>
      </c>
      <c r="H318" s="30"/>
      <c r="I31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535.51</v>
      </c>
    </row>
    <row r="319" spans="1:9" x14ac:dyDescent="0.3">
      <c r="A319" s="44" t="s">
        <v>11</v>
      </c>
      <c r="B319" s="45" t="s">
        <v>2</v>
      </c>
      <c r="C319" s="45">
        <v>2</v>
      </c>
      <c r="D319" s="123">
        <v>394.1</v>
      </c>
      <c r="E319" s="159">
        <v>472.92</v>
      </c>
      <c r="F319" s="45">
        <v>400</v>
      </c>
      <c r="G319" s="30">
        <v>45870</v>
      </c>
      <c r="H319" s="30"/>
      <c r="I31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945.84</v>
      </c>
    </row>
    <row r="320" spans="1:9" x14ac:dyDescent="0.3">
      <c r="A320" s="44" t="s">
        <v>11</v>
      </c>
      <c r="B320" s="45" t="s">
        <v>2</v>
      </c>
      <c r="C320" s="45">
        <v>3</v>
      </c>
      <c r="D320" s="123">
        <v>347.98</v>
      </c>
      <c r="E320" s="159">
        <v>417.58</v>
      </c>
      <c r="F320" s="45">
        <v>400</v>
      </c>
      <c r="G320" s="30">
        <v>45870</v>
      </c>
      <c r="H320" s="30"/>
      <c r="I32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1252.73</v>
      </c>
    </row>
    <row r="321" spans="1:9" x14ac:dyDescent="0.3">
      <c r="A321" s="44" t="s">
        <v>11</v>
      </c>
      <c r="B321" s="45" t="s">
        <v>2</v>
      </c>
      <c r="C321" s="45">
        <v>4</v>
      </c>
      <c r="D321" s="123">
        <v>307.23</v>
      </c>
      <c r="E321" s="159">
        <v>368.68</v>
      </c>
      <c r="F321" s="45">
        <v>400</v>
      </c>
      <c r="G321" s="30">
        <v>45870</v>
      </c>
      <c r="H321" s="30"/>
      <c r="I32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1474.7</v>
      </c>
    </row>
    <row r="322" spans="1:9" x14ac:dyDescent="0.3">
      <c r="A322" s="44" t="s">
        <v>11</v>
      </c>
      <c r="B322" s="45" t="s">
        <v>2</v>
      </c>
      <c r="C322" s="45">
        <v>5</v>
      </c>
      <c r="D322" s="123">
        <v>271.2</v>
      </c>
      <c r="E322" s="159">
        <v>325.44</v>
      </c>
      <c r="F322" s="45">
        <v>400</v>
      </c>
      <c r="G322" s="30">
        <v>45870</v>
      </c>
      <c r="H322" s="30"/>
      <c r="I32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1627.2</v>
      </c>
    </row>
    <row r="323" spans="1:9" x14ac:dyDescent="0.3">
      <c r="A323" s="44" t="s">
        <v>11</v>
      </c>
      <c r="B323" s="45" t="s">
        <v>2</v>
      </c>
      <c r="C323" s="45">
        <v>6</v>
      </c>
      <c r="D323" s="123">
        <v>239.38</v>
      </c>
      <c r="E323" s="159">
        <v>287.26</v>
      </c>
      <c r="F323" s="45">
        <v>400</v>
      </c>
      <c r="G323" s="30">
        <v>45870</v>
      </c>
      <c r="H323" s="30"/>
      <c r="I32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1723.54</v>
      </c>
    </row>
    <row r="324" spans="1:9" x14ac:dyDescent="0.3">
      <c r="A324" s="44" t="s">
        <v>11</v>
      </c>
      <c r="B324" s="45" t="s">
        <v>2</v>
      </c>
      <c r="C324" s="45">
        <v>7</v>
      </c>
      <c r="D324" s="123">
        <v>211.06</v>
      </c>
      <c r="E324" s="159">
        <v>253.27</v>
      </c>
      <c r="F324" s="45">
        <v>400</v>
      </c>
      <c r="G324" s="30">
        <v>45870</v>
      </c>
      <c r="H324" s="30"/>
      <c r="I32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1772.9</v>
      </c>
    </row>
    <row r="325" spans="1:9" x14ac:dyDescent="0.3">
      <c r="A325" s="44" t="s">
        <v>11</v>
      </c>
      <c r="B325" s="45" t="s">
        <v>2</v>
      </c>
      <c r="C325" s="45">
        <v>8</v>
      </c>
      <c r="D325" s="123">
        <v>188.36</v>
      </c>
      <c r="E325" s="159">
        <v>226.03</v>
      </c>
      <c r="F325" s="45">
        <v>400</v>
      </c>
      <c r="G325" s="30">
        <v>45870</v>
      </c>
      <c r="H325" s="30"/>
      <c r="I32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1808.26</v>
      </c>
    </row>
    <row r="326" spans="1:9" x14ac:dyDescent="0.3">
      <c r="A326" s="44" t="s">
        <v>11</v>
      </c>
      <c r="B326" s="45" t="s">
        <v>2</v>
      </c>
      <c r="C326" s="45">
        <v>9</v>
      </c>
      <c r="D326" s="123">
        <v>171.01</v>
      </c>
      <c r="E326" s="159">
        <v>205.21</v>
      </c>
      <c r="F326" s="45">
        <v>400</v>
      </c>
      <c r="G326" s="30">
        <v>45870</v>
      </c>
      <c r="H326" s="30"/>
      <c r="I32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1846.91</v>
      </c>
    </row>
    <row r="327" spans="1:9" x14ac:dyDescent="0.3">
      <c r="A327" s="44" t="s">
        <v>11</v>
      </c>
      <c r="B327" s="45" t="s">
        <v>2</v>
      </c>
      <c r="C327" s="45">
        <v>10</v>
      </c>
      <c r="D327" s="123">
        <v>159.33000000000001</v>
      </c>
      <c r="E327" s="159">
        <v>191.2</v>
      </c>
      <c r="F327" s="45">
        <v>400</v>
      </c>
      <c r="G327" s="30">
        <v>45870</v>
      </c>
      <c r="H327" s="30"/>
      <c r="I32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1911.96</v>
      </c>
    </row>
    <row r="328" spans="1:9" x14ac:dyDescent="0.3">
      <c r="A328" s="44" t="s">
        <v>11</v>
      </c>
      <c r="B328" s="45" t="s">
        <v>16</v>
      </c>
      <c r="C328" s="45">
        <v>1</v>
      </c>
      <c r="D328" s="123">
        <v>54.51</v>
      </c>
      <c r="E328" s="159">
        <v>65.41</v>
      </c>
      <c r="F328" s="45">
        <v>60</v>
      </c>
      <c r="G328" s="30">
        <v>45870</v>
      </c>
      <c r="H328" s="30"/>
      <c r="I32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65.41</v>
      </c>
    </row>
    <row r="329" spans="1:9" x14ac:dyDescent="0.3">
      <c r="A329" s="44" t="s">
        <v>11</v>
      </c>
      <c r="B329" s="45" t="s">
        <v>16</v>
      </c>
      <c r="C329" s="45">
        <v>2</v>
      </c>
      <c r="D329" s="123">
        <v>49.98</v>
      </c>
      <c r="E329" s="159">
        <v>59.98</v>
      </c>
      <c r="F329" s="45">
        <v>60</v>
      </c>
      <c r="G329" s="30">
        <v>45870</v>
      </c>
      <c r="H329" s="30"/>
      <c r="I32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119.95</v>
      </c>
    </row>
    <row r="330" spans="1:9" x14ac:dyDescent="0.3">
      <c r="A330" s="44" t="s">
        <v>11</v>
      </c>
      <c r="B330" s="45" t="s">
        <v>16</v>
      </c>
      <c r="C330" s="45">
        <v>3</v>
      </c>
      <c r="D330" s="123">
        <v>45.8</v>
      </c>
      <c r="E330" s="159">
        <v>54.96</v>
      </c>
      <c r="F330" s="45">
        <v>60</v>
      </c>
      <c r="G330" s="30">
        <v>45870</v>
      </c>
      <c r="H330" s="30"/>
      <c r="I33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164.88</v>
      </c>
    </row>
    <row r="331" spans="1:9" x14ac:dyDescent="0.3">
      <c r="A331" s="44" t="s">
        <v>11</v>
      </c>
      <c r="B331" s="45" t="s">
        <v>16</v>
      </c>
      <c r="C331" s="45">
        <v>4</v>
      </c>
      <c r="D331" s="123">
        <v>42.04</v>
      </c>
      <c r="E331" s="159">
        <v>50.45</v>
      </c>
      <c r="F331" s="45">
        <v>60</v>
      </c>
      <c r="G331" s="30">
        <v>45870</v>
      </c>
      <c r="H331" s="30"/>
      <c r="I33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201.79</v>
      </c>
    </row>
    <row r="332" spans="1:9" x14ac:dyDescent="0.3">
      <c r="A332" s="44" t="s">
        <v>11</v>
      </c>
      <c r="B332" s="45" t="s">
        <v>16</v>
      </c>
      <c r="C332" s="45">
        <v>5</v>
      </c>
      <c r="D332" s="123">
        <v>38.520000000000003</v>
      </c>
      <c r="E332" s="159">
        <v>46.22</v>
      </c>
      <c r="F332" s="45">
        <v>60</v>
      </c>
      <c r="G332" s="30">
        <v>45870</v>
      </c>
      <c r="H332" s="30"/>
      <c r="I33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231.12</v>
      </c>
    </row>
    <row r="333" spans="1:9" x14ac:dyDescent="0.3">
      <c r="A333" s="44" t="s">
        <v>11</v>
      </c>
      <c r="B333" s="45" t="s">
        <v>16</v>
      </c>
      <c r="C333" s="45">
        <v>6</v>
      </c>
      <c r="D333" s="123">
        <v>35.33</v>
      </c>
      <c r="E333" s="159">
        <v>42.4</v>
      </c>
      <c r="F333" s="45">
        <v>60</v>
      </c>
      <c r="G333" s="30">
        <v>45870</v>
      </c>
      <c r="H333" s="30"/>
      <c r="I33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254.38</v>
      </c>
    </row>
    <row r="334" spans="1:9" x14ac:dyDescent="0.3">
      <c r="A334" s="44" t="s">
        <v>11</v>
      </c>
      <c r="B334" s="45" t="s">
        <v>16</v>
      </c>
      <c r="C334" s="45">
        <v>7</v>
      </c>
      <c r="D334" s="123">
        <v>31.81</v>
      </c>
      <c r="E334" s="159">
        <v>38.17</v>
      </c>
      <c r="F334" s="45">
        <v>60</v>
      </c>
      <c r="G334" s="30">
        <v>45870</v>
      </c>
      <c r="H334" s="30"/>
      <c r="I33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267.2</v>
      </c>
    </row>
    <row r="335" spans="1:9" x14ac:dyDescent="0.3">
      <c r="A335" s="44" t="s">
        <v>11</v>
      </c>
      <c r="B335" s="45" t="s">
        <v>16</v>
      </c>
      <c r="C335" s="45">
        <v>8</v>
      </c>
      <c r="D335" s="123">
        <v>28.62</v>
      </c>
      <c r="E335" s="159">
        <v>34.340000000000003</v>
      </c>
      <c r="F335" s="45">
        <v>60</v>
      </c>
      <c r="G335" s="30">
        <v>45870</v>
      </c>
      <c r="H335" s="30"/>
      <c r="I33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274.75</v>
      </c>
    </row>
    <row r="336" spans="1:9" x14ac:dyDescent="0.3">
      <c r="A336" s="44" t="s">
        <v>11</v>
      </c>
      <c r="B336" s="45" t="s">
        <v>16</v>
      </c>
      <c r="C336" s="45">
        <v>9</v>
      </c>
      <c r="D336" s="123">
        <v>25.76</v>
      </c>
      <c r="E336" s="159">
        <v>30.91</v>
      </c>
      <c r="F336" s="45">
        <v>60</v>
      </c>
      <c r="G336" s="30">
        <v>45870</v>
      </c>
      <c r="H336" s="30"/>
      <c r="I33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278.20999999999998</v>
      </c>
    </row>
    <row r="337" spans="1:9" x14ac:dyDescent="0.3">
      <c r="A337" s="44" t="s">
        <v>11</v>
      </c>
      <c r="B337" s="45" t="s">
        <v>16</v>
      </c>
      <c r="C337" s="45">
        <v>10</v>
      </c>
      <c r="D337" s="123">
        <v>23.44</v>
      </c>
      <c r="E337" s="159">
        <v>28.13</v>
      </c>
      <c r="F337" s="45">
        <v>60</v>
      </c>
      <c r="G337" s="30">
        <v>45870</v>
      </c>
      <c r="H337" s="30"/>
      <c r="I33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281.27999999999997</v>
      </c>
    </row>
    <row r="338" spans="1:9" x14ac:dyDescent="0.3">
      <c r="A338" s="157" t="s">
        <v>245</v>
      </c>
      <c r="B338" s="158"/>
      <c r="C338" s="158"/>
      <c r="D338" s="166">
        <v>13.18</v>
      </c>
      <c r="E338" s="167">
        <v>15.82</v>
      </c>
      <c r="F338" s="155">
        <v>60</v>
      </c>
      <c r="G338" s="30">
        <v>45870</v>
      </c>
      <c r="H338" s="156"/>
      <c r="I33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15.82</v>
      </c>
    </row>
    <row r="339" spans="1:9" x14ac:dyDescent="0.3">
      <c r="A339" s="44" t="s">
        <v>49</v>
      </c>
      <c r="B339" s="45" t="s">
        <v>1</v>
      </c>
      <c r="C339" s="45">
        <v>1</v>
      </c>
      <c r="D339" s="123">
        <v>397.02</v>
      </c>
      <c r="E339" s="159">
        <v>476.42</v>
      </c>
      <c r="F339" s="45">
        <v>800</v>
      </c>
      <c r="G339" s="30">
        <v>45870</v>
      </c>
      <c r="H339" s="30"/>
      <c r="I33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476.42</v>
      </c>
    </row>
    <row r="340" spans="1:9" x14ac:dyDescent="0.3">
      <c r="A340" s="44" t="s">
        <v>50</v>
      </c>
      <c r="B340" s="45" t="s">
        <v>1</v>
      </c>
      <c r="C340" s="45">
        <v>1</v>
      </c>
      <c r="D340" s="123">
        <v>504.24</v>
      </c>
      <c r="E340" s="159">
        <v>605.09</v>
      </c>
      <c r="F340" s="45">
        <v>800</v>
      </c>
      <c r="G340" s="30">
        <v>45870</v>
      </c>
      <c r="H340" s="30"/>
      <c r="I34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605.09</v>
      </c>
    </row>
    <row r="341" spans="1:9" x14ac:dyDescent="0.3">
      <c r="A341" s="44" t="s">
        <v>50</v>
      </c>
      <c r="B341" s="45" t="s">
        <v>2</v>
      </c>
      <c r="C341" s="45">
        <v>1</v>
      </c>
      <c r="D341" s="123">
        <v>199.21</v>
      </c>
      <c r="E341" s="159">
        <v>239.05</v>
      </c>
      <c r="F341" s="45">
        <v>400</v>
      </c>
      <c r="G341" s="30">
        <v>45870</v>
      </c>
      <c r="H341" s="30"/>
      <c r="I34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239.05</v>
      </c>
    </row>
    <row r="342" spans="1:9" x14ac:dyDescent="0.3">
      <c r="A342" s="44" t="s">
        <v>50</v>
      </c>
      <c r="B342" s="45" t="s">
        <v>16</v>
      </c>
      <c r="C342" s="45">
        <v>1</v>
      </c>
      <c r="D342" s="123">
        <v>83.8</v>
      </c>
      <c r="E342" s="159">
        <v>100.56</v>
      </c>
      <c r="F342" s="45">
        <v>60</v>
      </c>
      <c r="G342" s="30">
        <v>45870</v>
      </c>
      <c r="H342" s="30"/>
      <c r="I34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100.56</v>
      </c>
    </row>
    <row r="343" spans="1:9" x14ac:dyDescent="0.3">
      <c r="A343" s="44" t="s">
        <v>51</v>
      </c>
      <c r="B343" s="45" t="s">
        <v>1</v>
      </c>
      <c r="C343" s="45">
        <v>1</v>
      </c>
      <c r="D343" s="123">
        <v>923.76</v>
      </c>
      <c r="E343" s="159">
        <v>1108.51</v>
      </c>
      <c r="F343" s="45">
        <v>800</v>
      </c>
      <c r="G343" s="30">
        <v>45870</v>
      </c>
      <c r="H343" s="30"/>
      <c r="I34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1108.51</v>
      </c>
    </row>
    <row r="344" spans="1:9" x14ac:dyDescent="0.3">
      <c r="A344" s="44" t="s">
        <v>51</v>
      </c>
      <c r="B344" s="45" t="s">
        <v>2</v>
      </c>
      <c r="C344" s="45">
        <v>1</v>
      </c>
      <c r="D344" s="123">
        <v>356.13</v>
      </c>
      <c r="E344" s="159">
        <v>427.36</v>
      </c>
      <c r="F344" s="45">
        <v>400</v>
      </c>
      <c r="G344" s="30">
        <v>45870</v>
      </c>
      <c r="H344" s="30"/>
      <c r="I34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427.36</v>
      </c>
    </row>
    <row r="345" spans="1:9" x14ac:dyDescent="0.3">
      <c r="A345" s="44" t="s">
        <v>51</v>
      </c>
      <c r="B345" s="45" t="s">
        <v>16</v>
      </c>
      <c r="C345" s="45">
        <v>1</v>
      </c>
      <c r="D345" s="123">
        <v>149.66999999999999</v>
      </c>
      <c r="E345" s="159">
        <v>179.6</v>
      </c>
      <c r="F345" s="45">
        <v>60</v>
      </c>
      <c r="G345" s="30">
        <v>45870</v>
      </c>
      <c r="H345" s="30"/>
      <c r="I34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179.6</v>
      </c>
    </row>
    <row r="346" spans="1:9" x14ac:dyDescent="0.3">
      <c r="A346" s="44" t="s">
        <v>73</v>
      </c>
      <c r="B346" s="45" t="s">
        <v>1</v>
      </c>
      <c r="C346" s="45">
        <v>1</v>
      </c>
      <c r="D346" s="123">
        <v>1873.09</v>
      </c>
      <c r="E346" s="159">
        <v>2247.71</v>
      </c>
      <c r="F346" s="45">
        <v>800</v>
      </c>
      <c r="G346" s="30">
        <v>45870</v>
      </c>
      <c r="H346" s="30"/>
      <c r="I34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2247.71</v>
      </c>
    </row>
    <row r="347" spans="1:9" x14ac:dyDescent="0.3">
      <c r="A347" s="44" t="s">
        <v>73</v>
      </c>
      <c r="B347" s="45" t="s">
        <v>2</v>
      </c>
      <c r="C347" s="45">
        <v>1</v>
      </c>
      <c r="D347" s="123">
        <v>729.17</v>
      </c>
      <c r="E347" s="159">
        <v>875</v>
      </c>
      <c r="F347" s="45">
        <v>400</v>
      </c>
      <c r="G347" s="30">
        <v>45870</v>
      </c>
      <c r="H347" s="30"/>
      <c r="I34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875</v>
      </c>
    </row>
    <row r="348" spans="1:9" x14ac:dyDescent="0.3">
      <c r="A348" s="44" t="s">
        <v>73</v>
      </c>
      <c r="B348" s="45" t="s">
        <v>16</v>
      </c>
      <c r="C348" s="45">
        <v>1</v>
      </c>
      <c r="D348" s="123">
        <v>317.54000000000002</v>
      </c>
      <c r="E348" s="159">
        <v>381.05</v>
      </c>
      <c r="F348" s="45">
        <v>60</v>
      </c>
      <c r="G348" s="30">
        <v>45870</v>
      </c>
      <c r="H348" s="30"/>
      <c r="I34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381.05</v>
      </c>
    </row>
    <row r="349" spans="1:9" x14ac:dyDescent="0.3">
      <c r="A349" s="157" t="s">
        <v>246</v>
      </c>
      <c r="B349" s="158"/>
      <c r="C349" s="158"/>
      <c r="D349" s="166">
        <v>12.79</v>
      </c>
      <c r="E349" s="167">
        <v>15.35</v>
      </c>
      <c r="F349" s="45">
        <v>60</v>
      </c>
      <c r="G349" s="30">
        <v>45870</v>
      </c>
      <c r="H349" s="30"/>
      <c r="I34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15.35</v>
      </c>
    </row>
    <row r="350" spans="1:9" x14ac:dyDescent="0.3">
      <c r="A350" s="162" t="s">
        <v>257</v>
      </c>
      <c r="B350" s="148" t="s">
        <v>1</v>
      </c>
      <c r="C350" s="148">
        <v>1</v>
      </c>
      <c r="D350" s="123">
        <v>200.89</v>
      </c>
      <c r="E350" s="159">
        <v>241.07</v>
      </c>
      <c r="F350" s="148">
        <v>800</v>
      </c>
      <c r="G350" s="30">
        <v>45870</v>
      </c>
      <c r="H350" s="30"/>
      <c r="I35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241.07</v>
      </c>
    </row>
    <row r="351" spans="1:9" x14ac:dyDescent="0.3">
      <c r="A351" s="162" t="s">
        <v>257</v>
      </c>
      <c r="B351" s="148" t="s">
        <v>1</v>
      </c>
      <c r="C351" s="148">
        <v>2</v>
      </c>
      <c r="D351" s="123">
        <v>167.33</v>
      </c>
      <c r="E351" s="159">
        <v>200.8</v>
      </c>
      <c r="F351" s="148">
        <v>800</v>
      </c>
      <c r="G351" s="30">
        <v>45870</v>
      </c>
      <c r="H351" s="30"/>
      <c r="I35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401.59</v>
      </c>
    </row>
    <row r="352" spans="1:9" x14ac:dyDescent="0.3">
      <c r="A352" s="162" t="s">
        <v>257</v>
      </c>
      <c r="B352" s="148" t="s">
        <v>1</v>
      </c>
      <c r="C352" s="148">
        <v>3</v>
      </c>
      <c r="D352" s="123">
        <v>130.71</v>
      </c>
      <c r="E352" s="159">
        <v>156.85</v>
      </c>
      <c r="F352" s="148">
        <v>800</v>
      </c>
      <c r="G352" s="30">
        <v>45870</v>
      </c>
      <c r="H352" s="30"/>
      <c r="I35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470.56</v>
      </c>
    </row>
    <row r="353" spans="1:9" x14ac:dyDescent="0.3">
      <c r="A353" s="162" t="s">
        <v>257</v>
      </c>
      <c r="B353" s="148" t="s">
        <v>1</v>
      </c>
      <c r="C353" s="148">
        <v>4</v>
      </c>
      <c r="D353" s="123">
        <v>113.4</v>
      </c>
      <c r="E353" s="159">
        <v>136.08000000000001</v>
      </c>
      <c r="F353" s="148">
        <v>800</v>
      </c>
      <c r="G353" s="30">
        <v>45870</v>
      </c>
      <c r="H353" s="30"/>
      <c r="I35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544.32000000000005</v>
      </c>
    </row>
    <row r="354" spans="1:9" x14ac:dyDescent="0.3">
      <c r="A354" s="162" t="s">
        <v>257</v>
      </c>
      <c r="B354" s="148" t="s">
        <v>1</v>
      </c>
      <c r="C354" s="148">
        <v>5</v>
      </c>
      <c r="D354" s="123">
        <v>98.02</v>
      </c>
      <c r="E354" s="159">
        <v>117.62</v>
      </c>
      <c r="F354" s="148">
        <v>800</v>
      </c>
      <c r="G354" s="30">
        <v>45870</v>
      </c>
      <c r="H354" s="30"/>
      <c r="I35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588.12</v>
      </c>
    </row>
    <row r="355" spans="1:9" x14ac:dyDescent="0.3">
      <c r="A355" s="162" t="s">
        <v>257</v>
      </c>
      <c r="B355" s="148" t="s">
        <v>2</v>
      </c>
      <c r="C355" s="148">
        <v>1</v>
      </c>
      <c r="D355" s="123">
        <v>119.55</v>
      </c>
      <c r="E355" s="159">
        <v>143.46</v>
      </c>
      <c r="F355" s="148">
        <v>400</v>
      </c>
      <c r="G355" s="30">
        <v>45870</v>
      </c>
      <c r="H355" s="30"/>
      <c r="I35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143.46</v>
      </c>
    </row>
    <row r="356" spans="1:9" x14ac:dyDescent="0.3">
      <c r="A356" s="162" t="s">
        <v>257</v>
      </c>
      <c r="B356" s="148" t="s">
        <v>2</v>
      </c>
      <c r="C356" s="148">
        <v>2</v>
      </c>
      <c r="D356" s="123">
        <v>99.41</v>
      </c>
      <c r="E356" s="159">
        <v>119.29</v>
      </c>
      <c r="F356" s="148">
        <v>400</v>
      </c>
      <c r="G356" s="30">
        <v>45870</v>
      </c>
      <c r="H356" s="30"/>
      <c r="I35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238.58</v>
      </c>
    </row>
    <row r="357" spans="1:9" x14ac:dyDescent="0.3">
      <c r="A357" s="162" t="s">
        <v>257</v>
      </c>
      <c r="B357" s="148" t="s">
        <v>2</v>
      </c>
      <c r="C357" s="148">
        <v>3</v>
      </c>
      <c r="D357" s="123">
        <v>77.44</v>
      </c>
      <c r="E357" s="159">
        <v>92.93</v>
      </c>
      <c r="F357" s="148">
        <v>400</v>
      </c>
      <c r="G357" s="30">
        <v>45870</v>
      </c>
      <c r="H357" s="30"/>
      <c r="I35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278.77999999999997</v>
      </c>
    </row>
    <row r="358" spans="1:9" x14ac:dyDescent="0.3">
      <c r="A358" s="162" t="s">
        <v>257</v>
      </c>
      <c r="B358" s="148" t="s">
        <v>2</v>
      </c>
      <c r="C358" s="148">
        <v>4</v>
      </c>
      <c r="D358" s="123">
        <v>67.03</v>
      </c>
      <c r="E358" s="159">
        <v>80.44</v>
      </c>
      <c r="F358" s="148">
        <v>400</v>
      </c>
      <c r="G358" s="30">
        <v>45870</v>
      </c>
      <c r="H358" s="30"/>
      <c r="I35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321.74</v>
      </c>
    </row>
    <row r="359" spans="1:9" x14ac:dyDescent="0.3">
      <c r="A359" s="162" t="s">
        <v>257</v>
      </c>
      <c r="B359" s="148" t="s">
        <v>2</v>
      </c>
      <c r="C359" s="148">
        <v>5</v>
      </c>
      <c r="D359" s="123">
        <v>57.8</v>
      </c>
      <c r="E359" s="159">
        <v>69.36</v>
      </c>
      <c r="F359" s="148">
        <v>400</v>
      </c>
      <c r="G359" s="30">
        <v>45870</v>
      </c>
      <c r="H359" s="30"/>
      <c r="I35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346.8</v>
      </c>
    </row>
    <row r="360" spans="1:9" x14ac:dyDescent="0.3">
      <c r="A360" s="162" t="s">
        <v>257</v>
      </c>
      <c r="B360" s="148" t="s">
        <v>3</v>
      </c>
      <c r="C360" s="148">
        <v>1</v>
      </c>
      <c r="D360" s="123">
        <v>31.25</v>
      </c>
      <c r="E360" s="159">
        <v>37.5</v>
      </c>
      <c r="F360" s="148">
        <v>60</v>
      </c>
      <c r="G360" s="30">
        <v>45870</v>
      </c>
      <c r="H360" s="30"/>
      <c r="I36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37.5</v>
      </c>
    </row>
    <row r="361" spans="1:9" x14ac:dyDescent="0.3">
      <c r="A361" s="162" t="s">
        <v>257</v>
      </c>
      <c r="B361" s="148" t="s">
        <v>3</v>
      </c>
      <c r="C361" s="148">
        <v>2</v>
      </c>
      <c r="D361" s="123">
        <v>28.69</v>
      </c>
      <c r="E361" s="159">
        <v>34.43</v>
      </c>
      <c r="F361" s="148">
        <v>60</v>
      </c>
      <c r="G361" s="30">
        <v>45870</v>
      </c>
      <c r="H361" s="30"/>
      <c r="I36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68.86</v>
      </c>
    </row>
    <row r="362" spans="1:9" x14ac:dyDescent="0.3">
      <c r="A362" s="162" t="s">
        <v>257</v>
      </c>
      <c r="B362" s="148" t="s">
        <v>3</v>
      </c>
      <c r="C362" s="148">
        <v>3</v>
      </c>
      <c r="D362" s="123">
        <v>28.47</v>
      </c>
      <c r="E362" s="159">
        <v>34.159999999999997</v>
      </c>
      <c r="F362" s="148">
        <v>60</v>
      </c>
      <c r="G362" s="30">
        <v>45870</v>
      </c>
      <c r="H362" s="30"/>
      <c r="I36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102.49</v>
      </c>
    </row>
    <row r="363" spans="1:9" x14ac:dyDescent="0.3">
      <c r="A363" s="162" t="s">
        <v>258</v>
      </c>
      <c r="B363" s="148" t="s">
        <v>1</v>
      </c>
      <c r="C363" s="148">
        <v>1</v>
      </c>
      <c r="D363" s="123">
        <v>247.56</v>
      </c>
      <c r="E363" s="159">
        <v>297.07</v>
      </c>
      <c r="F363" s="148">
        <v>800</v>
      </c>
      <c r="G363" s="30">
        <v>45870</v>
      </c>
      <c r="H363" s="30"/>
      <c r="I36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297.07</v>
      </c>
    </row>
    <row r="364" spans="1:9" x14ac:dyDescent="0.3">
      <c r="A364" s="162" t="s">
        <v>258</v>
      </c>
      <c r="B364" s="148" t="s">
        <v>1</v>
      </c>
      <c r="C364" s="148">
        <v>2</v>
      </c>
      <c r="D364" s="123">
        <v>206.27</v>
      </c>
      <c r="E364" s="159">
        <v>247.52</v>
      </c>
      <c r="F364" s="148">
        <v>800</v>
      </c>
      <c r="G364" s="30">
        <v>45870</v>
      </c>
      <c r="H364" s="30"/>
      <c r="I36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495.05</v>
      </c>
    </row>
    <row r="365" spans="1:9" x14ac:dyDescent="0.3">
      <c r="A365" s="162" t="s">
        <v>258</v>
      </c>
      <c r="B365" s="148" t="s">
        <v>1</v>
      </c>
      <c r="C365" s="148">
        <v>3</v>
      </c>
      <c r="D365" s="123">
        <v>161.1</v>
      </c>
      <c r="E365" s="159">
        <v>193.32</v>
      </c>
      <c r="F365" s="148">
        <v>800</v>
      </c>
      <c r="G365" s="30">
        <v>45870</v>
      </c>
      <c r="H365" s="30"/>
      <c r="I36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579.96</v>
      </c>
    </row>
    <row r="366" spans="1:9" x14ac:dyDescent="0.3">
      <c r="A366" s="162" t="s">
        <v>258</v>
      </c>
      <c r="B366" s="148" t="s">
        <v>1</v>
      </c>
      <c r="C366" s="148">
        <v>4</v>
      </c>
      <c r="D366" s="123">
        <v>139.72999999999999</v>
      </c>
      <c r="E366" s="159">
        <v>167.68</v>
      </c>
      <c r="F366" s="148">
        <v>800</v>
      </c>
      <c r="G366" s="30">
        <v>45870</v>
      </c>
      <c r="H366" s="30"/>
      <c r="I36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670.7</v>
      </c>
    </row>
    <row r="367" spans="1:9" x14ac:dyDescent="0.3">
      <c r="A367" s="162" t="s">
        <v>258</v>
      </c>
      <c r="B367" s="148" t="s">
        <v>1</v>
      </c>
      <c r="C367" s="148">
        <v>5</v>
      </c>
      <c r="D367" s="123">
        <v>120.76</v>
      </c>
      <c r="E367" s="159">
        <v>144.91</v>
      </c>
      <c r="F367" s="148">
        <v>800</v>
      </c>
      <c r="G367" s="30">
        <v>45870</v>
      </c>
      <c r="H367" s="30"/>
      <c r="I36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724.56</v>
      </c>
    </row>
    <row r="368" spans="1:9" x14ac:dyDescent="0.3">
      <c r="A368" s="162" t="s">
        <v>258</v>
      </c>
      <c r="B368" s="148" t="s">
        <v>1</v>
      </c>
      <c r="C368" s="148">
        <v>6</v>
      </c>
      <c r="D368" s="123">
        <v>119.95</v>
      </c>
      <c r="E368" s="159">
        <v>143.94</v>
      </c>
      <c r="F368" s="148">
        <v>800</v>
      </c>
      <c r="G368" s="30">
        <v>45870</v>
      </c>
      <c r="H368" s="30"/>
      <c r="I36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863.64</v>
      </c>
    </row>
    <row r="369" spans="1:9" x14ac:dyDescent="0.3">
      <c r="A369" s="162" t="s">
        <v>258</v>
      </c>
      <c r="B369" s="148" t="s">
        <v>1</v>
      </c>
      <c r="C369" s="148">
        <v>7</v>
      </c>
      <c r="D369" s="123">
        <v>116.97</v>
      </c>
      <c r="E369" s="159">
        <v>140.36000000000001</v>
      </c>
      <c r="F369" s="148">
        <v>800</v>
      </c>
      <c r="G369" s="30">
        <v>45870</v>
      </c>
      <c r="H369" s="30"/>
      <c r="I36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982.55</v>
      </c>
    </row>
    <row r="370" spans="1:9" x14ac:dyDescent="0.3">
      <c r="A370" s="162" t="s">
        <v>258</v>
      </c>
      <c r="B370" s="148" t="s">
        <v>1</v>
      </c>
      <c r="C370" s="148">
        <v>8</v>
      </c>
      <c r="D370" s="123">
        <v>114.02</v>
      </c>
      <c r="E370" s="159">
        <v>136.82</v>
      </c>
      <c r="F370" s="148">
        <v>800</v>
      </c>
      <c r="G370" s="30">
        <v>45870</v>
      </c>
      <c r="H370" s="30"/>
      <c r="I37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1094.5899999999999</v>
      </c>
    </row>
    <row r="371" spans="1:9" x14ac:dyDescent="0.3">
      <c r="A371" s="162" t="s">
        <v>258</v>
      </c>
      <c r="B371" s="148" t="s">
        <v>1</v>
      </c>
      <c r="C371" s="148">
        <v>9</v>
      </c>
      <c r="D371" s="123">
        <v>111.17</v>
      </c>
      <c r="E371" s="159">
        <v>133.4</v>
      </c>
      <c r="F371" s="148">
        <v>800</v>
      </c>
      <c r="G371" s="30">
        <v>45870</v>
      </c>
      <c r="H371" s="30"/>
      <c r="I37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1200.6400000000001</v>
      </c>
    </row>
    <row r="372" spans="1:9" x14ac:dyDescent="0.3">
      <c r="A372" s="162" t="s">
        <v>258</v>
      </c>
      <c r="B372" s="148" t="s">
        <v>1</v>
      </c>
      <c r="C372" s="148">
        <v>10</v>
      </c>
      <c r="D372" s="123">
        <v>108.39</v>
      </c>
      <c r="E372" s="159">
        <v>130.07</v>
      </c>
      <c r="F372" s="148">
        <v>800</v>
      </c>
      <c r="G372" s="30">
        <v>45870</v>
      </c>
      <c r="H372" s="30"/>
      <c r="I37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1300.68</v>
      </c>
    </row>
    <row r="373" spans="1:9" x14ac:dyDescent="0.3">
      <c r="A373" s="162" t="s">
        <v>258</v>
      </c>
      <c r="B373" s="148" t="s">
        <v>2</v>
      </c>
      <c r="C373" s="148">
        <v>1</v>
      </c>
      <c r="D373" s="123">
        <v>137.04</v>
      </c>
      <c r="E373" s="159">
        <v>164.45</v>
      </c>
      <c r="F373" s="148">
        <v>400</v>
      </c>
      <c r="G373" s="30">
        <v>45870</v>
      </c>
      <c r="H373" s="30"/>
      <c r="I37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164.45</v>
      </c>
    </row>
    <row r="374" spans="1:9" x14ac:dyDescent="0.3">
      <c r="A374" s="162" t="s">
        <v>258</v>
      </c>
      <c r="B374" s="148" t="s">
        <v>2</v>
      </c>
      <c r="C374" s="148">
        <v>2</v>
      </c>
      <c r="D374" s="123">
        <v>113.86</v>
      </c>
      <c r="E374" s="159">
        <v>136.63</v>
      </c>
      <c r="F374" s="148">
        <v>400</v>
      </c>
      <c r="G374" s="30">
        <v>45870</v>
      </c>
      <c r="H374" s="30"/>
      <c r="I37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273.26</v>
      </c>
    </row>
    <row r="375" spans="1:9" x14ac:dyDescent="0.3">
      <c r="A375" s="162" t="s">
        <v>258</v>
      </c>
      <c r="B375" s="148" t="s">
        <v>2</v>
      </c>
      <c r="C375" s="148">
        <v>3</v>
      </c>
      <c r="D375" s="123">
        <v>88.71</v>
      </c>
      <c r="E375" s="159">
        <v>106.45</v>
      </c>
      <c r="F375" s="148">
        <v>400</v>
      </c>
      <c r="G375" s="30">
        <v>45870</v>
      </c>
      <c r="H375" s="30"/>
      <c r="I37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319.36</v>
      </c>
    </row>
    <row r="376" spans="1:9" x14ac:dyDescent="0.3">
      <c r="A376" s="162" t="s">
        <v>258</v>
      </c>
      <c r="B376" s="148" t="s">
        <v>2</v>
      </c>
      <c r="C376" s="148">
        <v>4</v>
      </c>
      <c r="D376" s="123">
        <v>76.760000000000005</v>
      </c>
      <c r="E376" s="159">
        <v>92.11</v>
      </c>
      <c r="F376" s="148">
        <v>400</v>
      </c>
      <c r="G376" s="30">
        <v>45870</v>
      </c>
      <c r="H376" s="30"/>
      <c r="I37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368.45</v>
      </c>
    </row>
    <row r="377" spans="1:9" x14ac:dyDescent="0.3">
      <c r="A377" s="162" t="s">
        <v>258</v>
      </c>
      <c r="B377" s="148" t="s">
        <v>2</v>
      </c>
      <c r="C377" s="148">
        <v>5</v>
      </c>
      <c r="D377" s="123">
        <v>66.16</v>
      </c>
      <c r="E377" s="159">
        <v>79.39</v>
      </c>
      <c r="F377" s="148">
        <v>400</v>
      </c>
      <c r="G377" s="30">
        <v>45870</v>
      </c>
      <c r="H377" s="30"/>
      <c r="I37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396.96</v>
      </c>
    </row>
    <row r="378" spans="1:9" x14ac:dyDescent="0.3">
      <c r="A378" s="162" t="s">
        <v>258</v>
      </c>
      <c r="B378" s="148" t="s">
        <v>2</v>
      </c>
      <c r="C378" s="148">
        <v>6</v>
      </c>
      <c r="D378" s="123">
        <v>65.73</v>
      </c>
      <c r="E378" s="159">
        <v>78.88</v>
      </c>
      <c r="F378" s="148">
        <v>400</v>
      </c>
      <c r="G378" s="30">
        <v>45870</v>
      </c>
      <c r="H378" s="30"/>
      <c r="I37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473.26</v>
      </c>
    </row>
    <row r="379" spans="1:9" x14ac:dyDescent="0.3">
      <c r="A379" s="162" t="s">
        <v>258</v>
      </c>
      <c r="B379" s="148" t="s">
        <v>2</v>
      </c>
      <c r="C379" s="148">
        <v>7</v>
      </c>
      <c r="D379" s="123">
        <v>64.09</v>
      </c>
      <c r="E379" s="159">
        <v>76.91</v>
      </c>
      <c r="F379" s="148">
        <v>400</v>
      </c>
      <c r="G379" s="30">
        <v>45870</v>
      </c>
      <c r="H379" s="30"/>
      <c r="I37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538.36</v>
      </c>
    </row>
    <row r="380" spans="1:9" x14ac:dyDescent="0.3">
      <c r="A380" s="162" t="s">
        <v>258</v>
      </c>
      <c r="B380" s="148" t="s">
        <v>2</v>
      </c>
      <c r="C380" s="148">
        <v>8</v>
      </c>
      <c r="D380" s="123">
        <v>62.49</v>
      </c>
      <c r="E380" s="159">
        <v>74.989999999999995</v>
      </c>
      <c r="F380" s="148">
        <v>400</v>
      </c>
      <c r="G380" s="30">
        <v>45870</v>
      </c>
      <c r="H380" s="30"/>
      <c r="I38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599.9</v>
      </c>
    </row>
    <row r="381" spans="1:9" x14ac:dyDescent="0.3">
      <c r="A381" s="162" t="s">
        <v>258</v>
      </c>
      <c r="B381" s="148" t="s">
        <v>2</v>
      </c>
      <c r="C381" s="148">
        <v>9</v>
      </c>
      <c r="D381" s="123">
        <v>60.92</v>
      </c>
      <c r="E381" s="159">
        <v>73.099999999999994</v>
      </c>
      <c r="F381" s="148">
        <v>400</v>
      </c>
      <c r="G381" s="30">
        <v>45870</v>
      </c>
      <c r="H381" s="30"/>
      <c r="I38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657.94</v>
      </c>
    </row>
    <row r="382" spans="1:9" x14ac:dyDescent="0.3">
      <c r="A382" s="162" t="s">
        <v>258</v>
      </c>
      <c r="B382" s="148" t="s">
        <v>2</v>
      </c>
      <c r="C382" s="148">
        <v>10</v>
      </c>
      <c r="D382" s="123">
        <v>59.42</v>
      </c>
      <c r="E382" s="159">
        <v>71.3</v>
      </c>
      <c r="F382" s="148">
        <v>400</v>
      </c>
      <c r="G382" s="30">
        <v>45870</v>
      </c>
      <c r="H382" s="30"/>
      <c r="I38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713.04</v>
      </c>
    </row>
    <row r="383" spans="1:9" x14ac:dyDescent="0.3">
      <c r="A383" s="162" t="s">
        <v>258</v>
      </c>
      <c r="B383" s="148" t="s">
        <v>16</v>
      </c>
      <c r="C383" s="148">
        <v>1</v>
      </c>
      <c r="D383" s="123">
        <v>36.090000000000003</v>
      </c>
      <c r="E383" s="159">
        <v>43.31</v>
      </c>
      <c r="F383" s="148">
        <v>60</v>
      </c>
      <c r="G383" s="30">
        <v>45870</v>
      </c>
      <c r="H383" s="30"/>
      <c r="I38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43.31</v>
      </c>
    </row>
    <row r="384" spans="1:9" x14ac:dyDescent="0.3">
      <c r="A384" s="162" t="s">
        <v>258</v>
      </c>
      <c r="B384" s="148" t="s">
        <v>16</v>
      </c>
      <c r="C384" s="148">
        <v>2</v>
      </c>
      <c r="D384" s="123">
        <v>33.11</v>
      </c>
      <c r="E384" s="159">
        <v>39.729999999999997</v>
      </c>
      <c r="F384" s="148">
        <v>60</v>
      </c>
      <c r="G384" s="30">
        <v>45870</v>
      </c>
      <c r="H384" s="30"/>
      <c r="I38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79.459999999999994</v>
      </c>
    </row>
    <row r="385" spans="1:9" x14ac:dyDescent="0.3">
      <c r="A385" s="162" t="s">
        <v>258</v>
      </c>
      <c r="B385" s="148" t="s">
        <v>16</v>
      </c>
      <c r="C385" s="148">
        <v>3</v>
      </c>
      <c r="D385" s="123">
        <v>32.89</v>
      </c>
      <c r="E385" s="159">
        <v>39.47</v>
      </c>
      <c r="F385" s="148">
        <v>60</v>
      </c>
      <c r="G385" s="30">
        <v>45870</v>
      </c>
      <c r="H385" s="30"/>
      <c r="I38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118.4</v>
      </c>
    </row>
    <row r="386" spans="1:9" x14ac:dyDescent="0.3">
      <c r="A386" s="162" t="s">
        <v>258</v>
      </c>
      <c r="B386" s="148" t="s">
        <v>16</v>
      </c>
      <c r="C386" s="148">
        <v>4</v>
      </c>
      <c r="D386" s="123">
        <v>32.71</v>
      </c>
      <c r="E386" s="159">
        <v>39.25</v>
      </c>
      <c r="F386" s="148">
        <v>60</v>
      </c>
      <c r="G386" s="30">
        <v>45870</v>
      </c>
      <c r="H386" s="30"/>
      <c r="I38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157.01</v>
      </c>
    </row>
    <row r="387" spans="1:9" x14ac:dyDescent="0.3">
      <c r="A387" s="162" t="s">
        <v>258</v>
      </c>
      <c r="B387" s="148" t="s">
        <v>16</v>
      </c>
      <c r="C387" s="148">
        <v>5</v>
      </c>
      <c r="D387" s="123">
        <v>32.46</v>
      </c>
      <c r="E387" s="159">
        <v>38.950000000000003</v>
      </c>
      <c r="F387" s="148">
        <v>60</v>
      </c>
      <c r="G387" s="30">
        <v>45870</v>
      </c>
      <c r="H387" s="30"/>
      <c r="I38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194.76</v>
      </c>
    </row>
    <row r="388" spans="1:9" x14ac:dyDescent="0.3">
      <c r="A388" s="162" t="s">
        <v>259</v>
      </c>
      <c r="B388" s="148" t="s">
        <v>1</v>
      </c>
      <c r="C388" s="148">
        <v>1</v>
      </c>
      <c r="D388" s="123">
        <v>571.26</v>
      </c>
      <c r="E388" s="159">
        <v>685.51</v>
      </c>
      <c r="F388" s="148">
        <v>800</v>
      </c>
      <c r="G388" s="30">
        <v>45870</v>
      </c>
      <c r="H388" s="30"/>
      <c r="I38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685.51</v>
      </c>
    </row>
    <row r="389" spans="1:9" x14ac:dyDescent="0.3">
      <c r="A389" s="162" t="s">
        <v>259</v>
      </c>
      <c r="B389" s="148" t="s">
        <v>1</v>
      </c>
      <c r="C389" s="148">
        <v>2</v>
      </c>
      <c r="D389" s="123">
        <v>475.98</v>
      </c>
      <c r="E389" s="159">
        <v>571.17999999999995</v>
      </c>
      <c r="F389" s="148">
        <v>800</v>
      </c>
      <c r="G389" s="30">
        <v>45870</v>
      </c>
      <c r="H389" s="30"/>
      <c r="I38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1142.3499999999999</v>
      </c>
    </row>
    <row r="390" spans="1:9" x14ac:dyDescent="0.3">
      <c r="A390" s="162" t="s">
        <v>259</v>
      </c>
      <c r="B390" s="148" t="s">
        <v>1</v>
      </c>
      <c r="C390" s="148">
        <v>3</v>
      </c>
      <c r="D390" s="123">
        <v>371.67</v>
      </c>
      <c r="E390" s="159">
        <v>446</v>
      </c>
      <c r="F390" s="148">
        <v>800</v>
      </c>
      <c r="G390" s="30">
        <v>45870</v>
      </c>
      <c r="H390" s="30"/>
      <c r="I39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1338.01</v>
      </c>
    </row>
    <row r="391" spans="1:9" x14ac:dyDescent="0.3">
      <c r="A391" s="162" t="s">
        <v>259</v>
      </c>
      <c r="B391" s="148" t="s">
        <v>1</v>
      </c>
      <c r="C391" s="148">
        <v>4</v>
      </c>
      <c r="D391" s="123">
        <v>322.54000000000002</v>
      </c>
      <c r="E391" s="159">
        <v>387.05</v>
      </c>
      <c r="F391" s="148">
        <v>800</v>
      </c>
      <c r="G391" s="30">
        <v>45870</v>
      </c>
      <c r="H391" s="30"/>
      <c r="I39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1548.19</v>
      </c>
    </row>
    <row r="392" spans="1:9" x14ac:dyDescent="0.3">
      <c r="A392" s="162" t="s">
        <v>259</v>
      </c>
      <c r="B392" s="148" t="s">
        <v>1</v>
      </c>
      <c r="C392" s="148">
        <v>5</v>
      </c>
      <c r="D392" s="123">
        <v>278.67</v>
      </c>
      <c r="E392" s="159">
        <v>334.4</v>
      </c>
      <c r="F392" s="148">
        <v>800</v>
      </c>
      <c r="G392" s="30">
        <v>45870</v>
      </c>
      <c r="H392" s="30"/>
      <c r="I39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1672.02</v>
      </c>
    </row>
    <row r="393" spans="1:9" x14ac:dyDescent="0.3">
      <c r="A393" s="162" t="s">
        <v>259</v>
      </c>
      <c r="B393" s="148" t="s">
        <v>1</v>
      </c>
      <c r="C393" s="148">
        <v>6</v>
      </c>
      <c r="D393" s="123">
        <v>246.61</v>
      </c>
      <c r="E393" s="159">
        <v>295.93</v>
      </c>
      <c r="F393" s="148">
        <v>800</v>
      </c>
      <c r="G393" s="30">
        <v>45870</v>
      </c>
      <c r="H393" s="30"/>
      <c r="I39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1775.59</v>
      </c>
    </row>
    <row r="394" spans="1:9" x14ac:dyDescent="0.3">
      <c r="A394" s="162" t="s">
        <v>259</v>
      </c>
      <c r="B394" s="148" t="s">
        <v>1</v>
      </c>
      <c r="C394" s="148">
        <v>7</v>
      </c>
      <c r="D394" s="123">
        <v>217.9</v>
      </c>
      <c r="E394" s="159">
        <v>261.48</v>
      </c>
      <c r="F394" s="148">
        <v>800</v>
      </c>
      <c r="G394" s="30">
        <v>45870</v>
      </c>
      <c r="H394" s="30"/>
      <c r="I39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1830.36</v>
      </c>
    </row>
    <row r="395" spans="1:9" x14ac:dyDescent="0.3">
      <c r="A395" s="162" t="s">
        <v>259</v>
      </c>
      <c r="B395" s="148" t="s">
        <v>1</v>
      </c>
      <c r="C395" s="148">
        <v>8</v>
      </c>
      <c r="D395" s="123">
        <v>194.93</v>
      </c>
      <c r="E395" s="159">
        <v>233.92</v>
      </c>
      <c r="F395" s="148">
        <v>800</v>
      </c>
      <c r="G395" s="30">
        <v>45870</v>
      </c>
      <c r="H395" s="30"/>
      <c r="I39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1871.33</v>
      </c>
    </row>
    <row r="396" spans="1:9" x14ac:dyDescent="0.3">
      <c r="A396" s="162" t="s">
        <v>259</v>
      </c>
      <c r="B396" s="148" t="s">
        <v>1</v>
      </c>
      <c r="C396" s="148">
        <v>9</v>
      </c>
      <c r="D396" s="123">
        <v>177.49</v>
      </c>
      <c r="E396" s="159">
        <v>212.99</v>
      </c>
      <c r="F396" s="148">
        <v>800</v>
      </c>
      <c r="G396" s="30">
        <v>45870</v>
      </c>
      <c r="H396" s="30"/>
      <c r="I39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1916.89</v>
      </c>
    </row>
    <row r="397" spans="1:9" x14ac:dyDescent="0.3">
      <c r="A397" s="162" t="s">
        <v>259</v>
      </c>
      <c r="B397" s="148" t="s">
        <v>1</v>
      </c>
      <c r="C397" s="148">
        <v>10</v>
      </c>
      <c r="D397" s="123">
        <v>165.83</v>
      </c>
      <c r="E397" s="159">
        <v>199</v>
      </c>
      <c r="F397" s="148">
        <v>800</v>
      </c>
      <c r="G397" s="30">
        <v>45870</v>
      </c>
      <c r="H397" s="30"/>
      <c r="I39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1989.96</v>
      </c>
    </row>
    <row r="398" spans="1:9" x14ac:dyDescent="0.3">
      <c r="A398" s="162" t="s">
        <v>259</v>
      </c>
      <c r="B398" s="148" t="s">
        <v>2</v>
      </c>
      <c r="C398" s="148">
        <v>1</v>
      </c>
      <c r="D398" s="123">
        <v>270.87</v>
      </c>
      <c r="E398" s="159">
        <v>325.04000000000002</v>
      </c>
      <c r="F398" s="148">
        <v>400</v>
      </c>
      <c r="G398" s="30">
        <v>45870</v>
      </c>
      <c r="H398" s="30"/>
      <c r="I39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325.04000000000002</v>
      </c>
    </row>
    <row r="399" spans="1:9" x14ac:dyDescent="0.3">
      <c r="A399" s="162" t="s">
        <v>259</v>
      </c>
      <c r="B399" s="148" t="s">
        <v>2</v>
      </c>
      <c r="C399" s="148">
        <v>2</v>
      </c>
      <c r="D399" s="123">
        <v>225.09</v>
      </c>
      <c r="E399" s="159">
        <v>270.11</v>
      </c>
      <c r="F399" s="148">
        <v>400</v>
      </c>
      <c r="G399" s="30">
        <v>45870</v>
      </c>
      <c r="H399" s="30"/>
      <c r="I39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540.22</v>
      </c>
    </row>
    <row r="400" spans="1:9" x14ac:dyDescent="0.3">
      <c r="A400" s="162" t="s">
        <v>259</v>
      </c>
      <c r="B400" s="148" t="s">
        <v>2</v>
      </c>
      <c r="C400" s="148">
        <v>3</v>
      </c>
      <c r="D400" s="123">
        <v>175.39</v>
      </c>
      <c r="E400" s="159">
        <v>210.47</v>
      </c>
      <c r="F400" s="148">
        <v>400</v>
      </c>
      <c r="G400" s="30">
        <v>45870</v>
      </c>
      <c r="H400" s="30"/>
      <c r="I40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631.4</v>
      </c>
    </row>
    <row r="401" spans="1:9" x14ac:dyDescent="0.3">
      <c r="A401" s="162" t="s">
        <v>259</v>
      </c>
      <c r="B401" s="148" t="s">
        <v>2</v>
      </c>
      <c r="C401" s="148">
        <v>4</v>
      </c>
      <c r="D401" s="123">
        <v>151.86000000000001</v>
      </c>
      <c r="E401" s="159">
        <v>182.23</v>
      </c>
      <c r="F401" s="148">
        <v>400</v>
      </c>
      <c r="G401" s="30">
        <v>45870</v>
      </c>
      <c r="H401" s="30"/>
      <c r="I40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728.93</v>
      </c>
    </row>
    <row r="402" spans="1:9" x14ac:dyDescent="0.3">
      <c r="A402" s="162" t="s">
        <v>259</v>
      </c>
      <c r="B402" s="148" t="s">
        <v>2</v>
      </c>
      <c r="C402" s="148">
        <v>5</v>
      </c>
      <c r="D402" s="123">
        <v>130.91</v>
      </c>
      <c r="E402" s="159">
        <v>157.09</v>
      </c>
      <c r="F402" s="148">
        <v>400</v>
      </c>
      <c r="G402" s="30">
        <v>45870</v>
      </c>
      <c r="H402" s="30"/>
      <c r="I40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785.46</v>
      </c>
    </row>
    <row r="403" spans="1:9" x14ac:dyDescent="0.3">
      <c r="A403" s="162" t="s">
        <v>259</v>
      </c>
      <c r="B403" s="148" t="s">
        <v>2</v>
      </c>
      <c r="C403" s="148">
        <v>6</v>
      </c>
      <c r="D403" s="123">
        <v>115.53</v>
      </c>
      <c r="E403" s="159">
        <v>138.63999999999999</v>
      </c>
      <c r="F403" s="148">
        <v>400</v>
      </c>
      <c r="G403" s="30">
        <v>45870</v>
      </c>
      <c r="H403" s="30"/>
      <c r="I40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831.82</v>
      </c>
    </row>
    <row r="404" spans="1:9" x14ac:dyDescent="0.3">
      <c r="A404" s="162" t="s">
        <v>259</v>
      </c>
      <c r="B404" s="148" t="s">
        <v>2</v>
      </c>
      <c r="C404" s="148">
        <v>7</v>
      </c>
      <c r="D404" s="123">
        <v>101.81</v>
      </c>
      <c r="E404" s="159">
        <v>122.17</v>
      </c>
      <c r="F404" s="148">
        <v>400</v>
      </c>
      <c r="G404" s="30">
        <v>45870</v>
      </c>
      <c r="H404" s="30"/>
      <c r="I40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855.2</v>
      </c>
    </row>
    <row r="405" spans="1:9" x14ac:dyDescent="0.3">
      <c r="A405" s="162" t="s">
        <v>259</v>
      </c>
      <c r="B405" s="148" t="s">
        <v>2</v>
      </c>
      <c r="C405" s="148">
        <v>8</v>
      </c>
      <c r="D405" s="123">
        <v>90.89</v>
      </c>
      <c r="E405" s="159">
        <v>109.07</v>
      </c>
      <c r="F405" s="148">
        <v>400</v>
      </c>
      <c r="G405" s="30">
        <v>45870</v>
      </c>
      <c r="H405" s="30"/>
      <c r="I40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872.54</v>
      </c>
    </row>
    <row r="406" spans="1:9" x14ac:dyDescent="0.3">
      <c r="A406" s="162" t="s">
        <v>259</v>
      </c>
      <c r="B406" s="148" t="s">
        <v>2</v>
      </c>
      <c r="C406" s="148">
        <v>9</v>
      </c>
      <c r="D406" s="123">
        <v>82.52</v>
      </c>
      <c r="E406" s="159">
        <v>99.02</v>
      </c>
      <c r="F406" s="148">
        <v>400</v>
      </c>
      <c r="G406" s="30">
        <v>45870</v>
      </c>
      <c r="H406" s="30"/>
      <c r="I40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891.22</v>
      </c>
    </row>
    <row r="407" spans="1:9" x14ac:dyDescent="0.3">
      <c r="A407" s="162" t="s">
        <v>259</v>
      </c>
      <c r="B407" s="148" t="s">
        <v>2</v>
      </c>
      <c r="C407" s="148">
        <v>10</v>
      </c>
      <c r="D407" s="123">
        <v>76.88</v>
      </c>
      <c r="E407" s="159">
        <v>92.26</v>
      </c>
      <c r="F407" s="148">
        <v>400</v>
      </c>
      <c r="G407" s="30">
        <v>45870</v>
      </c>
      <c r="H407" s="30"/>
      <c r="I40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922.56</v>
      </c>
    </row>
    <row r="408" spans="1:9" x14ac:dyDescent="0.3">
      <c r="A408" s="162" t="s">
        <v>259</v>
      </c>
      <c r="B408" s="148" t="s">
        <v>16</v>
      </c>
      <c r="C408" s="148">
        <v>1</v>
      </c>
      <c r="D408" s="123">
        <v>46.87</v>
      </c>
      <c r="E408" s="159">
        <v>56.24</v>
      </c>
      <c r="F408" s="148">
        <v>60</v>
      </c>
      <c r="G408" s="30">
        <v>45870</v>
      </c>
      <c r="H408" s="30"/>
      <c r="I40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56.24</v>
      </c>
    </row>
    <row r="409" spans="1:9" x14ac:dyDescent="0.3">
      <c r="A409" s="162" t="s">
        <v>259</v>
      </c>
      <c r="B409" s="148" t="s">
        <v>16</v>
      </c>
      <c r="C409" s="148">
        <v>2</v>
      </c>
      <c r="D409" s="123">
        <v>42.99</v>
      </c>
      <c r="E409" s="159">
        <v>51.59</v>
      </c>
      <c r="F409" s="148">
        <v>60</v>
      </c>
      <c r="G409" s="30">
        <v>45870</v>
      </c>
      <c r="H409" s="30"/>
      <c r="I40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103.18</v>
      </c>
    </row>
    <row r="410" spans="1:9" x14ac:dyDescent="0.3">
      <c r="A410" s="162" t="s">
        <v>259</v>
      </c>
      <c r="B410" s="148" t="s">
        <v>16</v>
      </c>
      <c r="C410" s="148">
        <v>3</v>
      </c>
      <c r="D410" s="123">
        <v>39.44</v>
      </c>
      <c r="E410" s="159">
        <v>47.33</v>
      </c>
      <c r="F410" s="148">
        <v>60</v>
      </c>
      <c r="G410" s="30">
        <v>45870</v>
      </c>
      <c r="H410" s="30"/>
      <c r="I41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141.97999999999999</v>
      </c>
    </row>
    <row r="411" spans="1:9" x14ac:dyDescent="0.3">
      <c r="A411" s="162" t="s">
        <v>259</v>
      </c>
      <c r="B411" s="148" t="s">
        <v>16</v>
      </c>
      <c r="C411" s="148">
        <v>4</v>
      </c>
      <c r="D411" s="123">
        <v>36.11</v>
      </c>
      <c r="E411" s="159">
        <v>43.33</v>
      </c>
      <c r="F411" s="148">
        <v>60</v>
      </c>
      <c r="G411" s="30">
        <v>45870</v>
      </c>
      <c r="H411" s="30"/>
      <c r="I41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173.33</v>
      </c>
    </row>
    <row r="412" spans="1:9" x14ac:dyDescent="0.3">
      <c r="A412" s="162" t="s">
        <v>259</v>
      </c>
      <c r="B412" s="148" t="s">
        <v>16</v>
      </c>
      <c r="C412" s="148">
        <v>5</v>
      </c>
      <c r="D412" s="123">
        <v>33.119999999999997</v>
      </c>
      <c r="E412" s="159">
        <v>39.74</v>
      </c>
      <c r="F412" s="148">
        <v>60</v>
      </c>
      <c r="G412" s="30">
        <v>45870</v>
      </c>
      <c r="H412" s="30"/>
      <c r="I41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198.72</v>
      </c>
    </row>
    <row r="413" spans="1:9" x14ac:dyDescent="0.3">
      <c r="A413" s="162" t="s">
        <v>259</v>
      </c>
      <c r="B413" s="148" t="s">
        <v>16</v>
      </c>
      <c r="C413" s="148">
        <v>6</v>
      </c>
      <c r="D413" s="123">
        <v>30.39</v>
      </c>
      <c r="E413" s="159">
        <v>36.47</v>
      </c>
      <c r="F413" s="148">
        <v>60</v>
      </c>
      <c r="G413" s="30">
        <v>45870</v>
      </c>
      <c r="H413" s="30"/>
      <c r="I41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218.81</v>
      </c>
    </row>
    <row r="414" spans="1:9" x14ac:dyDescent="0.3">
      <c r="A414" s="162" t="s">
        <v>259</v>
      </c>
      <c r="B414" s="148" t="s">
        <v>16</v>
      </c>
      <c r="C414" s="148">
        <v>7</v>
      </c>
      <c r="D414" s="123">
        <v>27.34</v>
      </c>
      <c r="E414" s="159">
        <v>32.81</v>
      </c>
      <c r="F414" s="148">
        <v>60</v>
      </c>
      <c r="G414" s="30">
        <v>45870</v>
      </c>
      <c r="H414" s="30"/>
      <c r="I41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229.66</v>
      </c>
    </row>
    <row r="415" spans="1:9" x14ac:dyDescent="0.3">
      <c r="A415" s="162" t="s">
        <v>259</v>
      </c>
      <c r="B415" s="148" t="s">
        <v>16</v>
      </c>
      <c r="C415" s="148">
        <v>8</v>
      </c>
      <c r="D415" s="123">
        <v>24.58</v>
      </c>
      <c r="E415" s="159">
        <v>29.5</v>
      </c>
      <c r="F415" s="148">
        <v>60</v>
      </c>
      <c r="G415" s="30">
        <v>45870</v>
      </c>
      <c r="H415" s="30"/>
      <c r="I41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235.97</v>
      </c>
    </row>
    <row r="416" spans="1:9" x14ac:dyDescent="0.3">
      <c r="A416" s="162" t="s">
        <v>259</v>
      </c>
      <c r="B416" s="148" t="s">
        <v>16</v>
      </c>
      <c r="C416" s="148">
        <v>9</v>
      </c>
      <c r="D416" s="123">
        <v>22.16</v>
      </c>
      <c r="E416" s="159">
        <v>26.59</v>
      </c>
      <c r="F416" s="148">
        <v>60</v>
      </c>
      <c r="G416" s="30">
        <v>45870</v>
      </c>
      <c r="H416" s="30"/>
      <c r="I41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239.33</v>
      </c>
    </row>
    <row r="417" spans="1:9" x14ac:dyDescent="0.3">
      <c r="A417" s="162" t="s">
        <v>259</v>
      </c>
      <c r="B417" s="148" t="s">
        <v>16</v>
      </c>
      <c r="C417" s="148">
        <v>10</v>
      </c>
      <c r="D417" s="123">
        <v>20.190000000000001</v>
      </c>
      <c r="E417" s="159">
        <v>24.23</v>
      </c>
      <c r="F417" s="148">
        <v>60</v>
      </c>
      <c r="G417" s="30">
        <v>45870</v>
      </c>
      <c r="H417" s="30"/>
      <c r="I41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242.28</v>
      </c>
    </row>
    <row r="418" spans="1:9" x14ac:dyDescent="0.3">
      <c r="A418" s="162" t="s">
        <v>260</v>
      </c>
      <c r="B418" s="148" t="s">
        <v>1</v>
      </c>
      <c r="C418" s="148">
        <v>1</v>
      </c>
      <c r="D418" s="123">
        <v>722.17</v>
      </c>
      <c r="E418" s="159">
        <v>866.6</v>
      </c>
      <c r="F418" s="148">
        <v>800</v>
      </c>
      <c r="G418" s="30">
        <v>45870</v>
      </c>
      <c r="H418" s="30"/>
      <c r="I41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866.6</v>
      </c>
    </row>
    <row r="419" spans="1:9" x14ac:dyDescent="0.3">
      <c r="A419" s="162" t="s">
        <v>260</v>
      </c>
      <c r="B419" s="148" t="s">
        <v>1</v>
      </c>
      <c r="C419" s="148">
        <v>2</v>
      </c>
      <c r="D419" s="123">
        <v>639.21</v>
      </c>
      <c r="E419" s="159">
        <v>767.05</v>
      </c>
      <c r="F419" s="148">
        <v>800</v>
      </c>
      <c r="G419" s="30">
        <v>45870</v>
      </c>
      <c r="H419" s="30"/>
      <c r="I41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1534.1</v>
      </c>
    </row>
    <row r="420" spans="1:9" x14ac:dyDescent="0.3">
      <c r="A420" s="162" t="s">
        <v>260</v>
      </c>
      <c r="B420" s="148" t="s">
        <v>1</v>
      </c>
      <c r="C420" s="148">
        <v>3</v>
      </c>
      <c r="D420" s="123">
        <v>565.78</v>
      </c>
      <c r="E420" s="159">
        <v>678.94</v>
      </c>
      <c r="F420" s="148">
        <v>800</v>
      </c>
      <c r="G420" s="30">
        <v>45870</v>
      </c>
      <c r="H420" s="30"/>
      <c r="I42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2036.81</v>
      </c>
    </row>
    <row r="421" spans="1:9" x14ac:dyDescent="0.3">
      <c r="A421" s="162" t="s">
        <v>260</v>
      </c>
      <c r="B421" s="148" t="s">
        <v>1</v>
      </c>
      <c r="C421" s="148">
        <v>4</v>
      </c>
      <c r="D421" s="123">
        <v>500.75</v>
      </c>
      <c r="E421" s="159">
        <v>600.9</v>
      </c>
      <c r="F421" s="148">
        <v>800</v>
      </c>
      <c r="G421" s="30">
        <v>45870</v>
      </c>
      <c r="H421" s="30"/>
      <c r="I42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2403.6</v>
      </c>
    </row>
    <row r="422" spans="1:9" x14ac:dyDescent="0.3">
      <c r="A422" s="162" t="s">
        <v>260</v>
      </c>
      <c r="B422" s="148" t="s">
        <v>1</v>
      </c>
      <c r="C422" s="148">
        <v>5</v>
      </c>
      <c r="D422" s="123">
        <v>443.13</v>
      </c>
      <c r="E422" s="159">
        <v>531.76</v>
      </c>
      <c r="F422" s="148">
        <v>800</v>
      </c>
      <c r="G422" s="30">
        <v>45870</v>
      </c>
      <c r="H422" s="30"/>
      <c r="I42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2658.78</v>
      </c>
    </row>
    <row r="423" spans="1:9" x14ac:dyDescent="0.3">
      <c r="A423" s="162" t="s">
        <v>260</v>
      </c>
      <c r="B423" s="148" t="s">
        <v>1</v>
      </c>
      <c r="C423" s="148">
        <v>6</v>
      </c>
      <c r="D423" s="123">
        <v>392.03</v>
      </c>
      <c r="E423" s="159">
        <v>470.44</v>
      </c>
      <c r="F423" s="148">
        <v>800</v>
      </c>
      <c r="G423" s="30">
        <v>45870</v>
      </c>
      <c r="H423" s="30"/>
      <c r="I42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2822.62</v>
      </c>
    </row>
    <row r="424" spans="1:9" x14ac:dyDescent="0.3">
      <c r="A424" s="162" t="s">
        <v>260</v>
      </c>
      <c r="B424" s="148" t="s">
        <v>1</v>
      </c>
      <c r="C424" s="148">
        <v>7</v>
      </c>
      <c r="D424" s="123">
        <v>346.56</v>
      </c>
      <c r="E424" s="159">
        <v>415.87</v>
      </c>
      <c r="F424" s="148">
        <v>800</v>
      </c>
      <c r="G424" s="30">
        <v>45870</v>
      </c>
      <c r="H424" s="30"/>
      <c r="I42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2911.1</v>
      </c>
    </row>
    <row r="425" spans="1:9" x14ac:dyDescent="0.3">
      <c r="A425" s="162" t="s">
        <v>260</v>
      </c>
      <c r="B425" s="148" t="s">
        <v>1</v>
      </c>
      <c r="C425" s="148">
        <v>8</v>
      </c>
      <c r="D425" s="123">
        <v>310.06</v>
      </c>
      <c r="E425" s="159">
        <v>372.07</v>
      </c>
      <c r="F425" s="148">
        <v>800</v>
      </c>
      <c r="G425" s="30">
        <v>45870</v>
      </c>
      <c r="H425" s="30"/>
      <c r="I42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2976.58</v>
      </c>
    </row>
    <row r="426" spans="1:9" x14ac:dyDescent="0.3">
      <c r="A426" s="162" t="s">
        <v>260</v>
      </c>
      <c r="B426" s="148" t="s">
        <v>1</v>
      </c>
      <c r="C426" s="148">
        <v>9</v>
      </c>
      <c r="D426" s="123">
        <v>282.08</v>
      </c>
      <c r="E426" s="159">
        <v>338.5</v>
      </c>
      <c r="F426" s="148">
        <v>800</v>
      </c>
      <c r="G426" s="30">
        <v>45870</v>
      </c>
      <c r="H426" s="30"/>
      <c r="I42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3046.46</v>
      </c>
    </row>
    <row r="427" spans="1:9" x14ac:dyDescent="0.3">
      <c r="A427" s="162" t="s">
        <v>260</v>
      </c>
      <c r="B427" s="148" t="s">
        <v>1</v>
      </c>
      <c r="C427" s="148">
        <v>10</v>
      </c>
      <c r="D427" s="123">
        <v>263.48</v>
      </c>
      <c r="E427" s="159">
        <v>316.18</v>
      </c>
      <c r="F427" s="148">
        <v>800</v>
      </c>
      <c r="G427" s="30">
        <v>45870</v>
      </c>
      <c r="H427" s="30"/>
      <c r="I42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3161.76</v>
      </c>
    </row>
    <row r="428" spans="1:9" x14ac:dyDescent="0.3">
      <c r="A428" s="162" t="s">
        <v>260</v>
      </c>
      <c r="B428" s="148" t="s">
        <v>2</v>
      </c>
      <c r="C428" s="148">
        <v>1</v>
      </c>
      <c r="D428" s="123">
        <v>446.26</v>
      </c>
      <c r="E428" s="159">
        <v>535.51</v>
      </c>
      <c r="F428" s="148">
        <v>400</v>
      </c>
      <c r="G428" s="30">
        <v>45870</v>
      </c>
      <c r="H428" s="30"/>
      <c r="I42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535.51</v>
      </c>
    </row>
    <row r="429" spans="1:9" x14ac:dyDescent="0.3">
      <c r="A429" s="162" t="s">
        <v>260</v>
      </c>
      <c r="B429" s="148" t="s">
        <v>2</v>
      </c>
      <c r="C429" s="148">
        <v>2</v>
      </c>
      <c r="D429" s="123">
        <v>394.1</v>
      </c>
      <c r="E429" s="159">
        <v>472.92</v>
      </c>
      <c r="F429" s="148">
        <v>400</v>
      </c>
      <c r="G429" s="30">
        <v>45870</v>
      </c>
      <c r="H429" s="30"/>
      <c r="I42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945.84</v>
      </c>
    </row>
    <row r="430" spans="1:9" x14ac:dyDescent="0.3">
      <c r="A430" s="162" t="s">
        <v>260</v>
      </c>
      <c r="B430" s="148" t="s">
        <v>2</v>
      </c>
      <c r="C430" s="148">
        <v>3</v>
      </c>
      <c r="D430" s="123">
        <v>347.98</v>
      </c>
      <c r="E430" s="159">
        <v>417.58</v>
      </c>
      <c r="F430" s="148">
        <v>400</v>
      </c>
      <c r="G430" s="30">
        <v>45870</v>
      </c>
      <c r="H430" s="30"/>
      <c r="I43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1252.73</v>
      </c>
    </row>
    <row r="431" spans="1:9" x14ac:dyDescent="0.3">
      <c r="A431" s="162" t="s">
        <v>260</v>
      </c>
      <c r="B431" s="148" t="s">
        <v>2</v>
      </c>
      <c r="C431" s="148">
        <v>4</v>
      </c>
      <c r="D431" s="123">
        <v>307.23</v>
      </c>
      <c r="E431" s="159">
        <v>368.68</v>
      </c>
      <c r="F431" s="148">
        <v>400</v>
      </c>
      <c r="G431" s="30">
        <v>45870</v>
      </c>
      <c r="H431" s="30"/>
      <c r="I43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1474.7</v>
      </c>
    </row>
    <row r="432" spans="1:9" x14ac:dyDescent="0.3">
      <c r="A432" s="162" t="s">
        <v>260</v>
      </c>
      <c r="B432" s="148" t="s">
        <v>2</v>
      </c>
      <c r="C432" s="148">
        <v>5</v>
      </c>
      <c r="D432" s="123">
        <v>271.2</v>
      </c>
      <c r="E432" s="159">
        <v>325.44</v>
      </c>
      <c r="F432" s="148">
        <v>400</v>
      </c>
      <c r="G432" s="30">
        <v>45870</v>
      </c>
      <c r="H432" s="30"/>
      <c r="I43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1627.2</v>
      </c>
    </row>
    <row r="433" spans="1:9" x14ac:dyDescent="0.3">
      <c r="A433" s="162" t="s">
        <v>260</v>
      </c>
      <c r="B433" s="148" t="s">
        <v>2</v>
      </c>
      <c r="C433" s="148">
        <v>6</v>
      </c>
      <c r="D433" s="123">
        <v>239.38</v>
      </c>
      <c r="E433" s="159">
        <v>287.26</v>
      </c>
      <c r="F433" s="148">
        <v>400</v>
      </c>
      <c r="G433" s="30">
        <v>45870</v>
      </c>
      <c r="H433" s="30"/>
      <c r="I43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1723.54</v>
      </c>
    </row>
    <row r="434" spans="1:9" x14ac:dyDescent="0.3">
      <c r="A434" s="162" t="s">
        <v>260</v>
      </c>
      <c r="B434" s="148" t="s">
        <v>2</v>
      </c>
      <c r="C434" s="148">
        <v>7</v>
      </c>
      <c r="D434" s="123">
        <v>211.06</v>
      </c>
      <c r="E434" s="159">
        <v>253.27</v>
      </c>
      <c r="F434" s="148">
        <v>400</v>
      </c>
      <c r="G434" s="30">
        <v>45870</v>
      </c>
      <c r="H434" s="30"/>
      <c r="I43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1772.9</v>
      </c>
    </row>
    <row r="435" spans="1:9" x14ac:dyDescent="0.3">
      <c r="A435" s="162" t="s">
        <v>260</v>
      </c>
      <c r="B435" s="148" t="s">
        <v>2</v>
      </c>
      <c r="C435" s="148">
        <v>8</v>
      </c>
      <c r="D435" s="123">
        <v>188.36</v>
      </c>
      <c r="E435" s="159">
        <v>226.03</v>
      </c>
      <c r="F435" s="148">
        <v>400</v>
      </c>
      <c r="G435" s="30">
        <v>45870</v>
      </c>
      <c r="H435" s="30"/>
      <c r="I43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1808.26</v>
      </c>
    </row>
    <row r="436" spans="1:9" x14ac:dyDescent="0.3">
      <c r="A436" s="162" t="s">
        <v>260</v>
      </c>
      <c r="B436" s="148" t="s">
        <v>2</v>
      </c>
      <c r="C436" s="148">
        <v>9</v>
      </c>
      <c r="D436" s="123">
        <v>171.01</v>
      </c>
      <c r="E436" s="159">
        <v>205.21</v>
      </c>
      <c r="F436" s="148">
        <v>400</v>
      </c>
      <c r="G436" s="30">
        <v>45870</v>
      </c>
      <c r="H436" s="30"/>
      <c r="I43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1846.91</v>
      </c>
    </row>
    <row r="437" spans="1:9" x14ac:dyDescent="0.3">
      <c r="A437" s="162" t="s">
        <v>260</v>
      </c>
      <c r="B437" s="148" t="s">
        <v>2</v>
      </c>
      <c r="C437" s="148">
        <v>10</v>
      </c>
      <c r="D437" s="123">
        <v>159.33000000000001</v>
      </c>
      <c r="E437" s="159">
        <v>191.2</v>
      </c>
      <c r="F437" s="148">
        <v>400</v>
      </c>
      <c r="G437" s="30">
        <v>45870</v>
      </c>
      <c r="H437" s="30"/>
      <c r="I43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1911.96</v>
      </c>
    </row>
    <row r="438" spans="1:9" x14ac:dyDescent="0.3">
      <c r="A438" s="162" t="s">
        <v>260</v>
      </c>
      <c r="B438" s="148" t="s">
        <v>16</v>
      </c>
      <c r="C438" s="148">
        <v>1</v>
      </c>
      <c r="D438" s="123">
        <v>54.51</v>
      </c>
      <c r="E438" s="159">
        <v>65.41</v>
      </c>
      <c r="F438" s="148">
        <v>60</v>
      </c>
      <c r="G438" s="30">
        <v>45870</v>
      </c>
      <c r="H438" s="30"/>
      <c r="I43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65.41</v>
      </c>
    </row>
    <row r="439" spans="1:9" x14ac:dyDescent="0.3">
      <c r="A439" s="162" t="s">
        <v>260</v>
      </c>
      <c r="B439" s="148" t="s">
        <v>16</v>
      </c>
      <c r="C439" s="148">
        <v>2</v>
      </c>
      <c r="D439" s="123">
        <v>49.98</v>
      </c>
      <c r="E439" s="159">
        <v>59.98</v>
      </c>
      <c r="F439" s="148">
        <v>60</v>
      </c>
      <c r="G439" s="30">
        <v>45870</v>
      </c>
      <c r="H439" s="30"/>
      <c r="I43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119.95</v>
      </c>
    </row>
    <row r="440" spans="1:9" x14ac:dyDescent="0.3">
      <c r="A440" s="162" t="s">
        <v>260</v>
      </c>
      <c r="B440" s="148" t="s">
        <v>16</v>
      </c>
      <c r="C440" s="148">
        <v>3</v>
      </c>
      <c r="D440" s="123">
        <v>45.8</v>
      </c>
      <c r="E440" s="159">
        <v>54.96</v>
      </c>
      <c r="F440" s="148">
        <v>60</v>
      </c>
      <c r="G440" s="30">
        <v>45870</v>
      </c>
      <c r="H440" s="30"/>
      <c r="I44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164.88</v>
      </c>
    </row>
    <row r="441" spans="1:9" x14ac:dyDescent="0.3">
      <c r="A441" s="162" t="s">
        <v>260</v>
      </c>
      <c r="B441" s="148" t="s">
        <v>16</v>
      </c>
      <c r="C441" s="148">
        <v>4</v>
      </c>
      <c r="D441" s="123">
        <v>42.04</v>
      </c>
      <c r="E441" s="159">
        <v>50.45</v>
      </c>
      <c r="F441" s="148">
        <v>60</v>
      </c>
      <c r="G441" s="30">
        <v>45870</v>
      </c>
      <c r="H441" s="30"/>
      <c r="I44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201.79</v>
      </c>
    </row>
    <row r="442" spans="1:9" x14ac:dyDescent="0.3">
      <c r="A442" s="162" t="s">
        <v>260</v>
      </c>
      <c r="B442" s="148" t="s">
        <v>16</v>
      </c>
      <c r="C442" s="148">
        <v>5</v>
      </c>
      <c r="D442" s="123">
        <v>38.520000000000003</v>
      </c>
      <c r="E442" s="159">
        <v>46.22</v>
      </c>
      <c r="F442" s="148">
        <v>60</v>
      </c>
      <c r="G442" s="30">
        <v>45870</v>
      </c>
      <c r="H442" s="30"/>
      <c r="I44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231.12</v>
      </c>
    </row>
    <row r="443" spans="1:9" x14ac:dyDescent="0.3">
      <c r="A443" s="162" t="s">
        <v>260</v>
      </c>
      <c r="B443" s="148" t="s">
        <v>16</v>
      </c>
      <c r="C443" s="148">
        <v>6</v>
      </c>
      <c r="D443" s="123">
        <v>35.33</v>
      </c>
      <c r="E443" s="159">
        <v>42.4</v>
      </c>
      <c r="F443" s="148">
        <v>60</v>
      </c>
      <c r="G443" s="30">
        <v>45870</v>
      </c>
      <c r="H443" s="30"/>
      <c r="I44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254.38</v>
      </c>
    </row>
    <row r="444" spans="1:9" x14ac:dyDescent="0.3">
      <c r="A444" s="162" t="s">
        <v>260</v>
      </c>
      <c r="B444" s="148" t="s">
        <v>16</v>
      </c>
      <c r="C444" s="148">
        <v>7</v>
      </c>
      <c r="D444" s="123">
        <v>31.81</v>
      </c>
      <c r="E444" s="159">
        <v>38.17</v>
      </c>
      <c r="F444" s="148">
        <v>60</v>
      </c>
      <c r="G444" s="30">
        <v>45870</v>
      </c>
      <c r="H444" s="30"/>
      <c r="I44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267.2</v>
      </c>
    </row>
    <row r="445" spans="1:9" x14ac:dyDescent="0.3">
      <c r="A445" s="162" t="s">
        <v>260</v>
      </c>
      <c r="B445" s="148" t="s">
        <v>16</v>
      </c>
      <c r="C445" s="148">
        <v>8</v>
      </c>
      <c r="D445" s="123">
        <v>28.62</v>
      </c>
      <c r="E445" s="159">
        <v>34.340000000000003</v>
      </c>
      <c r="F445" s="148">
        <v>60</v>
      </c>
      <c r="G445" s="30">
        <v>45870</v>
      </c>
      <c r="H445" s="30"/>
      <c r="I44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274.75</v>
      </c>
    </row>
    <row r="446" spans="1:9" x14ac:dyDescent="0.3">
      <c r="A446" s="162" t="s">
        <v>260</v>
      </c>
      <c r="B446" s="148" t="s">
        <v>16</v>
      </c>
      <c r="C446" s="148">
        <v>9</v>
      </c>
      <c r="D446" s="123">
        <v>25.76</v>
      </c>
      <c r="E446" s="159">
        <v>30.91</v>
      </c>
      <c r="F446" s="148">
        <v>60</v>
      </c>
      <c r="G446" s="30">
        <v>45870</v>
      </c>
      <c r="H446" s="30"/>
      <c r="I44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278.20999999999998</v>
      </c>
    </row>
    <row r="447" spans="1:9" x14ac:dyDescent="0.3">
      <c r="A447" s="162" t="s">
        <v>260</v>
      </c>
      <c r="B447" s="148" t="s">
        <v>16</v>
      </c>
      <c r="C447" s="148">
        <v>10</v>
      </c>
      <c r="D447" s="123">
        <v>23.44</v>
      </c>
      <c r="E447" s="159">
        <v>28.13</v>
      </c>
      <c r="F447" s="148">
        <v>60</v>
      </c>
      <c r="G447" s="30">
        <v>45870</v>
      </c>
      <c r="H447" s="30"/>
      <c r="I44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281.27999999999997</v>
      </c>
    </row>
    <row r="448" spans="1:9" x14ac:dyDescent="0.3">
      <c r="A448" s="157" t="s">
        <v>252</v>
      </c>
      <c r="B448" s="158"/>
      <c r="C448" s="158"/>
      <c r="D448" s="166">
        <v>13.18</v>
      </c>
      <c r="E448" s="167">
        <v>15.82</v>
      </c>
      <c r="F448" s="155">
        <v>60</v>
      </c>
      <c r="G448" s="30">
        <v>45870</v>
      </c>
      <c r="H448" s="156"/>
      <c r="I44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15.82</v>
      </c>
    </row>
    <row r="449" spans="1:9" x14ac:dyDescent="0.3">
      <c r="A449" s="162" t="s">
        <v>261</v>
      </c>
      <c r="B449" s="148" t="s">
        <v>1</v>
      </c>
      <c r="C449" s="148">
        <v>1</v>
      </c>
      <c r="D449" s="123">
        <v>397.02</v>
      </c>
      <c r="E449" s="159">
        <v>476.42</v>
      </c>
      <c r="F449" s="148">
        <v>800</v>
      </c>
      <c r="G449" s="30">
        <v>45870</v>
      </c>
      <c r="H449" s="150"/>
      <c r="I44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476.42</v>
      </c>
    </row>
    <row r="450" spans="1:9" x14ac:dyDescent="0.3">
      <c r="A450" s="162" t="s">
        <v>262</v>
      </c>
      <c r="B450" s="148" t="s">
        <v>1</v>
      </c>
      <c r="C450" s="148">
        <v>1</v>
      </c>
      <c r="D450" s="123">
        <v>504.24</v>
      </c>
      <c r="E450" s="159">
        <v>605.09</v>
      </c>
      <c r="F450" s="148">
        <v>800</v>
      </c>
      <c r="G450" s="30">
        <v>45870</v>
      </c>
      <c r="H450" s="150"/>
      <c r="I45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605.09</v>
      </c>
    </row>
    <row r="451" spans="1:9" x14ac:dyDescent="0.3">
      <c r="A451" s="162" t="s">
        <v>262</v>
      </c>
      <c r="B451" s="148" t="s">
        <v>2</v>
      </c>
      <c r="C451" s="148">
        <v>1</v>
      </c>
      <c r="D451" s="123">
        <v>199.21</v>
      </c>
      <c r="E451" s="159">
        <v>239.05</v>
      </c>
      <c r="F451" s="148">
        <v>400</v>
      </c>
      <c r="G451" s="30">
        <v>45870</v>
      </c>
      <c r="H451" s="150"/>
      <c r="I45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239.05</v>
      </c>
    </row>
    <row r="452" spans="1:9" x14ac:dyDescent="0.3">
      <c r="A452" s="162" t="s">
        <v>262</v>
      </c>
      <c r="B452" s="148" t="s">
        <v>16</v>
      </c>
      <c r="C452" s="148">
        <v>1</v>
      </c>
      <c r="D452" s="123">
        <v>83.8</v>
      </c>
      <c r="E452" s="159">
        <v>100.56</v>
      </c>
      <c r="F452" s="148">
        <v>60</v>
      </c>
      <c r="G452" s="30">
        <v>45870</v>
      </c>
      <c r="H452" s="150"/>
      <c r="I45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100.56</v>
      </c>
    </row>
    <row r="453" spans="1:9" x14ac:dyDescent="0.3">
      <c r="A453" s="162" t="s">
        <v>263</v>
      </c>
      <c r="B453" s="148" t="s">
        <v>1</v>
      </c>
      <c r="C453" s="148">
        <v>1</v>
      </c>
      <c r="D453" s="123">
        <v>923.76</v>
      </c>
      <c r="E453" s="159">
        <v>1108.51</v>
      </c>
      <c r="F453" s="148">
        <v>800</v>
      </c>
      <c r="G453" s="30">
        <v>45870</v>
      </c>
      <c r="H453" s="150"/>
      <c r="I45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1108.51</v>
      </c>
    </row>
    <row r="454" spans="1:9" x14ac:dyDescent="0.3">
      <c r="A454" s="162" t="s">
        <v>263</v>
      </c>
      <c r="B454" s="148" t="s">
        <v>2</v>
      </c>
      <c r="C454" s="148">
        <v>1</v>
      </c>
      <c r="D454" s="123">
        <v>356.13</v>
      </c>
      <c r="E454" s="159">
        <v>427.36</v>
      </c>
      <c r="F454" s="148">
        <v>400</v>
      </c>
      <c r="G454" s="30">
        <v>45870</v>
      </c>
      <c r="H454" s="150"/>
      <c r="I45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427.36</v>
      </c>
    </row>
    <row r="455" spans="1:9" x14ac:dyDescent="0.3">
      <c r="A455" s="162" t="s">
        <v>263</v>
      </c>
      <c r="B455" s="148" t="s">
        <v>16</v>
      </c>
      <c r="C455" s="148">
        <v>1</v>
      </c>
      <c r="D455" s="123">
        <v>149.66999999999999</v>
      </c>
      <c r="E455" s="159">
        <v>179.6</v>
      </c>
      <c r="F455" s="148">
        <v>60</v>
      </c>
      <c r="G455" s="30">
        <v>45870</v>
      </c>
      <c r="H455" s="150"/>
      <c r="I45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179.6</v>
      </c>
    </row>
    <row r="456" spans="1:9" x14ac:dyDescent="0.3">
      <c r="A456" s="162" t="s">
        <v>264</v>
      </c>
      <c r="B456" s="148" t="s">
        <v>1</v>
      </c>
      <c r="C456" s="148">
        <v>1</v>
      </c>
      <c r="D456" s="123">
        <v>1873.09</v>
      </c>
      <c r="E456" s="159">
        <v>2247.71</v>
      </c>
      <c r="F456" s="148">
        <v>800</v>
      </c>
      <c r="G456" s="30">
        <v>45870</v>
      </c>
      <c r="H456" s="150"/>
      <c r="I45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2247.71</v>
      </c>
    </row>
    <row r="457" spans="1:9" x14ac:dyDescent="0.3">
      <c r="A457" s="162" t="s">
        <v>264</v>
      </c>
      <c r="B457" s="148" t="s">
        <v>2</v>
      </c>
      <c r="C457" s="148">
        <v>1</v>
      </c>
      <c r="D457" s="123">
        <v>729.17</v>
      </c>
      <c r="E457" s="159">
        <v>875</v>
      </c>
      <c r="F457" s="148">
        <v>400</v>
      </c>
      <c r="G457" s="30">
        <v>45870</v>
      </c>
      <c r="H457" s="150"/>
      <c r="I45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875</v>
      </c>
    </row>
    <row r="458" spans="1:9" x14ac:dyDescent="0.3">
      <c r="A458" s="162" t="s">
        <v>264</v>
      </c>
      <c r="B458" s="148" t="s">
        <v>16</v>
      </c>
      <c r="C458" s="148">
        <v>1</v>
      </c>
      <c r="D458" s="123">
        <v>317.54000000000002</v>
      </c>
      <c r="E458" s="159">
        <v>381.05</v>
      </c>
      <c r="F458" s="148">
        <v>60</v>
      </c>
      <c r="G458" s="30">
        <v>45870</v>
      </c>
      <c r="H458" s="150"/>
      <c r="I45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381.05</v>
      </c>
    </row>
    <row r="459" spans="1:9" x14ac:dyDescent="0.3">
      <c r="A459" s="157" t="s">
        <v>253</v>
      </c>
      <c r="B459" s="158"/>
      <c r="C459" s="158"/>
      <c r="D459" s="166">
        <v>12.79</v>
      </c>
      <c r="E459" s="167">
        <v>15.35</v>
      </c>
      <c r="F459" s="45">
        <v>60</v>
      </c>
      <c r="G459" s="30">
        <v>45870</v>
      </c>
      <c r="H459" s="30"/>
      <c r="I45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15.35</v>
      </c>
    </row>
    <row r="460" spans="1:9" x14ac:dyDescent="0.3">
      <c r="A460" s="44" t="s">
        <v>314</v>
      </c>
      <c r="B460" s="45" t="s">
        <v>1</v>
      </c>
      <c r="C460" s="45">
        <v>1</v>
      </c>
      <c r="D460" s="123">
        <v>197.11</v>
      </c>
      <c r="E460" s="159">
        <v>236.53</v>
      </c>
      <c r="F460" s="45">
        <v>600</v>
      </c>
      <c r="G460" s="30">
        <v>45870</v>
      </c>
      <c r="H460" s="30"/>
      <c r="I46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236.53</v>
      </c>
    </row>
    <row r="461" spans="1:9" x14ac:dyDescent="0.3">
      <c r="A461" s="44" t="s">
        <v>314</v>
      </c>
      <c r="B461" s="45" t="s">
        <v>74</v>
      </c>
      <c r="C461" s="45">
        <v>1</v>
      </c>
      <c r="D461" s="123">
        <v>90.65</v>
      </c>
      <c r="E461" s="159">
        <v>108.78</v>
      </c>
      <c r="F461" s="45" t="s">
        <v>78</v>
      </c>
      <c r="G461" s="30">
        <v>45870</v>
      </c>
      <c r="H461" s="30"/>
      <c r="I46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108.78</v>
      </c>
    </row>
    <row r="462" spans="1:9" x14ac:dyDescent="0.3">
      <c r="A462" s="44" t="s">
        <v>314</v>
      </c>
      <c r="B462" s="45" t="s">
        <v>2</v>
      </c>
      <c r="C462" s="45">
        <v>1</v>
      </c>
      <c r="D462" s="123">
        <v>77.959999999999994</v>
      </c>
      <c r="E462" s="159">
        <v>93.55</v>
      </c>
      <c r="F462" s="45">
        <v>300</v>
      </c>
      <c r="G462" s="30">
        <v>45870</v>
      </c>
      <c r="H462" s="30"/>
      <c r="I46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93.55</v>
      </c>
    </row>
    <row r="463" spans="1:9" x14ac:dyDescent="0.3">
      <c r="A463" s="44" t="s">
        <v>314</v>
      </c>
      <c r="B463" s="45" t="s">
        <v>3</v>
      </c>
      <c r="C463" s="45">
        <v>1</v>
      </c>
      <c r="D463" s="123">
        <v>34.28</v>
      </c>
      <c r="E463" s="159">
        <v>41.14</v>
      </c>
      <c r="F463" s="45">
        <v>60</v>
      </c>
      <c r="G463" s="30">
        <v>45870</v>
      </c>
      <c r="H463" s="30"/>
      <c r="I46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41.14</v>
      </c>
    </row>
    <row r="464" spans="1:9" x14ac:dyDescent="0.3">
      <c r="A464" s="44" t="s">
        <v>315</v>
      </c>
      <c r="B464" s="45" t="s">
        <v>1</v>
      </c>
      <c r="C464" s="45">
        <v>1</v>
      </c>
      <c r="D464" s="123">
        <v>397.02</v>
      </c>
      <c r="E464" s="159">
        <v>476.42</v>
      </c>
      <c r="F464" s="45">
        <v>800</v>
      </c>
      <c r="G464" s="30">
        <v>45870</v>
      </c>
      <c r="H464" s="30"/>
      <c r="I46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476.42</v>
      </c>
    </row>
    <row r="465" spans="1:9" x14ac:dyDescent="0.3">
      <c r="A465" s="44" t="s">
        <v>315</v>
      </c>
      <c r="B465" s="45" t="s">
        <v>74</v>
      </c>
      <c r="C465" s="45">
        <v>1</v>
      </c>
      <c r="D465" s="123">
        <v>197.07</v>
      </c>
      <c r="E465" s="159">
        <v>236.48</v>
      </c>
      <c r="F465" s="45" t="s">
        <v>79</v>
      </c>
      <c r="G465" s="30">
        <v>45870</v>
      </c>
      <c r="H465" s="30"/>
      <c r="I46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236.48</v>
      </c>
    </row>
    <row r="466" spans="1:9" x14ac:dyDescent="0.3">
      <c r="A466" s="44" t="s">
        <v>315</v>
      </c>
      <c r="B466" s="45" t="s">
        <v>2</v>
      </c>
      <c r="C466" s="45">
        <v>1</v>
      </c>
      <c r="D466" s="123">
        <v>169.75</v>
      </c>
      <c r="E466" s="159">
        <v>203.7</v>
      </c>
      <c r="F466" s="45">
        <v>400</v>
      </c>
      <c r="G466" s="30">
        <v>45870</v>
      </c>
      <c r="H466" s="30"/>
      <c r="I46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203.7</v>
      </c>
    </row>
    <row r="467" spans="1:9" x14ac:dyDescent="0.3">
      <c r="A467" s="44" t="s">
        <v>315</v>
      </c>
      <c r="B467" s="45" t="s">
        <v>3</v>
      </c>
      <c r="C467" s="45">
        <v>1</v>
      </c>
      <c r="D467" s="123">
        <v>70.83</v>
      </c>
      <c r="E467" s="159">
        <v>85</v>
      </c>
      <c r="F467" s="45">
        <v>60</v>
      </c>
      <c r="G467" s="30">
        <v>45870</v>
      </c>
      <c r="H467" s="30"/>
      <c r="I46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</v>
      </c>
    </row>
    <row r="468" spans="1:9" x14ac:dyDescent="0.3">
      <c r="A468" s="157" t="s">
        <v>316</v>
      </c>
      <c r="B468" s="158"/>
      <c r="C468" s="158"/>
      <c r="D468" s="166">
        <v>12.79</v>
      </c>
      <c r="E468" s="167">
        <v>15.35</v>
      </c>
      <c r="F468" s="45">
        <v>60</v>
      </c>
      <c r="G468" s="30">
        <v>45870</v>
      </c>
      <c r="H468" s="30"/>
      <c r="I46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15.35</v>
      </c>
    </row>
    <row r="469" spans="1:9" x14ac:dyDescent="0.3">
      <c r="A469" s="261" t="s">
        <v>312</v>
      </c>
      <c r="B469" s="45" t="s">
        <v>1</v>
      </c>
      <c r="C469" s="45">
        <v>1</v>
      </c>
      <c r="D469" s="276">
        <v>197.11</v>
      </c>
      <c r="E469" s="277">
        <v>236.53</v>
      </c>
      <c r="F469" s="155">
        <v>600</v>
      </c>
      <c r="G469" s="30">
        <v>45870</v>
      </c>
      <c r="H469" s="156"/>
      <c r="I46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236.53</v>
      </c>
    </row>
    <row r="470" spans="1:9" x14ac:dyDescent="0.3">
      <c r="A470" s="261" t="s">
        <v>312</v>
      </c>
      <c r="B470" s="45" t="s">
        <v>74</v>
      </c>
      <c r="C470" s="45">
        <v>1</v>
      </c>
      <c r="D470" s="276">
        <v>90.65</v>
      </c>
      <c r="E470" s="277">
        <v>108.78</v>
      </c>
      <c r="F470" s="155" t="s">
        <v>78</v>
      </c>
      <c r="G470" s="30">
        <v>45870</v>
      </c>
      <c r="H470" s="156"/>
      <c r="I47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108.78</v>
      </c>
    </row>
    <row r="471" spans="1:9" x14ac:dyDescent="0.3">
      <c r="A471" s="261" t="s">
        <v>312</v>
      </c>
      <c r="B471" s="45" t="s">
        <v>2</v>
      </c>
      <c r="C471" s="45">
        <v>1</v>
      </c>
      <c r="D471" s="276">
        <v>77.959999999999994</v>
      </c>
      <c r="E471" s="277">
        <v>93.55</v>
      </c>
      <c r="F471" s="155">
        <v>300</v>
      </c>
      <c r="G471" s="30">
        <v>45870</v>
      </c>
      <c r="H471" s="156"/>
      <c r="I47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93.55</v>
      </c>
    </row>
    <row r="472" spans="1:9" x14ac:dyDescent="0.3">
      <c r="A472" s="261" t="s">
        <v>312</v>
      </c>
      <c r="B472" s="45" t="s">
        <v>3</v>
      </c>
      <c r="C472" s="45">
        <v>1</v>
      </c>
      <c r="D472" s="276">
        <v>34.28</v>
      </c>
      <c r="E472" s="277">
        <v>41.14</v>
      </c>
      <c r="F472" s="155">
        <v>60</v>
      </c>
      <c r="G472" s="30">
        <v>45870</v>
      </c>
      <c r="H472" s="156"/>
      <c r="I47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41.14</v>
      </c>
    </row>
    <row r="473" spans="1:9" x14ac:dyDescent="0.3">
      <c r="A473" s="261" t="s">
        <v>313</v>
      </c>
      <c r="B473" s="45" t="s">
        <v>1</v>
      </c>
      <c r="C473" s="45">
        <v>1</v>
      </c>
      <c r="D473" s="276">
        <v>397.02</v>
      </c>
      <c r="E473" s="277">
        <v>476.42</v>
      </c>
      <c r="F473" s="155">
        <v>800</v>
      </c>
      <c r="G473" s="30">
        <v>45870</v>
      </c>
      <c r="H473" s="156"/>
      <c r="I47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476.42</v>
      </c>
    </row>
    <row r="474" spans="1:9" x14ac:dyDescent="0.3">
      <c r="A474" s="261" t="s">
        <v>313</v>
      </c>
      <c r="B474" s="45" t="s">
        <v>74</v>
      </c>
      <c r="C474" s="45">
        <v>1</v>
      </c>
      <c r="D474" s="276">
        <v>197.07</v>
      </c>
      <c r="E474" s="277">
        <v>236.48</v>
      </c>
      <c r="F474" s="155" t="s">
        <v>79</v>
      </c>
      <c r="G474" s="30">
        <v>45870</v>
      </c>
      <c r="H474" s="156"/>
      <c r="I47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236.48</v>
      </c>
    </row>
    <row r="475" spans="1:9" x14ac:dyDescent="0.3">
      <c r="A475" s="261" t="s">
        <v>313</v>
      </c>
      <c r="B475" s="45" t="s">
        <v>2</v>
      </c>
      <c r="C475" s="45">
        <v>1</v>
      </c>
      <c r="D475" s="276">
        <v>169.75</v>
      </c>
      <c r="E475" s="277">
        <v>203.7</v>
      </c>
      <c r="F475" s="155">
        <v>400</v>
      </c>
      <c r="G475" s="30">
        <v>45870</v>
      </c>
      <c r="H475" s="156"/>
      <c r="I47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203.7</v>
      </c>
    </row>
    <row r="476" spans="1:9" x14ac:dyDescent="0.3">
      <c r="A476" s="270" t="s">
        <v>313</v>
      </c>
      <c r="B476" s="271" t="s">
        <v>3</v>
      </c>
      <c r="C476" s="271">
        <v>1</v>
      </c>
      <c r="D476" s="278">
        <v>70.83</v>
      </c>
      <c r="E476" s="279">
        <v>85</v>
      </c>
      <c r="F476" s="272">
        <v>60</v>
      </c>
      <c r="G476" s="30">
        <v>45870</v>
      </c>
      <c r="H476" s="273"/>
      <c r="I47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</v>
      </c>
    </row>
    <row r="477" spans="1:9" ht="13.95" customHeight="1" thickBot="1" x14ac:dyDescent="0.35">
      <c r="A477" s="275" t="s">
        <v>318</v>
      </c>
      <c r="B477" s="263"/>
      <c r="C477" s="263"/>
      <c r="D477" s="264">
        <v>12.79</v>
      </c>
      <c r="E477" s="265">
        <v>15.35</v>
      </c>
      <c r="F477" s="266">
        <v>60</v>
      </c>
      <c r="G477" s="267">
        <v>45870</v>
      </c>
      <c r="H477" s="268"/>
      <c r="I477" s="26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15.35</v>
      </c>
    </row>
    <row r="478" spans="1:9" x14ac:dyDescent="0.3">
      <c r="A478" s="44" t="s">
        <v>10</v>
      </c>
      <c r="B478" s="45" t="s">
        <v>1</v>
      </c>
      <c r="C478" s="45">
        <v>1</v>
      </c>
      <c r="D478" s="148">
        <v>202.5</v>
      </c>
      <c r="E478" s="149">
        <v>243</v>
      </c>
      <c r="F478" s="45">
        <v>800</v>
      </c>
      <c r="G478" s="150">
        <v>45901</v>
      </c>
      <c r="H478" s="30"/>
      <c r="I47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243</v>
      </c>
    </row>
    <row r="479" spans="1:9" ht="13.95" customHeight="1" x14ac:dyDescent="0.3">
      <c r="A479" s="44" t="s">
        <v>10</v>
      </c>
      <c r="B479" s="45" t="s">
        <v>1</v>
      </c>
      <c r="C479" s="45">
        <v>2</v>
      </c>
      <c r="D479" s="148">
        <v>168.84</v>
      </c>
      <c r="E479" s="149">
        <v>202.61</v>
      </c>
      <c r="F479" s="45">
        <v>800</v>
      </c>
      <c r="G479" s="150">
        <v>45901</v>
      </c>
      <c r="H479" s="30"/>
      <c r="I47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405.22</v>
      </c>
    </row>
    <row r="480" spans="1:9" x14ac:dyDescent="0.3">
      <c r="A480" s="44" t="s">
        <v>10</v>
      </c>
      <c r="B480" s="45" t="s">
        <v>1</v>
      </c>
      <c r="C480" s="45">
        <v>3</v>
      </c>
      <c r="D480" s="148">
        <v>132.02000000000001</v>
      </c>
      <c r="E480" s="149">
        <v>158.41999999999999</v>
      </c>
      <c r="F480" s="45">
        <v>800</v>
      </c>
      <c r="G480" s="150">
        <v>45901</v>
      </c>
      <c r="H480" s="30"/>
      <c r="I48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475.27</v>
      </c>
    </row>
    <row r="481" spans="1:9" x14ac:dyDescent="0.3">
      <c r="A481" s="44" t="s">
        <v>10</v>
      </c>
      <c r="B481" s="45" t="s">
        <v>1</v>
      </c>
      <c r="C481" s="45">
        <v>4</v>
      </c>
      <c r="D481" s="148">
        <v>114.65</v>
      </c>
      <c r="E481" s="149">
        <v>137.58000000000001</v>
      </c>
      <c r="F481" s="45">
        <v>800</v>
      </c>
      <c r="G481" s="150">
        <v>45901</v>
      </c>
      <c r="H481" s="30"/>
      <c r="I48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550.32000000000005</v>
      </c>
    </row>
    <row r="482" spans="1:9" x14ac:dyDescent="0.3">
      <c r="A482" s="44" t="s">
        <v>10</v>
      </c>
      <c r="B482" s="45" t="s">
        <v>1</v>
      </c>
      <c r="C482" s="45">
        <v>5</v>
      </c>
      <c r="D482" s="148">
        <v>99.2</v>
      </c>
      <c r="E482" s="149">
        <v>119.04</v>
      </c>
      <c r="F482" s="45">
        <v>800</v>
      </c>
      <c r="G482" s="150">
        <v>45901</v>
      </c>
      <c r="H482" s="30"/>
      <c r="I48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595.20000000000005</v>
      </c>
    </row>
    <row r="483" spans="1:9" x14ac:dyDescent="0.3">
      <c r="A483" s="44" t="s">
        <v>10</v>
      </c>
      <c r="B483" s="45" t="s">
        <v>2</v>
      </c>
      <c r="C483" s="45">
        <v>1</v>
      </c>
      <c r="D483" s="148">
        <v>120.03</v>
      </c>
      <c r="E483" s="149">
        <v>144.04</v>
      </c>
      <c r="F483" s="45">
        <v>400</v>
      </c>
      <c r="G483" s="150">
        <v>45901</v>
      </c>
      <c r="H483" s="30"/>
      <c r="I48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144.04</v>
      </c>
    </row>
    <row r="484" spans="1:9" x14ac:dyDescent="0.3">
      <c r="A484" s="44" t="s">
        <v>10</v>
      </c>
      <c r="B484" s="45" t="s">
        <v>2</v>
      </c>
      <c r="C484" s="45">
        <v>2</v>
      </c>
      <c r="D484" s="148">
        <v>99.91</v>
      </c>
      <c r="E484" s="149">
        <v>119.89</v>
      </c>
      <c r="F484" s="45">
        <v>400</v>
      </c>
      <c r="G484" s="150">
        <v>45901</v>
      </c>
      <c r="H484" s="30"/>
      <c r="I48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239.78</v>
      </c>
    </row>
    <row r="485" spans="1:9" x14ac:dyDescent="0.3">
      <c r="A485" s="44" t="s">
        <v>10</v>
      </c>
      <c r="B485" s="45" t="s">
        <v>2</v>
      </c>
      <c r="C485" s="45">
        <v>3</v>
      </c>
      <c r="D485" s="148">
        <v>77.900000000000006</v>
      </c>
      <c r="E485" s="149">
        <v>93.48</v>
      </c>
      <c r="F485" s="45">
        <v>400</v>
      </c>
      <c r="G485" s="150">
        <v>45901</v>
      </c>
      <c r="H485" s="30"/>
      <c r="I48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280.44</v>
      </c>
    </row>
    <row r="486" spans="1:9" x14ac:dyDescent="0.3">
      <c r="A486" s="44" t="s">
        <v>10</v>
      </c>
      <c r="B486" s="45" t="s">
        <v>2</v>
      </c>
      <c r="C486" s="45">
        <v>4</v>
      </c>
      <c r="D486" s="148">
        <v>67.5</v>
      </c>
      <c r="E486" s="149">
        <v>81</v>
      </c>
      <c r="F486" s="45">
        <v>400</v>
      </c>
      <c r="G486" s="150">
        <v>45901</v>
      </c>
      <c r="H486" s="30"/>
      <c r="I48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324</v>
      </c>
    </row>
    <row r="487" spans="1:9" x14ac:dyDescent="0.3">
      <c r="A487" s="44" t="s">
        <v>10</v>
      </c>
      <c r="B487" s="45" t="s">
        <v>2</v>
      </c>
      <c r="C487" s="45">
        <v>5</v>
      </c>
      <c r="D487" s="148">
        <v>58.26</v>
      </c>
      <c r="E487" s="149">
        <v>69.91</v>
      </c>
      <c r="F487" s="45">
        <v>400</v>
      </c>
      <c r="G487" s="150">
        <v>45901</v>
      </c>
      <c r="H487" s="30"/>
      <c r="I48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349.56</v>
      </c>
    </row>
    <row r="488" spans="1:9" x14ac:dyDescent="0.3">
      <c r="A488" s="44" t="s">
        <v>10</v>
      </c>
      <c r="B488" s="45" t="s">
        <v>3</v>
      </c>
      <c r="C488" s="45">
        <v>1</v>
      </c>
      <c r="D488" s="148">
        <v>31.28</v>
      </c>
      <c r="E488" s="149">
        <v>37.54</v>
      </c>
      <c r="F488" s="45">
        <v>60</v>
      </c>
      <c r="G488" s="150">
        <v>45901</v>
      </c>
      <c r="H488" s="30"/>
      <c r="I48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37.54</v>
      </c>
    </row>
    <row r="489" spans="1:9" x14ac:dyDescent="0.3">
      <c r="A489" s="44" t="s">
        <v>10</v>
      </c>
      <c r="B489" s="45" t="s">
        <v>3</v>
      </c>
      <c r="C489" s="163">
        <v>2</v>
      </c>
      <c r="D489" s="163">
        <v>28.75</v>
      </c>
      <c r="E489" s="171">
        <v>34.5</v>
      </c>
      <c r="F489" s="45">
        <v>60</v>
      </c>
      <c r="G489" s="150">
        <v>45901</v>
      </c>
      <c r="H489" s="30"/>
      <c r="I48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69</v>
      </c>
    </row>
    <row r="490" spans="1:9" x14ac:dyDescent="0.3">
      <c r="A490" s="44" t="s">
        <v>10</v>
      </c>
      <c r="B490" s="45" t="s">
        <v>3</v>
      </c>
      <c r="C490" s="163">
        <v>3</v>
      </c>
      <c r="D490" s="163">
        <v>28.56</v>
      </c>
      <c r="E490" s="171">
        <v>34.270000000000003</v>
      </c>
      <c r="F490" s="45">
        <v>60</v>
      </c>
      <c r="G490" s="150">
        <v>45901</v>
      </c>
      <c r="H490" s="30"/>
      <c r="I49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102.82</v>
      </c>
    </row>
    <row r="491" spans="1:9" x14ac:dyDescent="0.3">
      <c r="A491" s="44" t="s">
        <v>4</v>
      </c>
      <c r="B491" s="45" t="s">
        <v>1</v>
      </c>
      <c r="C491" s="45">
        <v>1</v>
      </c>
      <c r="D491" s="148">
        <v>250.04</v>
      </c>
      <c r="E491" s="149">
        <v>300.05</v>
      </c>
      <c r="F491" s="45">
        <v>800</v>
      </c>
      <c r="G491" s="150">
        <v>45901</v>
      </c>
      <c r="H491" s="30"/>
      <c r="I49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300.05</v>
      </c>
    </row>
    <row r="492" spans="1:9" x14ac:dyDescent="0.3">
      <c r="A492" s="44" t="s">
        <v>4</v>
      </c>
      <c r="B492" s="45" t="s">
        <v>1</v>
      </c>
      <c r="C492" s="45">
        <v>2</v>
      </c>
      <c r="D492" s="148">
        <v>208.54</v>
      </c>
      <c r="E492" s="149">
        <v>250.25</v>
      </c>
      <c r="F492" s="45">
        <v>800</v>
      </c>
      <c r="G492" s="150">
        <v>45901</v>
      </c>
      <c r="H492" s="30"/>
      <c r="I49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500.5</v>
      </c>
    </row>
    <row r="493" spans="1:9" x14ac:dyDescent="0.3">
      <c r="A493" s="44" t="s">
        <v>4</v>
      </c>
      <c r="B493" s="45" t="s">
        <v>1</v>
      </c>
      <c r="C493" s="45">
        <v>3</v>
      </c>
      <c r="D493" s="148">
        <v>163.03</v>
      </c>
      <c r="E493" s="149">
        <v>195.64</v>
      </c>
      <c r="F493" s="45">
        <v>800</v>
      </c>
      <c r="G493" s="150">
        <v>45901</v>
      </c>
      <c r="H493" s="30"/>
      <c r="I49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586.91</v>
      </c>
    </row>
    <row r="494" spans="1:9" x14ac:dyDescent="0.3">
      <c r="A494" s="44" t="s">
        <v>4</v>
      </c>
      <c r="B494" s="45" t="s">
        <v>1</v>
      </c>
      <c r="C494" s="45">
        <v>4</v>
      </c>
      <c r="D494" s="148">
        <v>141.55000000000001</v>
      </c>
      <c r="E494" s="149">
        <v>169.86</v>
      </c>
      <c r="F494" s="45">
        <v>800</v>
      </c>
      <c r="G494" s="150">
        <v>45901</v>
      </c>
      <c r="H494" s="30"/>
      <c r="I49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679.44</v>
      </c>
    </row>
    <row r="495" spans="1:9" x14ac:dyDescent="0.3">
      <c r="A495" s="44" t="s">
        <v>4</v>
      </c>
      <c r="B495" s="45" t="s">
        <v>1</v>
      </c>
      <c r="C495" s="45">
        <v>5</v>
      </c>
      <c r="D495" s="148">
        <v>122.45</v>
      </c>
      <c r="E495" s="149">
        <v>146.94</v>
      </c>
      <c r="F495" s="45">
        <v>800</v>
      </c>
      <c r="G495" s="150">
        <v>45901</v>
      </c>
      <c r="H495" s="30"/>
      <c r="I49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734.7</v>
      </c>
    </row>
    <row r="496" spans="1:9" x14ac:dyDescent="0.3">
      <c r="A496" s="44" t="s">
        <v>4</v>
      </c>
      <c r="B496" s="45" t="s">
        <v>1</v>
      </c>
      <c r="C496" s="163">
        <v>6</v>
      </c>
      <c r="D496" s="163">
        <v>121.75</v>
      </c>
      <c r="E496" s="171">
        <v>146.1</v>
      </c>
      <c r="F496" s="45">
        <v>800</v>
      </c>
      <c r="G496" s="150">
        <v>45901</v>
      </c>
      <c r="H496" s="30"/>
      <c r="I49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876.6</v>
      </c>
    </row>
    <row r="497" spans="1:9" x14ac:dyDescent="0.3">
      <c r="A497" s="44" t="s">
        <v>4</v>
      </c>
      <c r="B497" s="45" t="s">
        <v>1</v>
      </c>
      <c r="C497" s="163">
        <v>7</v>
      </c>
      <c r="D497" s="163">
        <v>118.72</v>
      </c>
      <c r="E497" s="171">
        <v>142.46</v>
      </c>
      <c r="F497" s="45">
        <v>800</v>
      </c>
      <c r="G497" s="150">
        <v>45901</v>
      </c>
      <c r="H497" s="30"/>
      <c r="I49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997.25</v>
      </c>
    </row>
    <row r="498" spans="1:9" x14ac:dyDescent="0.3">
      <c r="A498" s="44" t="s">
        <v>4</v>
      </c>
      <c r="B498" s="45" t="s">
        <v>1</v>
      </c>
      <c r="C498" s="163">
        <v>8</v>
      </c>
      <c r="D498" s="163">
        <v>115.73</v>
      </c>
      <c r="E498" s="171">
        <v>138.88</v>
      </c>
      <c r="F498" s="45">
        <v>800</v>
      </c>
      <c r="G498" s="150">
        <v>45901</v>
      </c>
      <c r="H498" s="30"/>
      <c r="I49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1111.01</v>
      </c>
    </row>
    <row r="499" spans="1:9" x14ac:dyDescent="0.3">
      <c r="A499" s="44" t="s">
        <v>4</v>
      </c>
      <c r="B499" s="45" t="s">
        <v>1</v>
      </c>
      <c r="C499" s="163">
        <v>9</v>
      </c>
      <c r="D499" s="163">
        <v>112.84</v>
      </c>
      <c r="E499" s="171">
        <v>135.41</v>
      </c>
      <c r="F499" s="45">
        <v>800</v>
      </c>
      <c r="G499" s="150">
        <v>45901</v>
      </c>
      <c r="H499" s="30"/>
      <c r="I49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1218.67</v>
      </c>
    </row>
    <row r="500" spans="1:9" x14ac:dyDescent="0.3">
      <c r="A500" s="44" t="s">
        <v>4</v>
      </c>
      <c r="B500" s="45" t="s">
        <v>1</v>
      </c>
      <c r="C500" s="163">
        <v>10</v>
      </c>
      <c r="D500" s="163">
        <v>110.02</v>
      </c>
      <c r="E500" s="171">
        <v>132.02000000000001</v>
      </c>
      <c r="F500" s="45">
        <v>800</v>
      </c>
      <c r="G500" s="150">
        <v>45901</v>
      </c>
      <c r="H500" s="30"/>
      <c r="I50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1320.24</v>
      </c>
    </row>
    <row r="501" spans="1:9" x14ac:dyDescent="0.3">
      <c r="A501" s="44" t="s">
        <v>4</v>
      </c>
      <c r="B501" s="45" t="s">
        <v>2</v>
      </c>
      <c r="C501" s="45">
        <v>1</v>
      </c>
      <c r="D501" s="148">
        <v>137.86000000000001</v>
      </c>
      <c r="E501" s="149">
        <v>165.43</v>
      </c>
      <c r="F501" s="45">
        <v>400</v>
      </c>
      <c r="G501" s="150">
        <v>45901</v>
      </c>
      <c r="H501" s="30"/>
      <c r="I50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165.43</v>
      </c>
    </row>
    <row r="502" spans="1:9" x14ac:dyDescent="0.3">
      <c r="A502" s="44" t="s">
        <v>4</v>
      </c>
      <c r="B502" s="45" t="s">
        <v>2</v>
      </c>
      <c r="C502" s="45">
        <v>2</v>
      </c>
      <c r="D502" s="148">
        <v>114.66</v>
      </c>
      <c r="E502" s="149">
        <v>137.59</v>
      </c>
      <c r="F502" s="45">
        <v>400</v>
      </c>
      <c r="G502" s="150">
        <v>45901</v>
      </c>
      <c r="H502" s="30"/>
      <c r="I50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275.18</v>
      </c>
    </row>
    <row r="503" spans="1:9" x14ac:dyDescent="0.3">
      <c r="A503" s="44" t="s">
        <v>4</v>
      </c>
      <c r="B503" s="45" t="s">
        <v>2</v>
      </c>
      <c r="C503" s="45">
        <v>3</v>
      </c>
      <c r="D503" s="148">
        <v>89.42</v>
      </c>
      <c r="E503" s="149">
        <v>107.3</v>
      </c>
      <c r="F503" s="45">
        <v>400</v>
      </c>
      <c r="G503" s="150">
        <v>45901</v>
      </c>
      <c r="H503" s="30"/>
      <c r="I50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321.91000000000003</v>
      </c>
    </row>
    <row r="504" spans="1:9" x14ac:dyDescent="0.3">
      <c r="A504" s="44" t="s">
        <v>4</v>
      </c>
      <c r="B504" s="45" t="s">
        <v>2</v>
      </c>
      <c r="C504" s="45">
        <v>4</v>
      </c>
      <c r="D504" s="148">
        <v>77.45</v>
      </c>
      <c r="E504" s="149">
        <v>92.94</v>
      </c>
      <c r="F504" s="45">
        <v>400</v>
      </c>
      <c r="G504" s="150">
        <v>45901</v>
      </c>
      <c r="H504" s="30"/>
      <c r="I50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371.76</v>
      </c>
    </row>
    <row r="505" spans="1:9" x14ac:dyDescent="0.3">
      <c r="A505" s="44" t="s">
        <v>4</v>
      </c>
      <c r="B505" s="45" t="s">
        <v>2</v>
      </c>
      <c r="C505" s="45">
        <v>5</v>
      </c>
      <c r="D505" s="148">
        <v>66.819999999999993</v>
      </c>
      <c r="E505" s="149">
        <v>80.180000000000007</v>
      </c>
      <c r="F505" s="45">
        <v>400</v>
      </c>
      <c r="G505" s="150">
        <v>45901</v>
      </c>
      <c r="H505" s="30"/>
      <c r="I50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400.92</v>
      </c>
    </row>
    <row r="506" spans="1:9" x14ac:dyDescent="0.3">
      <c r="A506" s="44" t="s">
        <v>4</v>
      </c>
      <c r="B506" s="45" t="s">
        <v>2</v>
      </c>
      <c r="C506" s="163">
        <v>6</v>
      </c>
      <c r="D506" s="163">
        <v>66.45</v>
      </c>
      <c r="E506" s="171">
        <v>79.739999999999995</v>
      </c>
      <c r="F506" s="45">
        <v>400</v>
      </c>
      <c r="G506" s="150">
        <v>45901</v>
      </c>
      <c r="H506" s="30"/>
      <c r="I50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478.44</v>
      </c>
    </row>
    <row r="507" spans="1:9" x14ac:dyDescent="0.3">
      <c r="A507" s="44" t="s">
        <v>4</v>
      </c>
      <c r="B507" s="45" t="s">
        <v>2</v>
      </c>
      <c r="C507" s="163">
        <v>7</v>
      </c>
      <c r="D507" s="163">
        <v>64.790000000000006</v>
      </c>
      <c r="E507" s="171">
        <v>77.75</v>
      </c>
      <c r="F507" s="45">
        <v>400</v>
      </c>
      <c r="G507" s="150">
        <v>45901</v>
      </c>
      <c r="H507" s="30"/>
      <c r="I50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544.24</v>
      </c>
    </row>
    <row r="508" spans="1:9" x14ac:dyDescent="0.3">
      <c r="A508" s="44" t="s">
        <v>4</v>
      </c>
      <c r="B508" s="45" t="s">
        <v>2</v>
      </c>
      <c r="C508" s="163">
        <v>8</v>
      </c>
      <c r="D508" s="163">
        <v>63.18</v>
      </c>
      <c r="E508" s="171">
        <v>75.819999999999993</v>
      </c>
      <c r="F508" s="45">
        <v>400</v>
      </c>
      <c r="G508" s="150">
        <v>45901</v>
      </c>
      <c r="H508" s="30"/>
      <c r="I50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606.53</v>
      </c>
    </row>
    <row r="509" spans="1:9" x14ac:dyDescent="0.3">
      <c r="A509" s="44" t="s">
        <v>4</v>
      </c>
      <c r="B509" s="45" t="s">
        <v>2</v>
      </c>
      <c r="C509" s="163">
        <v>9</v>
      </c>
      <c r="D509" s="163">
        <v>61.59</v>
      </c>
      <c r="E509" s="171">
        <v>73.91</v>
      </c>
      <c r="F509" s="45">
        <v>400</v>
      </c>
      <c r="G509" s="150">
        <v>45901</v>
      </c>
      <c r="H509" s="30"/>
      <c r="I50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665.17</v>
      </c>
    </row>
    <row r="510" spans="1:9" x14ac:dyDescent="0.3">
      <c r="A510" s="44" t="s">
        <v>4</v>
      </c>
      <c r="B510" s="45" t="s">
        <v>2</v>
      </c>
      <c r="C510" s="163">
        <v>10</v>
      </c>
      <c r="D510" s="163">
        <v>60.07</v>
      </c>
      <c r="E510" s="171">
        <v>72.08</v>
      </c>
      <c r="F510" s="45">
        <v>400</v>
      </c>
      <c r="G510" s="150">
        <v>45901</v>
      </c>
      <c r="H510" s="30"/>
      <c r="I51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720.84</v>
      </c>
    </row>
    <row r="511" spans="1:9" x14ac:dyDescent="0.3">
      <c r="A511" s="44" t="s">
        <v>4</v>
      </c>
      <c r="B511" s="45" t="s">
        <v>16</v>
      </c>
      <c r="C511" s="45">
        <v>1</v>
      </c>
      <c r="D511" s="148">
        <v>36.159999999999997</v>
      </c>
      <c r="E511" s="149">
        <v>43.39</v>
      </c>
      <c r="F511" s="45">
        <v>60</v>
      </c>
      <c r="G511" s="150">
        <v>45901</v>
      </c>
      <c r="H511" s="30"/>
      <c r="I51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43.39</v>
      </c>
    </row>
    <row r="512" spans="1:9" x14ac:dyDescent="0.3">
      <c r="A512" s="44" t="s">
        <v>4</v>
      </c>
      <c r="B512" s="45" t="s">
        <v>16</v>
      </c>
      <c r="C512" s="163">
        <v>2</v>
      </c>
      <c r="D512" s="163">
        <v>33.21</v>
      </c>
      <c r="E512" s="171">
        <v>39.85</v>
      </c>
      <c r="F512" s="155">
        <v>60</v>
      </c>
      <c r="G512" s="150">
        <v>45901</v>
      </c>
      <c r="H512" s="30"/>
      <c r="I51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79.7</v>
      </c>
    </row>
    <row r="513" spans="1:9" x14ac:dyDescent="0.3">
      <c r="A513" s="44" t="s">
        <v>4</v>
      </c>
      <c r="B513" s="45" t="s">
        <v>16</v>
      </c>
      <c r="C513" s="163">
        <v>3</v>
      </c>
      <c r="D513" s="163">
        <v>33.020000000000003</v>
      </c>
      <c r="E513" s="171">
        <v>39.619999999999997</v>
      </c>
      <c r="F513" s="155">
        <v>60</v>
      </c>
      <c r="G513" s="150">
        <v>45901</v>
      </c>
      <c r="H513" s="30"/>
      <c r="I51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118.87</v>
      </c>
    </row>
    <row r="514" spans="1:9" x14ac:dyDescent="0.3">
      <c r="A514" s="44" t="s">
        <v>4</v>
      </c>
      <c r="B514" s="45" t="s">
        <v>16</v>
      </c>
      <c r="C514" s="163">
        <v>4</v>
      </c>
      <c r="D514" s="163">
        <v>32.869999999999997</v>
      </c>
      <c r="E514" s="171">
        <v>39.44</v>
      </c>
      <c r="F514" s="155">
        <v>60</v>
      </c>
      <c r="G514" s="150">
        <v>45901</v>
      </c>
      <c r="H514" s="30"/>
      <c r="I51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157.78</v>
      </c>
    </row>
    <row r="515" spans="1:9" x14ac:dyDescent="0.3">
      <c r="A515" s="44" t="s">
        <v>4</v>
      </c>
      <c r="B515" s="45" t="s">
        <v>16</v>
      </c>
      <c r="C515" s="163">
        <v>5</v>
      </c>
      <c r="D515" s="163">
        <v>32.65</v>
      </c>
      <c r="E515" s="171">
        <v>39.18</v>
      </c>
      <c r="F515" s="155">
        <v>60</v>
      </c>
      <c r="G515" s="150">
        <v>45901</v>
      </c>
      <c r="H515" s="30"/>
      <c r="I51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195.9</v>
      </c>
    </row>
    <row r="516" spans="1:9" x14ac:dyDescent="0.3">
      <c r="A516" s="44" t="s">
        <v>9</v>
      </c>
      <c r="B516" s="45" t="s">
        <v>1</v>
      </c>
      <c r="C516" s="45">
        <v>1</v>
      </c>
      <c r="D516" s="148">
        <v>577.54</v>
      </c>
      <c r="E516" s="149">
        <v>693.05</v>
      </c>
      <c r="F516" s="45">
        <v>800</v>
      </c>
      <c r="G516" s="150">
        <v>45901</v>
      </c>
      <c r="H516" s="30"/>
      <c r="I51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693.05</v>
      </c>
    </row>
    <row r="517" spans="1:9" x14ac:dyDescent="0.3">
      <c r="A517" s="44" t="s">
        <v>9</v>
      </c>
      <c r="B517" s="45" t="s">
        <v>1</v>
      </c>
      <c r="C517" s="45">
        <v>2</v>
      </c>
      <c r="D517" s="148">
        <v>481.69</v>
      </c>
      <c r="E517" s="149">
        <v>578.03</v>
      </c>
      <c r="F517" s="45">
        <v>800</v>
      </c>
      <c r="G517" s="150">
        <v>45901</v>
      </c>
      <c r="H517" s="30"/>
      <c r="I51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1156.06</v>
      </c>
    </row>
    <row r="518" spans="1:9" x14ac:dyDescent="0.3">
      <c r="A518" s="44" t="s">
        <v>9</v>
      </c>
      <c r="B518" s="45" t="s">
        <v>1</v>
      </c>
      <c r="C518" s="45">
        <v>3</v>
      </c>
      <c r="D518" s="148">
        <v>376.5</v>
      </c>
      <c r="E518" s="149">
        <v>451.8</v>
      </c>
      <c r="F518" s="45">
        <v>800</v>
      </c>
      <c r="G518" s="150">
        <v>45901</v>
      </c>
      <c r="H518" s="30"/>
      <c r="I51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1355.4</v>
      </c>
    </row>
    <row r="519" spans="1:9" x14ac:dyDescent="0.3">
      <c r="A519" s="44" t="s">
        <v>9</v>
      </c>
      <c r="B519" s="45" t="s">
        <v>1</v>
      </c>
      <c r="C519" s="45">
        <v>4</v>
      </c>
      <c r="D519" s="148">
        <v>327.06</v>
      </c>
      <c r="E519" s="149">
        <v>392.47</v>
      </c>
      <c r="F519" s="45">
        <v>800</v>
      </c>
      <c r="G519" s="150">
        <v>45901</v>
      </c>
      <c r="H519" s="30"/>
      <c r="I51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1569.89</v>
      </c>
    </row>
    <row r="520" spans="1:9" x14ac:dyDescent="0.3">
      <c r="A520" s="44" t="s">
        <v>9</v>
      </c>
      <c r="B520" s="45" t="s">
        <v>1</v>
      </c>
      <c r="C520" s="45">
        <v>5</v>
      </c>
      <c r="D520" s="148">
        <v>282.85000000000002</v>
      </c>
      <c r="E520" s="149">
        <v>339.42</v>
      </c>
      <c r="F520" s="45">
        <v>800</v>
      </c>
      <c r="G520" s="150">
        <v>45901</v>
      </c>
      <c r="H520" s="30"/>
      <c r="I52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1697.1</v>
      </c>
    </row>
    <row r="521" spans="1:9" x14ac:dyDescent="0.3">
      <c r="A521" s="44" t="s">
        <v>9</v>
      </c>
      <c r="B521" s="45" t="s">
        <v>1</v>
      </c>
      <c r="C521" s="45">
        <v>6</v>
      </c>
      <c r="D521" s="148">
        <v>250.56</v>
      </c>
      <c r="E521" s="149">
        <v>300.67</v>
      </c>
      <c r="F521" s="45">
        <v>800</v>
      </c>
      <c r="G521" s="150">
        <v>45901</v>
      </c>
      <c r="H521" s="30"/>
      <c r="I52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1804.03</v>
      </c>
    </row>
    <row r="522" spans="1:9" x14ac:dyDescent="0.3">
      <c r="A522" s="44" t="s">
        <v>9</v>
      </c>
      <c r="B522" s="45" t="s">
        <v>1</v>
      </c>
      <c r="C522" s="45">
        <v>7</v>
      </c>
      <c r="D522" s="148">
        <v>221.39</v>
      </c>
      <c r="E522" s="149">
        <v>265.67</v>
      </c>
      <c r="F522" s="45">
        <v>800</v>
      </c>
      <c r="G522" s="150">
        <v>45901</v>
      </c>
      <c r="H522" s="30"/>
      <c r="I52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1859.68</v>
      </c>
    </row>
    <row r="523" spans="1:9" x14ac:dyDescent="0.3">
      <c r="A523" s="44" t="s">
        <v>9</v>
      </c>
      <c r="B523" s="45" t="s">
        <v>1</v>
      </c>
      <c r="C523" s="45">
        <v>8</v>
      </c>
      <c r="D523" s="148">
        <v>198.05</v>
      </c>
      <c r="E523" s="149">
        <v>237.66</v>
      </c>
      <c r="F523" s="45">
        <v>800</v>
      </c>
      <c r="G523" s="150">
        <v>45901</v>
      </c>
      <c r="H523" s="30"/>
      <c r="I52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1901.28</v>
      </c>
    </row>
    <row r="524" spans="1:9" x14ac:dyDescent="0.3">
      <c r="A524" s="44" t="s">
        <v>9</v>
      </c>
      <c r="B524" s="45" t="s">
        <v>1</v>
      </c>
      <c r="C524" s="45">
        <v>9</v>
      </c>
      <c r="D524" s="148">
        <v>180.33</v>
      </c>
      <c r="E524" s="149">
        <v>216.4</v>
      </c>
      <c r="F524" s="45">
        <v>800</v>
      </c>
      <c r="G524" s="150">
        <v>45901</v>
      </c>
      <c r="H524" s="30"/>
      <c r="I52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1947.56</v>
      </c>
    </row>
    <row r="525" spans="1:9" x14ac:dyDescent="0.3">
      <c r="A525" s="44" t="s">
        <v>9</v>
      </c>
      <c r="B525" s="45" t="s">
        <v>1</v>
      </c>
      <c r="C525" s="45">
        <v>10</v>
      </c>
      <c r="D525" s="148">
        <v>168.48</v>
      </c>
      <c r="E525" s="149">
        <v>202.18</v>
      </c>
      <c r="F525" s="45">
        <v>800</v>
      </c>
      <c r="G525" s="150">
        <v>45901</v>
      </c>
      <c r="H525" s="30"/>
      <c r="I52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2021.76</v>
      </c>
    </row>
    <row r="526" spans="1:9" x14ac:dyDescent="0.3">
      <c r="A526" s="44" t="s">
        <v>9</v>
      </c>
      <c r="B526" s="45" t="s">
        <v>2</v>
      </c>
      <c r="C526" s="45">
        <v>1</v>
      </c>
      <c r="D526" s="148">
        <v>272.77</v>
      </c>
      <c r="E526" s="149">
        <v>327.32</v>
      </c>
      <c r="F526" s="45">
        <v>400</v>
      </c>
      <c r="G526" s="150">
        <v>45901</v>
      </c>
      <c r="H526" s="30"/>
      <c r="I52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327.32</v>
      </c>
    </row>
    <row r="527" spans="1:9" x14ac:dyDescent="0.3">
      <c r="A527" s="44" t="s">
        <v>9</v>
      </c>
      <c r="B527" s="45" t="s">
        <v>2</v>
      </c>
      <c r="C527" s="45">
        <v>2</v>
      </c>
      <c r="D527" s="148">
        <v>226.89</v>
      </c>
      <c r="E527" s="149">
        <v>272.27</v>
      </c>
      <c r="F527" s="45">
        <v>400</v>
      </c>
      <c r="G527" s="150">
        <v>45901</v>
      </c>
      <c r="H527" s="30"/>
      <c r="I52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544.54</v>
      </c>
    </row>
    <row r="528" spans="1:9" x14ac:dyDescent="0.3">
      <c r="A528" s="44" t="s">
        <v>9</v>
      </c>
      <c r="B528" s="45" t="s">
        <v>2</v>
      </c>
      <c r="C528" s="45">
        <v>3</v>
      </c>
      <c r="D528" s="148">
        <v>176.97</v>
      </c>
      <c r="E528" s="149">
        <v>212.36</v>
      </c>
      <c r="F528" s="45">
        <v>400</v>
      </c>
      <c r="G528" s="150">
        <v>45901</v>
      </c>
      <c r="H528" s="30"/>
      <c r="I52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637.09</v>
      </c>
    </row>
    <row r="529" spans="1:9" x14ac:dyDescent="0.3">
      <c r="A529" s="44" t="s">
        <v>9</v>
      </c>
      <c r="B529" s="45" t="s">
        <v>2</v>
      </c>
      <c r="C529" s="45">
        <v>4</v>
      </c>
      <c r="D529" s="148">
        <v>153.38</v>
      </c>
      <c r="E529" s="149">
        <v>184.06</v>
      </c>
      <c r="F529" s="45">
        <v>400</v>
      </c>
      <c r="G529" s="150">
        <v>45901</v>
      </c>
      <c r="H529" s="30"/>
      <c r="I52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736.22</v>
      </c>
    </row>
    <row r="530" spans="1:9" x14ac:dyDescent="0.3">
      <c r="A530" s="44" t="s">
        <v>9</v>
      </c>
      <c r="B530" s="45" t="s">
        <v>2</v>
      </c>
      <c r="C530" s="45">
        <v>5</v>
      </c>
      <c r="D530" s="148">
        <v>132.35</v>
      </c>
      <c r="E530" s="149">
        <v>158.82</v>
      </c>
      <c r="F530" s="45">
        <v>400</v>
      </c>
      <c r="G530" s="150">
        <v>45901</v>
      </c>
      <c r="H530" s="30"/>
      <c r="I53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794.1</v>
      </c>
    </row>
    <row r="531" spans="1:9" x14ac:dyDescent="0.3">
      <c r="A531" s="44" t="s">
        <v>9</v>
      </c>
      <c r="B531" s="45" t="s">
        <v>2</v>
      </c>
      <c r="C531" s="45">
        <v>6</v>
      </c>
      <c r="D531" s="148">
        <v>116.92</v>
      </c>
      <c r="E531" s="149">
        <v>140.30000000000001</v>
      </c>
      <c r="F531" s="45">
        <v>400</v>
      </c>
      <c r="G531" s="150">
        <v>45901</v>
      </c>
      <c r="H531" s="30"/>
      <c r="I53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841.82</v>
      </c>
    </row>
    <row r="532" spans="1:9" x14ac:dyDescent="0.3">
      <c r="A532" s="44" t="s">
        <v>9</v>
      </c>
      <c r="B532" s="45" t="s">
        <v>2</v>
      </c>
      <c r="C532" s="45">
        <v>7</v>
      </c>
      <c r="D532" s="148">
        <v>103.03</v>
      </c>
      <c r="E532" s="149">
        <v>123.64</v>
      </c>
      <c r="F532" s="45">
        <v>400</v>
      </c>
      <c r="G532" s="150">
        <v>45901</v>
      </c>
      <c r="H532" s="30"/>
      <c r="I53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865.45</v>
      </c>
    </row>
    <row r="533" spans="1:9" x14ac:dyDescent="0.3">
      <c r="A533" s="44" t="s">
        <v>9</v>
      </c>
      <c r="B533" s="45" t="s">
        <v>2</v>
      </c>
      <c r="C533" s="45">
        <v>8</v>
      </c>
      <c r="D533" s="148">
        <v>91.98</v>
      </c>
      <c r="E533" s="149">
        <v>110.38</v>
      </c>
      <c r="F533" s="45">
        <v>400</v>
      </c>
      <c r="G533" s="150">
        <v>45901</v>
      </c>
      <c r="H533" s="30"/>
      <c r="I53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883.01</v>
      </c>
    </row>
    <row r="534" spans="1:9" x14ac:dyDescent="0.3">
      <c r="A534" s="44" t="s">
        <v>9</v>
      </c>
      <c r="B534" s="45" t="s">
        <v>2</v>
      </c>
      <c r="C534" s="45">
        <v>9</v>
      </c>
      <c r="D534" s="148">
        <v>83.51</v>
      </c>
      <c r="E534" s="149">
        <v>100.21</v>
      </c>
      <c r="F534" s="45">
        <v>400</v>
      </c>
      <c r="G534" s="150">
        <v>45901</v>
      </c>
      <c r="H534" s="30"/>
      <c r="I53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901.91</v>
      </c>
    </row>
    <row r="535" spans="1:9" x14ac:dyDescent="0.3">
      <c r="A535" s="44" t="s">
        <v>9</v>
      </c>
      <c r="B535" s="45" t="s">
        <v>2</v>
      </c>
      <c r="C535" s="45">
        <v>10</v>
      </c>
      <c r="D535" s="148">
        <v>77.8</v>
      </c>
      <c r="E535" s="149">
        <v>93.36</v>
      </c>
      <c r="F535" s="45">
        <v>400</v>
      </c>
      <c r="G535" s="150">
        <v>45901</v>
      </c>
      <c r="H535" s="30"/>
      <c r="I53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933.6</v>
      </c>
    </row>
    <row r="536" spans="1:9" x14ac:dyDescent="0.3">
      <c r="A536" s="44" t="s">
        <v>9</v>
      </c>
      <c r="B536" s="45" t="s">
        <v>16</v>
      </c>
      <c r="C536" s="45">
        <v>1</v>
      </c>
      <c r="D536" s="148">
        <v>47.01</v>
      </c>
      <c r="E536" s="149">
        <v>56.41</v>
      </c>
      <c r="F536" s="45">
        <v>60</v>
      </c>
      <c r="G536" s="150">
        <v>45901</v>
      </c>
      <c r="H536" s="30"/>
      <c r="I53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56.41</v>
      </c>
    </row>
    <row r="537" spans="1:9" x14ac:dyDescent="0.3">
      <c r="A537" s="44" t="s">
        <v>9</v>
      </c>
      <c r="B537" s="45" t="s">
        <v>16</v>
      </c>
      <c r="C537" s="45">
        <v>2</v>
      </c>
      <c r="D537" s="148">
        <v>43.16</v>
      </c>
      <c r="E537" s="149">
        <v>51.79</v>
      </c>
      <c r="F537" s="45">
        <v>60</v>
      </c>
      <c r="G537" s="150">
        <v>45901</v>
      </c>
      <c r="H537" s="30"/>
      <c r="I53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103.58</v>
      </c>
    </row>
    <row r="538" spans="1:9" x14ac:dyDescent="0.3">
      <c r="A538" s="44" t="s">
        <v>9</v>
      </c>
      <c r="B538" s="45" t="s">
        <v>16</v>
      </c>
      <c r="C538" s="45">
        <v>3</v>
      </c>
      <c r="D538" s="148">
        <v>39.64</v>
      </c>
      <c r="E538" s="149">
        <v>47.57</v>
      </c>
      <c r="F538" s="45">
        <v>60</v>
      </c>
      <c r="G538" s="150">
        <v>45901</v>
      </c>
      <c r="H538" s="30"/>
      <c r="I53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142.69999999999999</v>
      </c>
    </row>
    <row r="539" spans="1:9" x14ac:dyDescent="0.3">
      <c r="A539" s="44" t="s">
        <v>9</v>
      </c>
      <c r="B539" s="45" t="s">
        <v>16</v>
      </c>
      <c r="C539" s="45">
        <v>4</v>
      </c>
      <c r="D539" s="148">
        <v>36.33</v>
      </c>
      <c r="E539" s="149">
        <v>43.6</v>
      </c>
      <c r="F539" s="45">
        <v>60</v>
      </c>
      <c r="G539" s="150">
        <v>45901</v>
      </c>
      <c r="H539" s="30"/>
      <c r="I53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174.38</v>
      </c>
    </row>
    <row r="540" spans="1:9" x14ac:dyDescent="0.3">
      <c r="A540" s="44" t="s">
        <v>9</v>
      </c>
      <c r="B540" s="45" t="s">
        <v>16</v>
      </c>
      <c r="C540" s="45">
        <v>5</v>
      </c>
      <c r="D540" s="148">
        <v>33.35</v>
      </c>
      <c r="E540" s="149">
        <v>40.020000000000003</v>
      </c>
      <c r="F540" s="45">
        <v>60</v>
      </c>
      <c r="G540" s="150">
        <v>45901</v>
      </c>
      <c r="H540" s="30"/>
      <c r="I54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200.1</v>
      </c>
    </row>
    <row r="541" spans="1:9" x14ac:dyDescent="0.3">
      <c r="A541" s="44" t="s">
        <v>9</v>
      </c>
      <c r="B541" s="45" t="s">
        <v>16</v>
      </c>
      <c r="C541" s="45">
        <v>6</v>
      </c>
      <c r="D541" s="148">
        <v>30.63</v>
      </c>
      <c r="E541" s="149">
        <v>36.76</v>
      </c>
      <c r="F541" s="45">
        <v>60</v>
      </c>
      <c r="G541" s="150">
        <v>45901</v>
      </c>
      <c r="H541" s="30"/>
      <c r="I54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220.54</v>
      </c>
    </row>
    <row r="542" spans="1:9" x14ac:dyDescent="0.3">
      <c r="A542" s="44" t="s">
        <v>9</v>
      </c>
      <c r="B542" s="45" t="s">
        <v>16</v>
      </c>
      <c r="C542" s="45">
        <v>7</v>
      </c>
      <c r="D542" s="148">
        <v>27.56</v>
      </c>
      <c r="E542" s="149">
        <v>33.07</v>
      </c>
      <c r="F542" s="45">
        <v>60</v>
      </c>
      <c r="G542" s="150">
        <v>45901</v>
      </c>
      <c r="H542" s="30"/>
      <c r="I54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231.5</v>
      </c>
    </row>
    <row r="543" spans="1:9" x14ac:dyDescent="0.3">
      <c r="A543" s="44" t="s">
        <v>9</v>
      </c>
      <c r="B543" s="45" t="s">
        <v>16</v>
      </c>
      <c r="C543" s="45">
        <v>8</v>
      </c>
      <c r="D543" s="148">
        <v>24.78</v>
      </c>
      <c r="E543" s="149">
        <v>29.74</v>
      </c>
      <c r="F543" s="45">
        <v>60</v>
      </c>
      <c r="G543" s="150">
        <v>45901</v>
      </c>
      <c r="H543" s="30"/>
      <c r="I54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237.89</v>
      </c>
    </row>
    <row r="544" spans="1:9" x14ac:dyDescent="0.3">
      <c r="A544" s="44" t="s">
        <v>9</v>
      </c>
      <c r="B544" s="45" t="s">
        <v>16</v>
      </c>
      <c r="C544" s="45">
        <v>9</v>
      </c>
      <c r="D544" s="148">
        <v>22.34</v>
      </c>
      <c r="E544" s="149">
        <v>26.81</v>
      </c>
      <c r="F544" s="45">
        <v>60</v>
      </c>
      <c r="G544" s="150">
        <v>45901</v>
      </c>
      <c r="H544" s="30"/>
      <c r="I54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241.27</v>
      </c>
    </row>
    <row r="545" spans="1:9" x14ac:dyDescent="0.3">
      <c r="A545" s="44" t="s">
        <v>9</v>
      </c>
      <c r="B545" s="45" t="s">
        <v>16</v>
      </c>
      <c r="C545" s="45">
        <v>10</v>
      </c>
      <c r="D545" s="148">
        <v>20.350000000000001</v>
      </c>
      <c r="E545" s="149">
        <v>24.42</v>
      </c>
      <c r="F545" s="45">
        <v>60</v>
      </c>
      <c r="G545" s="150">
        <v>45901</v>
      </c>
      <c r="H545" s="30"/>
      <c r="I54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244.2</v>
      </c>
    </row>
    <row r="546" spans="1:9" x14ac:dyDescent="0.3">
      <c r="A546" s="44" t="s">
        <v>11</v>
      </c>
      <c r="B546" s="45" t="s">
        <v>1</v>
      </c>
      <c r="C546" s="45">
        <v>1</v>
      </c>
      <c r="D546" s="148">
        <v>730.84</v>
      </c>
      <c r="E546" s="149">
        <v>877.01</v>
      </c>
      <c r="F546" s="45">
        <v>800</v>
      </c>
      <c r="G546" s="150">
        <v>45901</v>
      </c>
      <c r="H546" s="30"/>
      <c r="I54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877.01</v>
      </c>
    </row>
    <row r="547" spans="1:9" x14ac:dyDescent="0.3">
      <c r="A547" s="44" t="s">
        <v>11</v>
      </c>
      <c r="B547" s="45" t="s">
        <v>1</v>
      </c>
      <c r="C547" s="45">
        <v>2</v>
      </c>
      <c r="D547" s="148">
        <v>647.52</v>
      </c>
      <c r="E547" s="149">
        <v>777.02</v>
      </c>
      <c r="F547" s="45">
        <v>800</v>
      </c>
      <c r="G547" s="150">
        <v>45901</v>
      </c>
      <c r="H547" s="30"/>
      <c r="I54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1554.05</v>
      </c>
    </row>
    <row r="548" spans="1:9" x14ac:dyDescent="0.3">
      <c r="A548" s="44" t="s">
        <v>11</v>
      </c>
      <c r="B548" s="45" t="s">
        <v>1</v>
      </c>
      <c r="C548" s="45">
        <v>3</v>
      </c>
      <c r="D548" s="148">
        <v>573.70000000000005</v>
      </c>
      <c r="E548" s="149">
        <v>688.44</v>
      </c>
      <c r="F548" s="45">
        <v>800</v>
      </c>
      <c r="G548" s="150">
        <v>45901</v>
      </c>
      <c r="H548" s="30"/>
      <c r="I54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2065.3200000000002</v>
      </c>
    </row>
    <row r="549" spans="1:9" x14ac:dyDescent="0.3">
      <c r="A549" s="44" t="s">
        <v>11</v>
      </c>
      <c r="B549" s="45" t="s">
        <v>1</v>
      </c>
      <c r="C549" s="45">
        <v>4</v>
      </c>
      <c r="D549" s="148">
        <v>508.26</v>
      </c>
      <c r="E549" s="149">
        <v>609.91</v>
      </c>
      <c r="F549" s="45">
        <v>800</v>
      </c>
      <c r="G549" s="150">
        <v>45901</v>
      </c>
      <c r="H549" s="30"/>
      <c r="I54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2439.65</v>
      </c>
    </row>
    <row r="550" spans="1:9" x14ac:dyDescent="0.3">
      <c r="A550" s="44" t="s">
        <v>11</v>
      </c>
      <c r="B550" s="45" t="s">
        <v>1</v>
      </c>
      <c r="C550" s="45">
        <v>5</v>
      </c>
      <c r="D550" s="148">
        <v>450.22</v>
      </c>
      <c r="E550" s="149">
        <v>540.26</v>
      </c>
      <c r="F550" s="45">
        <v>800</v>
      </c>
      <c r="G550" s="150">
        <v>45901</v>
      </c>
      <c r="H550" s="30"/>
      <c r="I55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2701.32</v>
      </c>
    </row>
    <row r="551" spans="1:9" x14ac:dyDescent="0.3">
      <c r="A551" s="44" t="s">
        <v>11</v>
      </c>
      <c r="B551" s="45" t="s">
        <v>1</v>
      </c>
      <c r="C551" s="45">
        <v>6</v>
      </c>
      <c r="D551" s="148">
        <v>398.69</v>
      </c>
      <c r="E551" s="149">
        <v>478.43</v>
      </c>
      <c r="F551" s="45">
        <v>800</v>
      </c>
      <c r="G551" s="150">
        <v>45901</v>
      </c>
      <c r="H551" s="30"/>
      <c r="I55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2870.57</v>
      </c>
    </row>
    <row r="552" spans="1:9" x14ac:dyDescent="0.3">
      <c r="A552" s="44" t="s">
        <v>11</v>
      </c>
      <c r="B552" s="45" t="s">
        <v>1</v>
      </c>
      <c r="C552" s="45">
        <v>7</v>
      </c>
      <c r="D552" s="148">
        <v>352.45</v>
      </c>
      <c r="E552" s="149">
        <v>422.94</v>
      </c>
      <c r="F552" s="45">
        <v>800</v>
      </c>
      <c r="G552" s="150">
        <v>45901</v>
      </c>
      <c r="H552" s="30"/>
      <c r="I55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2960.58</v>
      </c>
    </row>
    <row r="553" spans="1:9" x14ac:dyDescent="0.3">
      <c r="A553" s="44" t="s">
        <v>11</v>
      </c>
      <c r="B553" s="45" t="s">
        <v>1</v>
      </c>
      <c r="C553" s="45">
        <v>8</v>
      </c>
      <c r="D553" s="148">
        <v>315.33</v>
      </c>
      <c r="E553" s="149">
        <v>378.4</v>
      </c>
      <c r="F553" s="45">
        <v>800</v>
      </c>
      <c r="G553" s="150">
        <v>45901</v>
      </c>
      <c r="H553" s="30"/>
      <c r="I55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3027.17</v>
      </c>
    </row>
    <row r="554" spans="1:9" x14ac:dyDescent="0.3">
      <c r="A554" s="44" t="s">
        <v>11</v>
      </c>
      <c r="B554" s="45" t="s">
        <v>1</v>
      </c>
      <c r="C554" s="45">
        <v>9</v>
      </c>
      <c r="D554" s="148">
        <v>286.88</v>
      </c>
      <c r="E554" s="149">
        <v>344.26</v>
      </c>
      <c r="F554" s="45">
        <v>800</v>
      </c>
      <c r="G554" s="150">
        <v>45901</v>
      </c>
      <c r="H554" s="30"/>
      <c r="I55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3098.3</v>
      </c>
    </row>
    <row r="555" spans="1:9" x14ac:dyDescent="0.3">
      <c r="A555" s="44" t="s">
        <v>11</v>
      </c>
      <c r="B555" s="45" t="s">
        <v>1</v>
      </c>
      <c r="C555" s="45">
        <v>10</v>
      </c>
      <c r="D555" s="148">
        <v>267.95999999999998</v>
      </c>
      <c r="E555" s="149">
        <v>321.55</v>
      </c>
      <c r="F555" s="45">
        <v>800</v>
      </c>
      <c r="G555" s="150">
        <v>45901</v>
      </c>
      <c r="H555" s="30"/>
      <c r="I55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3215.52</v>
      </c>
    </row>
    <row r="556" spans="1:9" x14ac:dyDescent="0.3">
      <c r="A556" s="44" t="s">
        <v>11</v>
      </c>
      <c r="B556" s="45" t="s">
        <v>2</v>
      </c>
      <c r="C556" s="45">
        <v>1</v>
      </c>
      <c r="D556" s="148">
        <v>449.83</v>
      </c>
      <c r="E556" s="149">
        <v>539.79999999999995</v>
      </c>
      <c r="F556" s="45">
        <v>400</v>
      </c>
      <c r="G556" s="150">
        <v>45901</v>
      </c>
      <c r="H556" s="30"/>
      <c r="I55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539.79999999999995</v>
      </c>
    </row>
    <row r="557" spans="1:9" x14ac:dyDescent="0.3">
      <c r="A557" s="44" t="s">
        <v>11</v>
      </c>
      <c r="B557" s="45" t="s">
        <v>2</v>
      </c>
      <c r="C557" s="45">
        <v>2</v>
      </c>
      <c r="D557" s="148">
        <v>397.65</v>
      </c>
      <c r="E557" s="149">
        <v>477.18</v>
      </c>
      <c r="F557" s="45">
        <v>400</v>
      </c>
      <c r="G557" s="150">
        <v>45901</v>
      </c>
      <c r="H557" s="30"/>
      <c r="I55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954.36</v>
      </c>
    </row>
    <row r="558" spans="1:9" x14ac:dyDescent="0.3">
      <c r="A558" s="44" t="s">
        <v>11</v>
      </c>
      <c r="B558" s="45" t="s">
        <v>2</v>
      </c>
      <c r="C558" s="45">
        <v>3</v>
      </c>
      <c r="D558" s="148">
        <v>351.46</v>
      </c>
      <c r="E558" s="149">
        <v>421.75</v>
      </c>
      <c r="F558" s="45">
        <v>400</v>
      </c>
      <c r="G558" s="150">
        <v>45901</v>
      </c>
      <c r="H558" s="30"/>
      <c r="I55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1265.26</v>
      </c>
    </row>
    <row r="559" spans="1:9" x14ac:dyDescent="0.3">
      <c r="A559" s="44" t="s">
        <v>11</v>
      </c>
      <c r="B559" s="45" t="s">
        <v>2</v>
      </c>
      <c r="C559" s="45">
        <v>4</v>
      </c>
      <c r="D559" s="148">
        <v>310.61</v>
      </c>
      <c r="E559" s="149">
        <v>372.73</v>
      </c>
      <c r="F559" s="45">
        <v>400</v>
      </c>
      <c r="G559" s="150">
        <v>45901</v>
      </c>
      <c r="H559" s="30"/>
      <c r="I55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1490.93</v>
      </c>
    </row>
    <row r="560" spans="1:9" x14ac:dyDescent="0.3">
      <c r="A560" s="44" t="s">
        <v>11</v>
      </c>
      <c r="B560" s="45" t="s">
        <v>2</v>
      </c>
      <c r="C560" s="45">
        <v>5</v>
      </c>
      <c r="D560" s="148">
        <v>274.45</v>
      </c>
      <c r="E560" s="149">
        <v>329.34</v>
      </c>
      <c r="F560" s="45">
        <v>400</v>
      </c>
      <c r="G560" s="150">
        <v>45901</v>
      </c>
      <c r="H560" s="30"/>
      <c r="I56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1646.7</v>
      </c>
    </row>
    <row r="561" spans="1:9" x14ac:dyDescent="0.3">
      <c r="A561" s="44" t="s">
        <v>11</v>
      </c>
      <c r="B561" s="45" t="s">
        <v>2</v>
      </c>
      <c r="C561" s="45">
        <v>6</v>
      </c>
      <c r="D561" s="148">
        <v>242.49</v>
      </c>
      <c r="E561" s="149">
        <v>290.99</v>
      </c>
      <c r="F561" s="45">
        <v>400</v>
      </c>
      <c r="G561" s="150">
        <v>45901</v>
      </c>
      <c r="H561" s="30"/>
      <c r="I56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1745.93</v>
      </c>
    </row>
    <row r="562" spans="1:9" x14ac:dyDescent="0.3">
      <c r="A562" s="44" t="s">
        <v>11</v>
      </c>
      <c r="B562" s="45" t="s">
        <v>2</v>
      </c>
      <c r="C562" s="45">
        <v>7</v>
      </c>
      <c r="D562" s="148">
        <v>213.8</v>
      </c>
      <c r="E562" s="149">
        <v>256.56</v>
      </c>
      <c r="F562" s="45">
        <v>400</v>
      </c>
      <c r="G562" s="150">
        <v>45901</v>
      </c>
      <c r="H562" s="30"/>
      <c r="I56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1795.92</v>
      </c>
    </row>
    <row r="563" spans="1:9" x14ac:dyDescent="0.3">
      <c r="A563" s="44" t="s">
        <v>11</v>
      </c>
      <c r="B563" s="45" t="s">
        <v>2</v>
      </c>
      <c r="C563" s="45">
        <v>8</v>
      </c>
      <c r="D563" s="148">
        <v>190.81</v>
      </c>
      <c r="E563" s="149">
        <v>228.97</v>
      </c>
      <c r="F563" s="45">
        <v>400</v>
      </c>
      <c r="G563" s="150">
        <v>45901</v>
      </c>
      <c r="H563" s="30"/>
      <c r="I56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1831.78</v>
      </c>
    </row>
    <row r="564" spans="1:9" x14ac:dyDescent="0.3">
      <c r="A564" s="44" t="s">
        <v>11</v>
      </c>
      <c r="B564" s="45" t="s">
        <v>2</v>
      </c>
      <c r="C564" s="45">
        <v>9</v>
      </c>
      <c r="D564" s="148">
        <v>173.23</v>
      </c>
      <c r="E564" s="149">
        <v>207.88</v>
      </c>
      <c r="F564" s="45">
        <v>400</v>
      </c>
      <c r="G564" s="150">
        <v>45901</v>
      </c>
      <c r="H564" s="30"/>
      <c r="I56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1870.88</v>
      </c>
    </row>
    <row r="565" spans="1:9" x14ac:dyDescent="0.3">
      <c r="A565" s="44" t="s">
        <v>11</v>
      </c>
      <c r="B565" s="45" t="s">
        <v>2</v>
      </c>
      <c r="C565" s="45">
        <v>10</v>
      </c>
      <c r="D565" s="148">
        <v>161.4</v>
      </c>
      <c r="E565" s="149">
        <v>193.68</v>
      </c>
      <c r="F565" s="45">
        <v>400</v>
      </c>
      <c r="G565" s="150">
        <v>45901</v>
      </c>
      <c r="H565" s="30"/>
      <c r="I56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1936.8</v>
      </c>
    </row>
    <row r="566" spans="1:9" x14ac:dyDescent="0.3">
      <c r="A566" s="44" t="s">
        <v>11</v>
      </c>
      <c r="B566" s="45" t="s">
        <v>16</v>
      </c>
      <c r="C566" s="45">
        <v>1</v>
      </c>
      <c r="D566" s="148">
        <v>54.73</v>
      </c>
      <c r="E566" s="149">
        <v>65.680000000000007</v>
      </c>
      <c r="F566" s="45">
        <v>60</v>
      </c>
      <c r="G566" s="150">
        <v>45901</v>
      </c>
      <c r="H566" s="30"/>
      <c r="I56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65.680000000000007</v>
      </c>
    </row>
    <row r="567" spans="1:9" x14ac:dyDescent="0.3">
      <c r="A567" s="44" t="s">
        <v>11</v>
      </c>
      <c r="B567" s="45" t="s">
        <v>16</v>
      </c>
      <c r="C567" s="45">
        <v>2</v>
      </c>
      <c r="D567" s="148">
        <v>50.23</v>
      </c>
      <c r="E567" s="149">
        <v>60.28</v>
      </c>
      <c r="F567" s="45">
        <v>60</v>
      </c>
      <c r="G567" s="150">
        <v>45901</v>
      </c>
      <c r="H567" s="30"/>
      <c r="I56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120.55</v>
      </c>
    </row>
    <row r="568" spans="1:9" x14ac:dyDescent="0.3">
      <c r="A568" s="44" t="s">
        <v>11</v>
      </c>
      <c r="B568" s="45" t="s">
        <v>16</v>
      </c>
      <c r="C568" s="45">
        <v>3</v>
      </c>
      <c r="D568" s="148">
        <v>46.07</v>
      </c>
      <c r="E568" s="149">
        <v>55.28</v>
      </c>
      <c r="F568" s="45">
        <v>60</v>
      </c>
      <c r="G568" s="150">
        <v>45901</v>
      </c>
      <c r="H568" s="30"/>
      <c r="I56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165.85</v>
      </c>
    </row>
    <row r="569" spans="1:9" x14ac:dyDescent="0.3">
      <c r="A569" s="44" t="s">
        <v>11</v>
      </c>
      <c r="B569" s="45" t="s">
        <v>16</v>
      </c>
      <c r="C569" s="45">
        <v>4</v>
      </c>
      <c r="D569" s="148">
        <v>42.33</v>
      </c>
      <c r="E569" s="149">
        <v>50.8</v>
      </c>
      <c r="F569" s="45">
        <v>60</v>
      </c>
      <c r="G569" s="150">
        <v>45901</v>
      </c>
      <c r="H569" s="30"/>
      <c r="I56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203.18</v>
      </c>
    </row>
    <row r="570" spans="1:9" x14ac:dyDescent="0.3">
      <c r="A570" s="44" t="s">
        <v>11</v>
      </c>
      <c r="B570" s="45" t="s">
        <v>16</v>
      </c>
      <c r="C570" s="45">
        <v>5</v>
      </c>
      <c r="D570" s="148">
        <v>38.83</v>
      </c>
      <c r="E570" s="149">
        <v>46.6</v>
      </c>
      <c r="F570" s="45">
        <v>60</v>
      </c>
      <c r="G570" s="150">
        <v>45901</v>
      </c>
      <c r="H570" s="30"/>
      <c r="I57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232.98</v>
      </c>
    </row>
    <row r="571" spans="1:9" x14ac:dyDescent="0.3">
      <c r="A571" s="44" t="s">
        <v>11</v>
      </c>
      <c r="B571" s="45" t="s">
        <v>16</v>
      </c>
      <c r="C571" s="45">
        <v>6</v>
      </c>
      <c r="D571" s="148">
        <v>35.65</v>
      </c>
      <c r="E571" s="149">
        <v>42.78</v>
      </c>
      <c r="F571" s="45">
        <v>60</v>
      </c>
      <c r="G571" s="150">
        <v>45901</v>
      </c>
      <c r="H571" s="30"/>
      <c r="I57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256.68</v>
      </c>
    </row>
    <row r="572" spans="1:9" x14ac:dyDescent="0.3">
      <c r="A572" s="44" t="s">
        <v>11</v>
      </c>
      <c r="B572" s="45" t="s">
        <v>16</v>
      </c>
      <c r="C572" s="45">
        <v>7</v>
      </c>
      <c r="D572" s="148">
        <v>32.1</v>
      </c>
      <c r="E572" s="149">
        <v>38.520000000000003</v>
      </c>
      <c r="F572" s="45">
        <v>60</v>
      </c>
      <c r="G572" s="150">
        <v>45901</v>
      </c>
      <c r="H572" s="30"/>
      <c r="I57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269.64</v>
      </c>
    </row>
    <row r="573" spans="1:9" x14ac:dyDescent="0.3">
      <c r="A573" s="44" t="s">
        <v>11</v>
      </c>
      <c r="B573" s="45" t="s">
        <v>16</v>
      </c>
      <c r="C573" s="45">
        <v>8</v>
      </c>
      <c r="D573" s="148">
        <v>28.88</v>
      </c>
      <c r="E573" s="149">
        <v>34.659999999999997</v>
      </c>
      <c r="F573" s="45">
        <v>60</v>
      </c>
      <c r="G573" s="150">
        <v>45901</v>
      </c>
      <c r="H573" s="30"/>
      <c r="I57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277.25</v>
      </c>
    </row>
    <row r="574" spans="1:9" x14ac:dyDescent="0.3">
      <c r="A574" s="44" t="s">
        <v>11</v>
      </c>
      <c r="B574" s="45" t="s">
        <v>16</v>
      </c>
      <c r="C574" s="45">
        <v>9</v>
      </c>
      <c r="D574" s="148">
        <v>25.99</v>
      </c>
      <c r="E574" s="149">
        <v>31.19</v>
      </c>
      <c r="F574" s="45">
        <v>60</v>
      </c>
      <c r="G574" s="150">
        <v>45901</v>
      </c>
      <c r="H574" s="30"/>
      <c r="I57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280.69</v>
      </c>
    </row>
    <row r="575" spans="1:9" x14ac:dyDescent="0.3">
      <c r="A575" s="44" t="s">
        <v>11</v>
      </c>
      <c r="B575" s="45" t="s">
        <v>16</v>
      </c>
      <c r="C575" s="45">
        <v>10</v>
      </c>
      <c r="D575" s="148">
        <v>23.65</v>
      </c>
      <c r="E575" s="149">
        <v>28.38</v>
      </c>
      <c r="F575" s="45">
        <v>60</v>
      </c>
      <c r="G575" s="150">
        <v>45901</v>
      </c>
      <c r="H575" s="30"/>
      <c r="I57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283.8</v>
      </c>
    </row>
    <row r="576" spans="1:9" x14ac:dyDescent="0.3">
      <c r="A576" s="157" t="s">
        <v>245</v>
      </c>
      <c r="B576" s="158"/>
      <c r="C576" s="158"/>
      <c r="D576" s="166">
        <v>13.4</v>
      </c>
      <c r="E576" s="167">
        <v>16.079999999999998</v>
      </c>
      <c r="F576" s="45">
        <v>60</v>
      </c>
      <c r="G576" s="150">
        <v>45901</v>
      </c>
      <c r="H576" s="30"/>
      <c r="I57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16.079999999999998</v>
      </c>
    </row>
    <row r="577" spans="1:9" x14ac:dyDescent="0.3">
      <c r="A577" s="44" t="s">
        <v>49</v>
      </c>
      <c r="B577" s="45" t="s">
        <v>1</v>
      </c>
      <c r="C577" s="45">
        <v>1</v>
      </c>
      <c r="D577" s="148">
        <v>400.2</v>
      </c>
      <c r="E577" s="149">
        <v>480.24</v>
      </c>
      <c r="F577" s="45">
        <v>800</v>
      </c>
      <c r="G577" s="150">
        <v>45901</v>
      </c>
      <c r="H577" s="30"/>
      <c r="I57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480.24</v>
      </c>
    </row>
    <row r="578" spans="1:9" x14ac:dyDescent="0.3">
      <c r="A578" s="44" t="s">
        <v>50</v>
      </c>
      <c r="B578" s="45" t="s">
        <v>1</v>
      </c>
      <c r="C578" s="45">
        <v>1</v>
      </c>
      <c r="D578" s="148">
        <v>509.28</v>
      </c>
      <c r="E578" s="149">
        <v>611.14</v>
      </c>
      <c r="F578" s="45">
        <v>800</v>
      </c>
      <c r="G578" s="150">
        <v>45901</v>
      </c>
      <c r="H578" s="30"/>
      <c r="I57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611.14</v>
      </c>
    </row>
    <row r="579" spans="1:9" x14ac:dyDescent="0.3">
      <c r="A579" s="44" t="s">
        <v>50</v>
      </c>
      <c r="B579" s="45" t="s">
        <v>2</v>
      </c>
      <c r="C579" s="45">
        <v>1</v>
      </c>
      <c r="D579" s="148">
        <v>200.41</v>
      </c>
      <c r="E579" s="149">
        <v>240.49</v>
      </c>
      <c r="F579" s="45">
        <v>400</v>
      </c>
      <c r="G579" s="150">
        <v>45901</v>
      </c>
      <c r="H579" s="30"/>
      <c r="I57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240.49</v>
      </c>
    </row>
    <row r="580" spans="1:9" x14ac:dyDescent="0.3">
      <c r="A580" s="44" t="s">
        <v>50</v>
      </c>
      <c r="B580" s="45" t="s">
        <v>16</v>
      </c>
      <c r="C580" s="45">
        <v>1</v>
      </c>
      <c r="D580" s="148">
        <v>83.97</v>
      </c>
      <c r="E580" s="149">
        <v>100.76</v>
      </c>
      <c r="F580" s="45">
        <v>60</v>
      </c>
      <c r="G580" s="150">
        <v>45901</v>
      </c>
      <c r="H580" s="30"/>
      <c r="I58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100.76</v>
      </c>
    </row>
    <row r="581" spans="1:9" x14ac:dyDescent="0.3">
      <c r="A581" s="44" t="s">
        <v>51</v>
      </c>
      <c r="B581" s="45" t="s">
        <v>1</v>
      </c>
      <c r="C581" s="45">
        <v>1</v>
      </c>
      <c r="D581" s="148">
        <v>933.92</v>
      </c>
      <c r="E581" s="149">
        <v>1120.7</v>
      </c>
      <c r="F581" s="45">
        <v>800</v>
      </c>
      <c r="G581" s="150">
        <v>45901</v>
      </c>
      <c r="H581" s="30"/>
      <c r="I58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1120.7</v>
      </c>
    </row>
    <row r="582" spans="1:9" x14ac:dyDescent="0.3">
      <c r="A582" s="44" t="s">
        <v>51</v>
      </c>
      <c r="B582" s="45" t="s">
        <v>2</v>
      </c>
      <c r="C582" s="45">
        <v>1</v>
      </c>
      <c r="D582" s="148">
        <v>358.62</v>
      </c>
      <c r="E582" s="149">
        <v>430.34</v>
      </c>
      <c r="F582" s="45">
        <v>400</v>
      </c>
      <c r="G582" s="150">
        <v>45901</v>
      </c>
      <c r="H582" s="30"/>
      <c r="I58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430.34</v>
      </c>
    </row>
    <row r="583" spans="1:9" x14ac:dyDescent="0.3">
      <c r="A583" s="44" t="s">
        <v>51</v>
      </c>
      <c r="B583" s="45" t="s">
        <v>16</v>
      </c>
      <c r="C583" s="45">
        <v>1</v>
      </c>
      <c r="D583" s="148">
        <v>150.12</v>
      </c>
      <c r="E583" s="149">
        <v>180.14</v>
      </c>
      <c r="F583" s="45">
        <v>60</v>
      </c>
      <c r="G583" s="150">
        <v>45901</v>
      </c>
      <c r="H583" s="30"/>
      <c r="I58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180.14</v>
      </c>
    </row>
    <row r="584" spans="1:9" x14ac:dyDescent="0.3">
      <c r="A584" s="44" t="s">
        <v>73</v>
      </c>
      <c r="B584" s="45" t="s">
        <v>1</v>
      </c>
      <c r="C584" s="45">
        <v>1</v>
      </c>
      <c r="D584" s="148">
        <v>1895.57</v>
      </c>
      <c r="E584" s="149">
        <v>2274.6799999999998</v>
      </c>
      <c r="F584" s="45">
        <v>800</v>
      </c>
      <c r="G584" s="150">
        <v>45901</v>
      </c>
      <c r="H584" s="30"/>
      <c r="I58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2274.6799999999998</v>
      </c>
    </row>
    <row r="585" spans="1:9" x14ac:dyDescent="0.3">
      <c r="A585" s="44" t="s">
        <v>73</v>
      </c>
      <c r="B585" s="45" t="s">
        <v>2</v>
      </c>
      <c r="C585" s="45">
        <v>1</v>
      </c>
      <c r="D585" s="148">
        <v>735</v>
      </c>
      <c r="E585" s="149">
        <v>882</v>
      </c>
      <c r="F585" s="45">
        <v>400</v>
      </c>
      <c r="G585" s="150">
        <v>45901</v>
      </c>
      <c r="H585" s="30"/>
      <c r="I58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882</v>
      </c>
    </row>
    <row r="586" spans="1:9" x14ac:dyDescent="0.3">
      <c r="A586" s="44" t="s">
        <v>73</v>
      </c>
      <c r="B586" s="45" t="s">
        <v>16</v>
      </c>
      <c r="C586" s="45">
        <v>1</v>
      </c>
      <c r="D586" s="148">
        <v>318.81</v>
      </c>
      <c r="E586" s="149">
        <v>382.57</v>
      </c>
      <c r="F586" s="45">
        <v>60</v>
      </c>
      <c r="G586" s="150">
        <v>45901</v>
      </c>
      <c r="H586" s="30"/>
      <c r="I58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382.57</v>
      </c>
    </row>
    <row r="587" spans="1:9" x14ac:dyDescent="0.3">
      <c r="A587" s="157" t="s">
        <v>246</v>
      </c>
      <c r="B587" s="158"/>
      <c r="C587" s="158"/>
      <c r="D587" s="166">
        <v>13.01</v>
      </c>
      <c r="E587" s="167">
        <v>15.61</v>
      </c>
      <c r="F587" s="45">
        <v>60</v>
      </c>
      <c r="G587" s="150">
        <v>45901</v>
      </c>
      <c r="H587" s="30"/>
      <c r="I58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15.61</v>
      </c>
    </row>
    <row r="588" spans="1:9" x14ac:dyDescent="0.3">
      <c r="A588" s="162" t="s">
        <v>257</v>
      </c>
      <c r="B588" s="148" t="s">
        <v>1</v>
      </c>
      <c r="C588" s="148">
        <v>1</v>
      </c>
      <c r="D588" s="148">
        <v>202.5</v>
      </c>
      <c r="E588" s="149">
        <v>243</v>
      </c>
      <c r="F588" s="148">
        <v>800</v>
      </c>
      <c r="G588" s="150">
        <v>45901</v>
      </c>
      <c r="H588" s="150"/>
      <c r="I58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243</v>
      </c>
    </row>
    <row r="589" spans="1:9" x14ac:dyDescent="0.3">
      <c r="A589" s="162" t="s">
        <v>257</v>
      </c>
      <c r="B589" s="148" t="s">
        <v>1</v>
      </c>
      <c r="C589" s="148">
        <v>2</v>
      </c>
      <c r="D589" s="148">
        <v>168.84</v>
      </c>
      <c r="E589" s="149">
        <v>202.61</v>
      </c>
      <c r="F589" s="148">
        <v>800</v>
      </c>
      <c r="G589" s="150">
        <v>45901</v>
      </c>
      <c r="H589" s="150"/>
      <c r="I58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405.22</v>
      </c>
    </row>
    <row r="590" spans="1:9" x14ac:dyDescent="0.3">
      <c r="A590" s="162" t="s">
        <v>257</v>
      </c>
      <c r="B590" s="148" t="s">
        <v>1</v>
      </c>
      <c r="C590" s="148">
        <v>3</v>
      </c>
      <c r="D590" s="148">
        <v>132.02000000000001</v>
      </c>
      <c r="E590" s="149">
        <v>158.41999999999999</v>
      </c>
      <c r="F590" s="148">
        <v>800</v>
      </c>
      <c r="G590" s="150">
        <v>45901</v>
      </c>
      <c r="H590" s="150"/>
      <c r="I59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475.27</v>
      </c>
    </row>
    <row r="591" spans="1:9" x14ac:dyDescent="0.3">
      <c r="A591" s="162" t="s">
        <v>257</v>
      </c>
      <c r="B591" s="148" t="s">
        <v>1</v>
      </c>
      <c r="C591" s="148">
        <v>4</v>
      </c>
      <c r="D591" s="148">
        <v>114.65</v>
      </c>
      <c r="E591" s="149">
        <v>137.58000000000001</v>
      </c>
      <c r="F591" s="148">
        <v>800</v>
      </c>
      <c r="G591" s="150">
        <v>45901</v>
      </c>
      <c r="H591" s="150"/>
      <c r="I59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550.32000000000005</v>
      </c>
    </row>
    <row r="592" spans="1:9" x14ac:dyDescent="0.3">
      <c r="A592" s="162" t="s">
        <v>257</v>
      </c>
      <c r="B592" s="148" t="s">
        <v>1</v>
      </c>
      <c r="C592" s="148">
        <v>5</v>
      </c>
      <c r="D592" s="148">
        <v>99.2</v>
      </c>
      <c r="E592" s="149">
        <v>119.04</v>
      </c>
      <c r="F592" s="148">
        <v>800</v>
      </c>
      <c r="G592" s="150">
        <v>45901</v>
      </c>
      <c r="H592" s="150"/>
      <c r="I59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595.20000000000005</v>
      </c>
    </row>
    <row r="593" spans="1:9" x14ac:dyDescent="0.3">
      <c r="A593" s="162" t="s">
        <v>257</v>
      </c>
      <c r="B593" s="148" t="s">
        <v>2</v>
      </c>
      <c r="C593" s="148">
        <v>1</v>
      </c>
      <c r="D593" s="148">
        <v>120.03</v>
      </c>
      <c r="E593" s="149">
        <v>144.04</v>
      </c>
      <c r="F593" s="148">
        <v>400</v>
      </c>
      <c r="G593" s="150">
        <v>45901</v>
      </c>
      <c r="H593" s="150"/>
      <c r="I59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144.04</v>
      </c>
    </row>
    <row r="594" spans="1:9" x14ac:dyDescent="0.3">
      <c r="A594" s="162" t="s">
        <v>257</v>
      </c>
      <c r="B594" s="148" t="s">
        <v>2</v>
      </c>
      <c r="C594" s="148">
        <v>2</v>
      </c>
      <c r="D594" s="148">
        <v>99.91</v>
      </c>
      <c r="E594" s="149">
        <v>119.89</v>
      </c>
      <c r="F594" s="148">
        <v>400</v>
      </c>
      <c r="G594" s="150">
        <v>45901</v>
      </c>
      <c r="H594" s="150"/>
      <c r="I59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239.78</v>
      </c>
    </row>
    <row r="595" spans="1:9" x14ac:dyDescent="0.3">
      <c r="A595" s="162" t="s">
        <v>257</v>
      </c>
      <c r="B595" s="148" t="s">
        <v>2</v>
      </c>
      <c r="C595" s="148">
        <v>3</v>
      </c>
      <c r="D595" s="148">
        <v>77.900000000000006</v>
      </c>
      <c r="E595" s="149">
        <v>93.48</v>
      </c>
      <c r="F595" s="148">
        <v>400</v>
      </c>
      <c r="G595" s="150">
        <v>45901</v>
      </c>
      <c r="H595" s="150"/>
      <c r="I59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280.44</v>
      </c>
    </row>
    <row r="596" spans="1:9" x14ac:dyDescent="0.3">
      <c r="A596" s="162" t="s">
        <v>257</v>
      </c>
      <c r="B596" s="148" t="s">
        <v>2</v>
      </c>
      <c r="C596" s="148">
        <v>4</v>
      </c>
      <c r="D596" s="148">
        <v>67.5</v>
      </c>
      <c r="E596" s="149">
        <v>81</v>
      </c>
      <c r="F596" s="148">
        <v>400</v>
      </c>
      <c r="G596" s="150">
        <v>45901</v>
      </c>
      <c r="H596" s="150"/>
      <c r="I59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324</v>
      </c>
    </row>
    <row r="597" spans="1:9" x14ac:dyDescent="0.3">
      <c r="A597" s="162" t="s">
        <v>257</v>
      </c>
      <c r="B597" s="148" t="s">
        <v>2</v>
      </c>
      <c r="C597" s="148">
        <v>5</v>
      </c>
      <c r="D597" s="148">
        <v>58.26</v>
      </c>
      <c r="E597" s="149">
        <v>69.91</v>
      </c>
      <c r="F597" s="148">
        <v>400</v>
      </c>
      <c r="G597" s="150">
        <v>45901</v>
      </c>
      <c r="H597" s="150"/>
      <c r="I59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349.56</v>
      </c>
    </row>
    <row r="598" spans="1:9" x14ac:dyDescent="0.3">
      <c r="A598" s="162" t="s">
        <v>257</v>
      </c>
      <c r="B598" s="148" t="s">
        <v>3</v>
      </c>
      <c r="C598" s="148">
        <v>1</v>
      </c>
      <c r="D598" s="148">
        <v>31.28</v>
      </c>
      <c r="E598" s="149">
        <v>37.54</v>
      </c>
      <c r="F598" s="148">
        <v>60</v>
      </c>
      <c r="G598" s="150">
        <v>45901</v>
      </c>
      <c r="H598" s="150"/>
      <c r="I59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37.54</v>
      </c>
    </row>
    <row r="599" spans="1:9" x14ac:dyDescent="0.3">
      <c r="A599" s="162" t="s">
        <v>257</v>
      </c>
      <c r="B599" s="148" t="s">
        <v>3</v>
      </c>
      <c r="C599" s="148">
        <v>2</v>
      </c>
      <c r="D599" s="148">
        <v>28.75</v>
      </c>
      <c r="E599" s="149">
        <v>34.5</v>
      </c>
      <c r="F599" s="148">
        <v>60</v>
      </c>
      <c r="G599" s="150">
        <v>45901</v>
      </c>
      <c r="H599" s="150"/>
      <c r="I59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69</v>
      </c>
    </row>
    <row r="600" spans="1:9" x14ac:dyDescent="0.3">
      <c r="A600" s="162" t="s">
        <v>257</v>
      </c>
      <c r="B600" s="148" t="s">
        <v>3</v>
      </c>
      <c r="C600" s="148">
        <v>3</v>
      </c>
      <c r="D600" s="148">
        <v>28.56</v>
      </c>
      <c r="E600" s="149">
        <v>34.270000000000003</v>
      </c>
      <c r="F600" s="148">
        <v>60</v>
      </c>
      <c r="G600" s="150">
        <v>45901</v>
      </c>
      <c r="H600" s="150"/>
      <c r="I60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102.82</v>
      </c>
    </row>
    <row r="601" spans="1:9" x14ac:dyDescent="0.3">
      <c r="A601" s="162" t="s">
        <v>258</v>
      </c>
      <c r="B601" s="148" t="s">
        <v>1</v>
      </c>
      <c r="C601" s="148">
        <v>1</v>
      </c>
      <c r="D601" s="148">
        <v>250.04</v>
      </c>
      <c r="E601" s="149">
        <v>300.05</v>
      </c>
      <c r="F601" s="148">
        <v>800</v>
      </c>
      <c r="G601" s="150">
        <v>45901</v>
      </c>
      <c r="H601" s="150"/>
      <c r="I60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300.05</v>
      </c>
    </row>
    <row r="602" spans="1:9" x14ac:dyDescent="0.3">
      <c r="A602" s="162" t="s">
        <v>258</v>
      </c>
      <c r="B602" s="148" t="s">
        <v>1</v>
      </c>
      <c r="C602" s="148">
        <v>2</v>
      </c>
      <c r="D602" s="148">
        <v>208.54</v>
      </c>
      <c r="E602" s="149">
        <v>250.25</v>
      </c>
      <c r="F602" s="148">
        <v>800</v>
      </c>
      <c r="G602" s="150">
        <v>45901</v>
      </c>
      <c r="H602" s="150"/>
      <c r="I60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500.5</v>
      </c>
    </row>
    <row r="603" spans="1:9" x14ac:dyDescent="0.3">
      <c r="A603" s="162" t="s">
        <v>258</v>
      </c>
      <c r="B603" s="148" t="s">
        <v>1</v>
      </c>
      <c r="C603" s="148">
        <v>3</v>
      </c>
      <c r="D603" s="148">
        <v>163.03</v>
      </c>
      <c r="E603" s="149">
        <v>195.64</v>
      </c>
      <c r="F603" s="148">
        <v>800</v>
      </c>
      <c r="G603" s="150">
        <v>45901</v>
      </c>
      <c r="H603" s="150"/>
      <c r="I60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586.91</v>
      </c>
    </row>
    <row r="604" spans="1:9" x14ac:dyDescent="0.3">
      <c r="A604" s="162" t="s">
        <v>258</v>
      </c>
      <c r="B604" s="148" t="s">
        <v>1</v>
      </c>
      <c r="C604" s="148">
        <v>4</v>
      </c>
      <c r="D604" s="148">
        <v>141.55000000000001</v>
      </c>
      <c r="E604" s="149">
        <v>169.86</v>
      </c>
      <c r="F604" s="148">
        <v>800</v>
      </c>
      <c r="G604" s="150">
        <v>45901</v>
      </c>
      <c r="H604" s="150"/>
      <c r="I60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679.44</v>
      </c>
    </row>
    <row r="605" spans="1:9" x14ac:dyDescent="0.3">
      <c r="A605" s="162" t="s">
        <v>258</v>
      </c>
      <c r="B605" s="148" t="s">
        <v>1</v>
      </c>
      <c r="C605" s="148">
        <v>5</v>
      </c>
      <c r="D605" s="148">
        <v>122.45</v>
      </c>
      <c r="E605" s="149">
        <v>146.94</v>
      </c>
      <c r="F605" s="148">
        <v>800</v>
      </c>
      <c r="G605" s="150">
        <v>45901</v>
      </c>
      <c r="H605" s="150"/>
      <c r="I60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734.7</v>
      </c>
    </row>
    <row r="606" spans="1:9" x14ac:dyDescent="0.3">
      <c r="A606" s="162" t="s">
        <v>258</v>
      </c>
      <c r="B606" s="148" t="s">
        <v>1</v>
      </c>
      <c r="C606" s="148">
        <v>6</v>
      </c>
      <c r="D606" s="148">
        <v>121.75</v>
      </c>
      <c r="E606" s="149">
        <v>146.1</v>
      </c>
      <c r="F606" s="148">
        <v>800</v>
      </c>
      <c r="G606" s="150">
        <v>45901</v>
      </c>
      <c r="H606" s="150"/>
      <c r="I60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876.6</v>
      </c>
    </row>
    <row r="607" spans="1:9" x14ac:dyDescent="0.3">
      <c r="A607" s="162" t="s">
        <v>258</v>
      </c>
      <c r="B607" s="148" t="s">
        <v>1</v>
      </c>
      <c r="C607" s="148">
        <v>7</v>
      </c>
      <c r="D607" s="148">
        <v>118.72</v>
      </c>
      <c r="E607" s="149">
        <v>142.46</v>
      </c>
      <c r="F607" s="148">
        <v>800</v>
      </c>
      <c r="G607" s="150">
        <v>45901</v>
      </c>
      <c r="H607" s="150"/>
      <c r="I60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997.25</v>
      </c>
    </row>
    <row r="608" spans="1:9" x14ac:dyDescent="0.3">
      <c r="A608" s="162" t="s">
        <v>258</v>
      </c>
      <c r="B608" s="148" t="s">
        <v>1</v>
      </c>
      <c r="C608" s="148">
        <v>8</v>
      </c>
      <c r="D608" s="148">
        <v>115.73</v>
      </c>
      <c r="E608" s="149">
        <v>138.88</v>
      </c>
      <c r="F608" s="148">
        <v>800</v>
      </c>
      <c r="G608" s="150">
        <v>45901</v>
      </c>
      <c r="H608" s="150"/>
      <c r="I60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1111.01</v>
      </c>
    </row>
    <row r="609" spans="1:9" x14ac:dyDescent="0.3">
      <c r="A609" s="162" t="s">
        <v>258</v>
      </c>
      <c r="B609" s="148" t="s">
        <v>1</v>
      </c>
      <c r="C609" s="148">
        <v>9</v>
      </c>
      <c r="D609" s="148">
        <v>112.84</v>
      </c>
      <c r="E609" s="149">
        <v>135.41</v>
      </c>
      <c r="F609" s="148">
        <v>800</v>
      </c>
      <c r="G609" s="150">
        <v>45901</v>
      </c>
      <c r="H609" s="150"/>
      <c r="I60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1218.67</v>
      </c>
    </row>
    <row r="610" spans="1:9" x14ac:dyDescent="0.3">
      <c r="A610" s="162" t="s">
        <v>258</v>
      </c>
      <c r="B610" s="148" t="s">
        <v>1</v>
      </c>
      <c r="C610" s="148">
        <v>10</v>
      </c>
      <c r="D610" s="148">
        <v>110.02</v>
      </c>
      <c r="E610" s="149">
        <v>132.02000000000001</v>
      </c>
      <c r="F610" s="148">
        <v>800</v>
      </c>
      <c r="G610" s="150">
        <v>45901</v>
      </c>
      <c r="H610" s="150"/>
      <c r="I61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1320.24</v>
      </c>
    </row>
    <row r="611" spans="1:9" x14ac:dyDescent="0.3">
      <c r="A611" s="162" t="s">
        <v>258</v>
      </c>
      <c r="B611" s="148" t="s">
        <v>2</v>
      </c>
      <c r="C611" s="148">
        <v>1</v>
      </c>
      <c r="D611" s="148">
        <v>137.86000000000001</v>
      </c>
      <c r="E611" s="149">
        <v>165.43</v>
      </c>
      <c r="F611" s="148">
        <v>400</v>
      </c>
      <c r="G611" s="150">
        <v>45901</v>
      </c>
      <c r="H611" s="150"/>
      <c r="I61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165.43</v>
      </c>
    </row>
    <row r="612" spans="1:9" x14ac:dyDescent="0.3">
      <c r="A612" s="162" t="s">
        <v>258</v>
      </c>
      <c r="B612" s="148" t="s">
        <v>2</v>
      </c>
      <c r="C612" s="148">
        <v>2</v>
      </c>
      <c r="D612" s="148">
        <v>114.66</v>
      </c>
      <c r="E612" s="149">
        <v>137.59</v>
      </c>
      <c r="F612" s="148">
        <v>400</v>
      </c>
      <c r="G612" s="150">
        <v>45901</v>
      </c>
      <c r="H612" s="150"/>
      <c r="I61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275.18</v>
      </c>
    </row>
    <row r="613" spans="1:9" x14ac:dyDescent="0.3">
      <c r="A613" s="162" t="s">
        <v>258</v>
      </c>
      <c r="B613" s="148" t="s">
        <v>2</v>
      </c>
      <c r="C613" s="148">
        <v>3</v>
      </c>
      <c r="D613" s="148">
        <v>89.42</v>
      </c>
      <c r="E613" s="149">
        <v>107.3</v>
      </c>
      <c r="F613" s="148">
        <v>400</v>
      </c>
      <c r="G613" s="150">
        <v>45901</v>
      </c>
      <c r="H613" s="150"/>
      <c r="I61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321.91000000000003</v>
      </c>
    </row>
    <row r="614" spans="1:9" x14ac:dyDescent="0.3">
      <c r="A614" s="162" t="s">
        <v>258</v>
      </c>
      <c r="B614" s="148" t="s">
        <v>2</v>
      </c>
      <c r="C614" s="148">
        <v>4</v>
      </c>
      <c r="D614" s="148">
        <v>77.45</v>
      </c>
      <c r="E614" s="149">
        <v>92.94</v>
      </c>
      <c r="F614" s="148">
        <v>400</v>
      </c>
      <c r="G614" s="150">
        <v>45901</v>
      </c>
      <c r="H614" s="150"/>
      <c r="I61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371.76</v>
      </c>
    </row>
    <row r="615" spans="1:9" x14ac:dyDescent="0.3">
      <c r="A615" s="162" t="s">
        <v>258</v>
      </c>
      <c r="B615" s="148" t="s">
        <v>2</v>
      </c>
      <c r="C615" s="148">
        <v>5</v>
      </c>
      <c r="D615" s="148">
        <v>66.819999999999993</v>
      </c>
      <c r="E615" s="149">
        <v>80.180000000000007</v>
      </c>
      <c r="F615" s="148">
        <v>400</v>
      </c>
      <c r="G615" s="150">
        <v>45901</v>
      </c>
      <c r="H615" s="150"/>
      <c r="I61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400.92</v>
      </c>
    </row>
    <row r="616" spans="1:9" x14ac:dyDescent="0.3">
      <c r="A616" s="162" t="s">
        <v>258</v>
      </c>
      <c r="B616" s="148" t="s">
        <v>2</v>
      </c>
      <c r="C616" s="148">
        <v>6</v>
      </c>
      <c r="D616" s="148">
        <v>66.45</v>
      </c>
      <c r="E616" s="149">
        <v>79.739999999999995</v>
      </c>
      <c r="F616" s="148">
        <v>400</v>
      </c>
      <c r="G616" s="150">
        <v>45901</v>
      </c>
      <c r="H616" s="150"/>
      <c r="I61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478.44</v>
      </c>
    </row>
    <row r="617" spans="1:9" x14ac:dyDescent="0.3">
      <c r="A617" s="162" t="s">
        <v>258</v>
      </c>
      <c r="B617" s="148" t="s">
        <v>2</v>
      </c>
      <c r="C617" s="148">
        <v>7</v>
      </c>
      <c r="D617" s="148">
        <v>64.790000000000006</v>
      </c>
      <c r="E617" s="149">
        <v>77.75</v>
      </c>
      <c r="F617" s="148">
        <v>400</v>
      </c>
      <c r="G617" s="150">
        <v>45901</v>
      </c>
      <c r="H617" s="150"/>
      <c r="I61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544.24</v>
      </c>
    </row>
    <row r="618" spans="1:9" x14ac:dyDescent="0.3">
      <c r="A618" s="162" t="s">
        <v>258</v>
      </c>
      <c r="B618" s="148" t="s">
        <v>2</v>
      </c>
      <c r="C618" s="148">
        <v>8</v>
      </c>
      <c r="D618" s="148">
        <v>63.18</v>
      </c>
      <c r="E618" s="149">
        <v>75.819999999999993</v>
      </c>
      <c r="F618" s="148">
        <v>400</v>
      </c>
      <c r="G618" s="150">
        <v>45901</v>
      </c>
      <c r="H618" s="150"/>
      <c r="I61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606.53</v>
      </c>
    </row>
    <row r="619" spans="1:9" x14ac:dyDescent="0.3">
      <c r="A619" s="162" t="s">
        <v>258</v>
      </c>
      <c r="B619" s="148" t="s">
        <v>2</v>
      </c>
      <c r="C619" s="148">
        <v>9</v>
      </c>
      <c r="D619" s="148">
        <v>61.59</v>
      </c>
      <c r="E619" s="149">
        <v>73.91</v>
      </c>
      <c r="F619" s="148">
        <v>400</v>
      </c>
      <c r="G619" s="150">
        <v>45901</v>
      </c>
      <c r="H619" s="150"/>
      <c r="I61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665.17</v>
      </c>
    </row>
    <row r="620" spans="1:9" x14ac:dyDescent="0.3">
      <c r="A620" s="162" t="s">
        <v>258</v>
      </c>
      <c r="B620" s="148" t="s">
        <v>2</v>
      </c>
      <c r="C620" s="148">
        <v>10</v>
      </c>
      <c r="D620" s="148">
        <v>60.07</v>
      </c>
      <c r="E620" s="149">
        <v>72.08</v>
      </c>
      <c r="F620" s="148">
        <v>400</v>
      </c>
      <c r="G620" s="150">
        <v>45901</v>
      </c>
      <c r="H620" s="150"/>
      <c r="I62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720.84</v>
      </c>
    </row>
    <row r="621" spans="1:9" x14ac:dyDescent="0.3">
      <c r="A621" s="162" t="s">
        <v>258</v>
      </c>
      <c r="B621" s="148" t="s">
        <v>16</v>
      </c>
      <c r="C621" s="148">
        <v>1</v>
      </c>
      <c r="D621" s="148">
        <v>36.159999999999997</v>
      </c>
      <c r="E621" s="149">
        <v>43.39</v>
      </c>
      <c r="F621" s="148">
        <v>60</v>
      </c>
      <c r="G621" s="150">
        <v>45901</v>
      </c>
      <c r="H621" s="150"/>
      <c r="I62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43.39</v>
      </c>
    </row>
    <row r="622" spans="1:9" x14ac:dyDescent="0.3">
      <c r="A622" s="162" t="s">
        <v>258</v>
      </c>
      <c r="B622" s="148" t="s">
        <v>16</v>
      </c>
      <c r="C622" s="148">
        <v>2</v>
      </c>
      <c r="D622" s="148">
        <v>33.21</v>
      </c>
      <c r="E622" s="149">
        <v>39.85</v>
      </c>
      <c r="F622" s="148">
        <v>60</v>
      </c>
      <c r="G622" s="150">
        <v>45901</v>
      </c>
      <c r="H622" s="150"/>
      <c r="I62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79.7</v>
      </c>
    </row>
    <row r="623" spans="1:9" x14ac:dyDescent="0.3">
      <c r="A623" s="162" t="s">
        <v>258</v>
      </c>
      <c r="B623" s="148" t="s">
        <v>16</v>
      </c>
      <c r="C623" s="148">
        <v>3</v>
      </c>
      <c r="D623" s="148">
        <v>33.020000000000003</v>
      </c>
      <c r="E623" s="149">
        <v>39.619999999999997</v>
      </c>
      <c r="F623" s="148">
        <v>60</v>
      </c>
      <c r="G623" s="150">
        <v>45901</v>
      </c>
      <c r="H623" s="150"/>
      <c r="I62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118.87</v>
      </c>
    </row>
    <row r="624" spans="1:9" x14ac:dyDescent="0.3">
      <c r="A624" s="162" t="s">
        <v>258</v>
      </c>
      <c r="B624" s="148" t="s">
        <v>16</v>
      </c>
      <c r="C624" s="148">
        <v>4</v>
      </c>
      <c r="D624" s="148">
        <v>32.869999999999997</v>
      </c>
      <c r="E624" s="149">
        <v>39.44</v>
      </c>
      <c r="F624" s="148">
        <v>60</v>
      </c>
      <c r="G624" s="150">
        <v>45901</v>
      </c>
      <c r="H624" s="150"/>
      <c r="I62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157.78</v>
      </c>
    </row>
    <row r="625" spans="1:9" x14ac:dyDescent="0.3">
      <c r="A625" s="162" t="s">
        <v>258</v>
      </c>
      <c r="B625" s="148" t="s">
        <v>16</v>
      </c>
      <c r="C625" s="148">
        <v>5</v>
      </c>
      <c r="D625" s="148">
        <v>32.65</v>
      </c>
      <c r="E625" s="149">
        <v>39.18</v>
      </c>
      <c r="F625" s="148">
        <v>60</v>
      </c>
      <c r="G625" s="150">
        <v>45901</v>
      </c>
      <c r="H625" s="150"/>
      <c r="I62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195.9</v>
      </c>
    </row>
    <row r="626" spans="1:9" x14ac:dyDescent="0.3">
      <c r="A626" s="162" t="s">
        <v>259</v>
      </c>
      <c r="B626" s="148" t="s">
        <v>1</v>
      </c>
      <c r="C626" s="148">
        <v>1</v>
      </c>
      <c r="D626" s="148">
        <v>577.54</v>
      </c>
      <c r="E626" s="149">
        <v>693.05</v>
      </c>
      <c r="F626" s="148">
        <v>800</v>
      </c>
      <c r="G626" s="150">
        <v>45901</v>
      </c>
      <c r="H626" s="150"/>
      <c r="I62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693.05</v>
      </c>
    </row>
    <row r="627" spans="1:9" x14ac:dyDescent="0.3">
      <c r="A627" s="162" t="s">
        <v>259</v>
      </c>
      <c r="B627" s="148" t="s">
        <v>1</v>
      </c>
      <c r="C627" s="148">
        <v>2</v>
      </c>
      <c r="D627" s="148">
        <v>481.69</v>
      </c>
      <c r="E627" s="149">
        <v>578.03</v>
      </c>
      <c r="F627" s="148">
        <v>800</v>
      </c>
      <c r="G627" s="150">
        <v>45901</v>
      </c>
      <c r="H627" s="150"/>
      <c r="I62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1156.06</v>
      </c>
    </row>
    <row r="628" spans="1:9" x14ac:dyDescent="0.3">
      <c r="A628" s="162" t="s">
        <v>259</v>
      </c>
      <c r="B628" s="148" t="s">
        <v>1</v>
      </c>
      <c r="C628" s="148">
        <v>3</v>
      </c>
      <c r="D628" s="148">
        <v>376.5</v>
      </c>
      <c r="E628" s="149">
        <v>451.8</v>
      </c>
      <c r="F628" s="148">
        <v>800</v>
      </c>
      <c r="G628" s="150">
        <v>45901</v>
      </c>
      <c r="H628" s="150"/>
      <c r="I62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1355.4</v>
      </c>
    </row>
    <row r="629" spans="1:9" x14ac:dyDescent="0.3">
      <c r="A629" s="162" t="s">
        <v>259</v>
      </c>
      <c r="B629" s="148" t="s">
        <v>1</v>
      </c>
      <c r="C629" s="148">
        <v>4</v>
      </c>
      <c r="D629" s="148">
        <v>327.06</v>
      </c>
      <c r="E629" s="149">
        <v>392.47</v>
      </c>
      <c r="F629" s="148">
        <v>800</v>
      </c>
      <c r="G629" s="150">
        <v>45901</v>
      </c>
      <c r="H629" s="150"/>
      <c r="I62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1569.89</v>
      </c>
    </row>
    <row r="630" spans="1:9" x14ac:dyDescent="0.3">
      <c r="A630" s="162" t="s">
        <v>259</v>
      </c>
      <c r="B630" s="148" t="s">
        <v>1</v>
      </c>
      <c r="C630" s="148">
        <v>5</v>
      </c>
      <c r="D630" s="148">
        <v>282.85000000000002</v>
      </c>
      <c r="E630" s="149">
        <v>339.42</v>
      </c>
      <c r="F630" s="148">
        <v>800</v>
      </c>
      <c r="G630" s="150">
        <v>45901</v>
      </c>
      <c r="H630" s="150"/>
      <c r="I63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1697.1</v>
      </c>
    </row>
    <row r="631" spans="1:9" x14ac:dyDescent="0.3">
      <c r="A631" s="162" t="s">
        <v>259</v>
      </c>
      <c r="B631" s="148" t="s">
        <v>1</v>
      </c>
      <c r="C631" s="148">
        <v>6</v>
      </c>
      <c r="D631" s="148">
        <v>250.56</v>
      </c>
      <c r="E631" s="149">
        <v>300.67</v>
      </c>
      <c r="F631" s="148">
        <v>800</v>
      </c>
      <c r="G631" s="150">
        <v>45901</v>
      </c>
      <c r="H631" s="150"/>
      <c r="I63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1804.03</v>
      </c>
    </row>
    <row r="632" spans="1:9" x14ac:dyDescent="0.3">
      <c r="A632" s="162" t="s">
        <v>259</v>
      </c>
      <c r="B632" s="148" t="s">
        <v>1</v>
      </c>
      <c r="C632" s="148">
        <v>7</v>
      </c>
      <c r="D632" s="148">
        <v>221.39</v>
      </c>
      <c r="E632" s="149">
        <v>265.67</v>
      </c>
      <c r="F632" s="148">
        <v>800</v>
      </c>
      <c r="G632" s="150">
        <v>45901</v>
      </c>
      <c r="H632" s="150"/>
      <c r="I63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1859.68</v>
      </c>
    </row>
    <row r="633" spans="1:9" x14ac:dyDescent="0.3">
      <c r="A633" s="162" t="s">
        <v>259</v>
      </c>
      <c r="B633" s="148" t="s">
        <v>1</v>
      </c>
      <c r="C633" s="148">
        <v>8</v>
      </c>
      <c r="D633" s="148">
        <v>198.05</v>
      </c>
      <c r="E633" s="149">
        <v>237.66</v>
      </c>
      <c r="F633" s="148">
        <v>800</v>
      </c>
      <c r="G633" s="150">
        <v>45901</v>
      </c>
      <c r="H633" s="150"/>
      <c r="I63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1901.28</v>
      </c>
    </row>
    <row r="634" spans="1:9" x14ac:dyDescent="0.3">
      <c r="A634" s="162" t="s">
        <v>259</v>
      </c>
      <c r="B634" s="148" t="s">
        <v>1</v>
      </c>
      <c r="C634" s="148">
        <v>9</v>
      </c>
      <c r="D634" s="148">
        <v>180.33</v>
      </c>
      <c r="E634" s="149">
        <v>216.4</v>
      </c>
      <c r="F634" s="148">
        <v>800</v>
      </c>
      <c r="G634" s="150">
        <v>45901</v>
      </c>
      <c r="H634" s="150"/>
      <c r="I63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1947.56</v>
      </c>
    </row>
    <row r="635" spans="1:9" x14ac:dyDescent="0.3">
      <c r="A635" s="162" t="s">
        <v>259</v>
      </c>
      <c r="B635" s="148" t="s">
        <v>1</v>
      </c>
      <c r="C635" s="148">
        <v>10</v>
      </c>
      <c r="D635" s="148">
        <v>168.48</v>
      </c>
      <c r="E635" s="149">
        <v>202.18</v>
      </c>
      <c r="F635" s="148">
        <v>800</v>
      </c>
      <c r="G635" s="150">
        <v>45901</v>
      </c>
      <c r="H635" s="150"/>
      <c r="I63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2021.76</v>
      </c>
    </row>
    <row r="636" spans="1:9" x14ac:dyDescent="0.3">
      <c r="A636" s="162" t="s">
        <v>259</v>
      </c>
      <c r="B636" s="148" t="s">
        <v>2</v>
      </c>
      <c r="C636" s="148">
        <v>1</v>
      </c>
      <c r="D636" s="148">
        <v>272.77</v>
      </c>
      <c r="E636" s="149">
        <v>327.32</v>
      </c>
      <c r="F636" s="148">
        <v>400</v>
      </c>
      <c r="G636" s="150">
        <v>45901</v>
      </c>
      <c r="H636" s="150"/>
      <c r="I63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327.32</v>
      </c>
    </row>
    <row r="637" spans="1:9" x14ac:dyDescent="0.3">
      <c r="A637" s="162" t="s">
        <v>259</v>
      </c>
      <c r="B637" s="148" t="s">
        <v>2</v>
      </c>
      <c r="C637" s="148">
        <v>2</v>
      </c>
      <c r="D637" s="148">
        <v>226.89</v>
      </c>
      <c r="E637" s="149">
        <v>272.27</v>
      </c>
      <c r="F637" s="148">
        <v>400</v>
      </c>
      <c r="G637" s="150">
        <v>45901</v>
      </c>
      <c r="H637" s="150"/>
      <c r="I63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544.54</v>
      </c>
    </row>
    <row r="638" spans="1:9" x14ac:dyDescent="0.3">
      <c r="A638" s="162" t="s">
        <v>259</v>
      </c>
      <c r="B638" s="148" t="s">
        <v>2</v>
      </c>
      <c r="C638" s="148">
        <v>3</v>
      </c>
      <c r="D638" s="148">
        <v>176.97</v>
      </c>
      <c r="E638" s="149">
        <v>212.36</v>
      </c>
      <c r="F638" s="148">
        <v>400</v>
      </c>
      <c r="G638" s="150">
        <v>45901</v>
      </c>
      <c r="H638" s="150"/>
      <c r="I63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637.09</v>
      </c>
    </row>
    <row r="639" spans="1:9" x14ac:dyDescent="0.3">
      <c r="A639" s="162" t="s">
        <v>259</v>
      </c>
      <c r="B639" s="148" t="s">
        <v>2</v>
      </c>
      <c r="C639" s="148">
        <v>4</v>
      </c>
      <c r="D639" s="148">
        <v>153.38</v>
      </c>
      <c r="E639" s="149">
        <v>184.06</v>
      </c>
      <c r="F639" s="148">
        <v>400</v>
      </c>
      <c r="G639" s="150">
        <v>45901</v>
      </c>
      <c r="H639" s="150"/>
      <c r="I63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736.22</v>
      </c>
    </row>
    <row r="640" spans="1:9" x14ac:dyDescent="0.3">
      <c r="A640" s="162" t="s">
        <v>259</v>
      </c>
      <c r="B640" s="148" t="s">
        <v>2</v>
      </c>
      <c r="C640" s="148">
        <v>5</v>
      </c>
      <c r="D640" s="148">
        <v>132.35</v>
      </c>
      <c r="E640" s="149">
        <v>158.82</v>
      </c>
      <c r="F640" s="148">
        <v>400</v>
      </c>
      <c r="G640" s="150">
        <v>45901</v>
      </c>
      <c r="H640" s="150"/>
      <c r="I64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794.1</v>
      </c>
    </row>
    <row r="641" spans="1:9" x14ac:dyDescent="0.3">
      <c r="A641" s="162" t="s">
        <v>259</v>
      </c>
      <c r="B641" s="148" t="s">
        <v>2</v>
      </c>
      <c r="C641" s="148">
        <v>6</v>
      </c>
      <c r="D641" s="148">
        <v>116.92</v>
      </c>
      <c r="E641" s="149">
        <v>140.30000000000001</v>
      </c>
      <c r="F641" s="148">
        <v>400</v>
      </c>
      <c r="G641" s="150">
        <v>45901</v>
      </c>
      <c r="H641" s="150"/>
      <c r="I64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841.82</v>
      </c>
    </row>
    <row r="642" spans="1:9" x14ac:dyDescent="0.3">
      <c r="A642" s="162" t="s">
        <v>259</v>
      </c>
      <c r="B642" s="148" t="s">
        <v>2</v>
      </c>
      <c r="C642" s="148">
        <v>7</v>
      </c>
      <c r="D642" s="148">
        <v>103.03</v>
      </c>
      <c r="E642" s="149">
        <v>123.64</v>
      </c>
      <c r="F642" s="148">
        <v>400</v>
      </c>
      <c r="G642" s="150">
        <v>45901</v>
      </c>
      <c r="H642" s="150"/>
      <c r="I64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865.45</v>
      </c>
    </row>
    <row r="643" spans="1:9" x14ac:dyDescent="0.3">
      <c r="A643" s="162" t="s">
        <v>259</v>
      </c>
      <c r="B643" s="148" t="s">
        <v>2</v>
      </c>
      <c r="C643" s="148">
        <v>8</v>
      </c>
      <c r="D643" s="148">
        <v>91.98</v>
      </c>
      <c r="E643" s="149">
        <v>110.38</v>
      </c>
      <c r="F643" s="148">
        <v>400</v>
      </c>
      <c r="G643" s="150">
        <v>45901</v>
      </c>
      <c r="H643" s="150"/>
      <c r="I64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883.01</v>
      </c>
    </row>
    <row r="644" spans="1:9" x14ac:dyDescent="0.3">
      <c r="A644" s="162" t="s">
        <v>259</v>
      </c>
      <c r="B644" s="148" t="s">
        <v>2</v>
      </c>
      <c r="C644" s="148">
        <v>9</v>
      </c>
      <c r="D644" s="148">
        <v>83.51</v>
      </c>
      <c r="E644" s="149">
        <v>100.21</v>
      </c>
      <c r="F644" s="148">
        <v>400</v>
      </c>
      <c r="G644" s="150">
        <v>45901</v>
      </c>
      <c r="H644" s="150"/>
      <c r="I64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901.91</v>
      </c>
    </row>
    <row r="645" spans="1:9" x14ac:dyDescent="0.3">
      <c r="A645" s="162" t="s">
        <v>259</v>
      </c>
      <c r="B645" s="148" t="s">
        <v>2</v>
      </c>
      <c r="C645" s="148">
        <v>10</v>
      </c>
      <c r="D645" s="148">
        <v>77.8</v>
      </c>
      <c r="E645" s="149">
        <v>93.36</v>
      </c>
      <c r="F645" s="148">
        <v>400</v>
      </c>
      <c r="G645" s="150">
        <v>45901</v>
      </c>
      <c r="H645" s="150"/>
      <c r="I64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933.6</v>
      </c>
    </row>
    <row r="646" spans="1:9" x14ac:dyDescent="0.3">
      <c r="A646" s="162" t="s">
        <v>259</v>
      </c>
      <c r="B646" s="148" t="s">
        <v>16</v>
      </c>
      <c r="C646" s="148">
        <v>1</v>
      </c>
      <c r="D646" s="148">
        <v>47.01</v>
      </c>
      <c r="E646" s="149">
        <v>56.41</v>
      </c>
      <c r="F646" s="148">
        <v>60</v>
      </c>
      <c r="G646" s="150">
        <v>45901</v>
      </c>
      <c r="H646" s="150"/>
      <c r="I64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56.41</v>
      </c>
    </row>
    <row r="647" spans="1:9" x14ac:dyDescent="0.3">
      <c r="A647" s="162" t="s">
        <v>259</v>
      </c>
      <c r="B647" s="148" t="s">
        <v>16</v>
      </c>
      <c r="C647" s="148">
        <v>2</v>
      </c>
      <c r="D647" s="148">
        <v>43.16</v>
      </c>
      <c r="E647" s="149">
        <v>51.79</v>
      </c>
      <c r="F647" s="148">
        <v>60</v>
      </c>
      <c r="G647" s="150">
        <v>45901</v>
      </c>
      <c r="H647" s="150"/>
      <c r="I64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103.58</v>
      </c>
    </row>
    <row r="648" spans="1:9" x14ac:dyDescent="0.3">
      <c r="A648" s="162" t="s">
        <v>259</v>
      </c>
      <c r="B648" s="148" t="s">
        <v>16</v>
      </c>
      <c r="C648" s="148">
        <v>3</v>
      </c>
      <c r="D648" s="148">
        <v>39.64</v>
      </c>
      <c r="E648" s="149">
        <v>47.57</v>
      </c>
      <c r="F648" s="148">
        <v>60</v>
      </c>
      <c r="G648" s="150">
        <v>45901</v>
      </c>
      <c r="H648" s="150"/>
      <c r="I64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142.69999999999999</v>
      </c>
    </row>
    <row r="649" spans="1:9" x14ac:dyDescent="0.3">
      <c r="A649" s="162" t="s">
        <v>259</v>
      </c>
      <c r="B649" s="148" t="s">
        <v>16</v>
      </c>
      <c r="C649" s="148">
        <v>4</v>
      </c>
      <c r="D649" s="148">
        <v>36.33</v>
      </c>
      <c r="E649" s="149">
        <v>43.6</v>
      </c>
      <c r="F649" s="148">
        <v>60</v>
      </c>
      <c r="G649" s="150">
        <v>45901</v>
      </c>
      <c r="H649" s="150"/>
      <c r="I64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174.38</v>
      </c>
    </row>
    <row r="650" spans="1:9" x14ac:dyDescent="0.3">
      <c r="A650" s="162" t="s">
        <v>259</v>
      </c>
      <c r="B650" s="148" t="s">
        <v>16</v>
      </c>
      <c r="C650" s="148">
        <v>5</v>
      </c>
      <c r="D650" s="148">
        <v>33.35</v>
      </c>
      <c r="E650" s="149">
        <v>40.020000000000003</v>
      </c>
      <c r="F650" s="148">
        <v>60</v>
      </c>
      <c r="G650" s="150">
        <v>45901</v>
      </c>
      <c r="H650" s="150"/>
      <c r="I65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200.1</v>
      </c>
    </row>
    <row r="651" spans="1:9" x14ac:dyDescent="0.3">
      <c r="A651" s="162" t="s">
        <v>259</v>
      </c>
      <c r="B651" s="148" t="s">
        <v>16</v>
      </c>
      <c r="C651" s="148">
        <v>6</v>
      </c>
      <c r="D651" s="148">
        <v>30.63</v>
      </c>
      <c r="E651" s="149">
        <v>36.76</v>
      </c>
      <c r="F651" s="148">
        <v>60</v>
      </c>
      <c r="G651" s="150">
        <v>45901</v>
      </c>
      <c r="H651" s="150"/>
      <c r="I65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220.54</v>
      </c>
    </row>
    <row r="652" spans="1:9" x14ac:dyDescent="0.3">
      <c r="A652" s="162" t="s">
        <v>259</v>
      </c>
      <c r="B652" s="148" t="s">
        <v>16</v>
      </c>
      <c r="C652" s="148">
        <v>7</v>
      </c>
      <c r="D652" s="148">
        <v>27.56</v>
      </c>
      <c r="E652" s="149">
        <v>33.07</v>
      </c>
      <c r="F652" s="148">
        <v>60</v>
      </c>
      <c r="G652" s="150">
        <v>45901</v>
      </c>
      <c r="H652" s="150"/>
      <c r="I65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231.5</v>
      </c>
    </row>
    <row r="653" spans="1:9" x14ac:dyDescent="0.3">
      <c r="A653" s="162" t="s">
        <v>259</v>
      </c>
      <c r="B653" s="148" t="s">
        <v>16</v>
      </c>
      <c r="C653" s="148">
        <v>8</v>
      </c>
      <c r="D653" s="148">
        <v>24.78</v>
      </c>
      <c r="E653" s="149">
        <v>29.74</v>
      </c>
      <c r="F653" s="148">
        <v>60</v>
      </c>
      <c r="G653" s="150">
        <v>45901</v>
      </c>
      <c r="H653" s="150"/>
      <c r="I65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237.89</v>
      </c>
    </row>
    <row r="654" spans="1:9" x14ac:dyDescent="0.3">
      <c r="A654" s="162" t="s">
        <v>259</v>
      </c>
      <c r="B654" s="148" t="s">
        <v>16</v>
      </c>
      <c r="C654" s="148">
        <v>9</v>
      </c>
      <c r="D654" s="148">
        <v>22.34</v>
      </c>
      <c r="E654" s="149">
        <v>26.81</v>
      </c>
      <c r="F654" s="148">
        <v>60</v>
      </c>
      <c r="G654" s="150">
        <v>45901</v>
      </c>
      <c r="H654" s="150"/>
      <c r="I65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241.27</v>
      </c>
    </row>
    <row r="655" spans="1:9" x14ac:dyDescent="0.3">
      <c r="A655" s="162" t="s">
        <v>259</v>
      </c>
      <c r="B655" s="148" t="s">
        <v>16</v>
      </c>
      <c r="C655" s="148">
        <v>10</v>
      </c>
      <c r="D655" s="148">
        <v>20.350000000000001</v>
      </c>
      <c r="E655" s="149">
        <v>24.42</v>
      </c>
      <c r="F655" s="148">
        <v>60</v>
      </c>
      <c r="G655" s="150">
        <v>45901</v>
      </c>
      <c r="H655" s="150"/>
      <c r="I65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244.2</v>
      </c>
    </row>
    <row r="656" spans="1:9" x14ac:dyDescent="0.3">
      <c r="A656" s="162" t="s">
        <v>260</v>
      </c>
      <c r="B656" s="148" t="s">
        <v>1</v>
      </c>
      <c r="C656" s="148">
        <v>1</v>
      </c>
      <c r="D656" s="148">
        <v>730.84</v>
      </c>
      <c r="E656" s="149">
        <v>877.01</v>
      </c>
      <c r="F656" s="148">
        <v>800</v>
      </c>
      <c r="G656" s="150">
        <v>45901</v>
      </c>
      <c r="H656" s="150"/>
      <c r="I65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877.01</v>
      </c>
    </row>
    <row r="657" spans="1:9" x14ac:dyDescent="0.3">
      <c r="A657" s="162" t="s">
        <v>260</v>
      </c>
      <c r="B657" s="148" t="s">
        <v>1</v>
      </c>
      <c r="C657" s="148">
        <v>2</v>
      </c>
      <c r="D657" s="148">
        <v>647.52</v>
      </c>
      <c r="E657" s="149">
        <v>777.02</v>
      </c>
      <c r="F657" s="148">
        <v>800</v>
      </c>
      <c r="G657" s="150">
        <v>45901</v>
      </c>
      <c r="H657" s="150"/>
      <c r="I65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1554.05</v>
      </c>
    </row>
    <row r="658" spans="1:9" x14ac:dyDescent="0.3">
      <c r="A658" s="162" t="s">
        <v>260</v>
      </c>
      <c r="B658" s="148" t="s">
        <v>1</v>
      </c>
      <c r="C658" s="148">
        <v>3</v>
      </c>
      <c r="D658" s="148">
        <v>573.70000000000005</v>
      </c>
      <c r="E658" s="149">
        <v>688.44</v>
      </c>
      <c r="F658" s="148">
        <v>800</v>
      </c>
      <c r="G658" s="150">
        <v>45901</v>
      </c>
      <c r="H658" s="150"/>
      <c r="I65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2065.3200000000002</v>
      </c>
    </row>
    <row r="659" spans="1:9" x14ac:dyDescent="0.3">
      <c r="A659" s="162" t="s">
        <v>260</v>
      </c>
      <c r="B659" s="148" t="s">
        <v>1</v>
      </c>
      <c r="C659" s="148">
        <v>4</v>
      </c>
      <c r="D659" s="148">
        <v>508.26</v>
      </c>
      <c r="E659" s="149">
        <v>609.91</v>
      </c>
      <c r="F659" s="148">
        <v>800</v>
      </c>
      <c r="G659" s="150">
        <v>45901</v>
      </c>
      <c r="H659" s="150"/>
      <c r="I65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2439.65</v>
      </c>
    </row>
    <row r="660" spans="1:9" x14ac:dyDescent="0.3">
      <c r="A660" s="162" t="s">
        <v>260</v>
      </c>
      <c r="B660" s="148" t="s">
        <v>1</v>
      </c>
      <c r="C660" s="148">
        <v>5</v>
      </c>
      <c r="D660" s="148">
        <v>450.22</v>
      </c>
      <c r="E660" s="149">
        <v>540.26</v>
      </c>
      <c r="F660" s="148">
        <v>800</v>
      </c>
      <c r="G660" s="150">
        <v>45901</v>
      </c>
      <c r="H660" s="150"/>
      <c r="I66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2701.32</v>
      </c>
    </row>
    <row r="661" spans="1:9" x14ac:dyDescent="0.3">
      <c r="A661" s="162" t="s">
        <v>260</v>
      </c>
      <c r="B661" s="148" t="s">
        <v>1</v>
      </c>
      <c r="C661" s="148">
        <v>6</v>
      </c>
      <c r="D661" s="148">
        <v>398.69</v>
      </c>
      <c r="E661" s="149">
        <v>478.43</v>
      </c>
      <c r="F661" s="148">
        <v>800</v>
      </c>
      <c r="G661" s="150">
        <v>45901</v>
      </c>
      <c r="H661" s="150"/>
      <c r="I66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2870.57</v>
      </c>
    </row>
    <row r="662" spans="1:9" x14ac:dyDescent="0.3">
      <c r="A662" s="162" t="s">
        <v>260</v>
      </c>
      <c r="B662" s="148" t="s">
        <v>1</v>
      </c>
      <c r="C662" s="148">
        <v>7</v>
      </c>
      <c r="D662" s="148">
        <v>352.45</v>
      </c>
      <c r="E662" s="149">
        <v>422.94</v>
      </c>
      <c r="F662" s="148">
        <v>800</v>
      </c>
      <c r="G662" s="150">
        <v>45901</v>
      </c>
      <c r="H662" s="150"/>
      <c r="I66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2960.58</v>
      </c>
    </row>
    <row r="663" spans="1:9" x14ac:dyDescent="0.3">
      <c r="A663" s="162" t="s">
        <v>260</v>
      </c>
      <c r="B663" s="148" t="s">
        <v>1</v>
      </c>
      <c r="C663" s="148">
        <v>8</v>
      </c>
      <c r="D663" s="148">
        <v>315.33</v>
      </c>
      <c r="E663" s="149">
        <v>378.4</v>
      </c>
      <c r="F663" s="148">
        <v>800</v>
      </c>
      <c r="G663" s="150">
        <v>45901</v>
      </c>
      <c r="H663" s="150"/>
      <c r="I66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3027.17</v>
      </c>
    </row>
    <row r="664" spans="1:9" x14ac:dyDescent="0.3">
      <c r="A664" s="162" t="s">
        <v>260</v>
      </c>
      <c r="B664" s="148" t="s">
        <v>1</v>
      </c>
      <c r="C664" s="148">
        <v>9</v>
      </c>
      <c r="D664" s="148">
        <v>286.88</v>
      </c>
      <c r="E664" s="149">
        <v>344.26</v>
      </c>
      <c r="F664" s="148">
        <v>800</v>
      </c>
      <c r="G664" s="150">
        <v>45901</v>
      </c>
      <c r="H664" s="150"/>
      <c r="I66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3098.3</v>
      </c>
    </row>
    <row r="665" spans="1:9" x14ac:dyDescent="0.3">
      <c r="A665" s="162" t="s">
        <v>260</v>
      </c>
      <c r="B665" s="148" t="s">
        <v>1</v>
      </c>
      <c r="C665" s="148">
        <v>10</v>
      </c>
      <c r="D665" s="148">
        <v>267.95999999999998</v>
      </c>
      <c r="E665" s="149">
        <v>321.55</v>
      </c>
      <c r="F665" s="148">
        <v>800</v>
      </c>
      <c r="G665" s="150">
        <v>45901</v>
      </c>
      <c r="H665" s="150"/>
      <c r="I66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3215.52</v>
      </c>
    </row>
    <row r="666" spans="1:9" x14ac:dyDescent="0.3">
      <c r="A666" s="162" t="s">
        <v>260</v>
      </c>
      <c r="B666" s="148" t="s">
        <v>2</v>
      </c>
      <c r="C666" s="148">
        <v>1</v>
      </c>
      <c r="D666" s="148">
        <v>449.83</v>
      </c>
      <c r="E666" s="149">
        <v>539.79999999999995</v>
      </c>
      <c r="F666" s="148">
        <v>400</v>
      </c>
      <c r="G666" s="150">
        <v>45901</v>
      </c>
      <c r="H666" s="150"/>
      <c r="I66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539.79999999999995</v>
      </c>
    </row>
    <row r="667" spans="1:9" x14ac:dyDescent="0.3">
      <c r="A667" s="162" t="s">
        <v>260</v>
      </c>
      <c r="B667" s="148" t="s">
        <v>2</v>
      </c>
      <c r="C667" s="148">
        <v>2</v>
      </c>
      <c r="D667" s="148">
        <v>397.65</v>
      </c>
      <c r="E667" s="149">
        <v>477.18</v>
      </c>
      <c r="F667" s="148">
        <v>400</v>
      </c>
      <c r="G667" s="150">
        <v>45901</v>
      </c>
      <c r="H667" s="150"/>
      <c r="I66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954.36</v>
      </c>
    </row>
    <row r="668" spans="1:9" x14ac:dyDescent="0.3">
      <c r="A668" s="162" t="s">
        <v>260</v>
      </c>
      <c r="B668" s="148" t="s">
        <v>2</v>
      </c>
      <c r="C668" s="148">
        <v>3</v>
      </c>
      <c r="D668" s="148">
        <v>351.46</v>
      </c>
      <c r="E668" s="149">
        <v>421.75</v>
      </c>
      <c r="F668" s="148">
        <v>400</v>
      </c>
      <c r="G668" s="150">
        <v>45901</v>
      </c>
      <c r="H668" s="150"/>
      <c r="I66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1265.26</v>
      </c>
    </row>
    <row r="669" spans="1:9" x14ac:dyDescent="0.3">
      <c r="A669" s="162" t="s">
        <v>260</v>
      </c>
      <c r="B669" s="148" t="s">
        <v>2</v>
      </c>
      <c r="C669" s="148">
        <v>4</v>
      </c>
      <c r="D669" s="148">
        <v>310.61</v>
      </c>
      <c r="E669" s="149">
        <v>372.73</v>
      </c>
      <c r="F669" s="148">
        <v>400</v>
      </c>
      <c r="G669" s="150">
        <v>45901</v>
      </c>
      <c r="H669" s="150"/>
      <c r="I66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1490.93</v>
      </c>
    </row>
    <row r="670" spans="1:9" x14ac:dyDescent="0.3">
      <c r="A670" s="162" t="s">
        <v>260</v>
      </c>
      <c r="B670" s="148" t="s">
        <v>2</v>
      </c>
      <c r="C670" s="148">
        <v>5</v>
      </c>
      <c r="D670" s="148">
        <v>274.45</v>
      </c>
      <c r="E670" s="149">
        <v>329.34</v>
      </c>
      <c r="F670" s="148">
        <v>400</v>
      </c>
      <c r="G670" s="150">
        <v>45901</v>
      </c>
      <c r="H670" s="150"/>
      <c r="I67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1646.7</v>
      </c>
    </row>
    <row r="671" spans="1:9" x14ac:dyDescent="0.3">
      <c r="A671" s="162" t="s">
        <v>260</v>
      </c>
      <c r="B671" s="148" t="s">
        <v>2</v>
      </c>
      <c r="C671" s="148">
        <v>6</v>
      </c>
      <c r="D671" s="148">
        <v>242.49</v>
      </c>
      <c r="E671" s="149">
        <v>290.99</v>
      </c>
      <c r="F671" s="148">
        <v>400</v>
      </c>
      <c r="G671" s="150">
        <v>45901</v>
      </c>
      <c r="H671" s="150"/>
      <c r="I67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1745.93</v>
      </c>
    </row>
    <row r="672" spans="1:9" x14ac:dyDescent="0.3">
      <c r="A672" s="162" t="s">
        <v>260</v>
      </c>
      <c r="B672" s="148" t="s">
        <v>2</v>
      </c>
      <c r="C672" s="148">
        <v>7</v>
      </c>
      <c r="D672" s="148">
        <v>213.8</v>
      </c>
      <c r="E672" s="149">
        <v>256.56</v>
      </c>
      <c r="F672" s="148">
        <v>400</v>
      </c>
      <c r="G672" s="150">
        <v>45901</v>
      </c>
      <c r="H672" s="150"/>
      <c r="I67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1795.92</v>
      </c>
    </row>
    <row r="673" spans="1:9" x14ac:dyDescent="0.3">
      <c r="A673" s="162" t="s">
        <v>260</v>
      </c>
      <c r="B673" s="148" t="s">
        <v>2</v>
      </c>
      <c r="C673" s="148">
        <v>8</v>
      </c>
      <c r="D673" s="148">
        <v>190.81</v>
      </c>
      <c r="E673" s="149">
        <v>228.97</v>
      </c>
      <c r="F673" s="148">
        <v>400</v>
      </c>
      <c r="G673" s="150">
        <v>45901</v>
      </c>
      <c r="H673" s="150"/>
      <c r="I67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1831.78</v>
      </c>
    </row>
    <row r="674" spans="1:9" x14ac:dyDescent="0.3">
      <c r="A674" s="162" t="s">
        <v>260</v>
      </c>
      <c r="B674" s="148" t="s">
        <v>2</v>
      </c>
      <c r="C674" s="148">
        <v>9</v>
      </c>
      <c r="D674" s="148">
        <v>173.23</v>
      </c>
      <c r="E674" s="149">
        <v>207.88</v>
      </c>
      <c r="F674" s="148">
        <v>400</v>
      </c>
      <c r="G674" s="150">
        <v>45901</v>
      </c>
      <c r="H674" s="150"/>
      <c r="I67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1870.88</v>
      </c>
    </row>
    <row r="675" spans="1:9" x14ac:dyDescent="0.3">
      <c r="A675" s="162" t="s">
        <v>260</v>
      </c>
      <c r="B675" s="148" t="s">
        <v>2</v>
      </c>
      <c r="C675" s="148">
        <v>10</v>
      </c>
      <c r="D675" s="148">
        <v>161.4</v>
      </c>
      <c r="E675" s="149">
        <v>193.68</v>
      </c>
      <c r="F675" s="148">
        <v>400</v>
      </c>
      <c r="G675" s="150">
        <v>45901</v>
      </c>
      <c r="H675" s="150"/>
      <c r="I67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1936.8</v>
      </c>
    </row>
    <row r="676" spans="1:9" x14ac:dyDescent="0.3">
      <c r="A676" s="162" t="s">
        <v>260</v>
      </c>
      <c r="B676" s="148" t="s">
        <v>16</v>
      </c>
      <c r="C676" s="148">
        <v>1</v>
      </c>
      <c r="D676" s="148">
        <v>54.73</v>
      </c>
      <c r="E676" s="149">
        <v>65.680000000000007</v>
      </c>
      <c r="F676" s="148">
        <v>60</v>
      </c>
      <c r="G676" s="150">
        <v>45901</v>
      </c>
      <c r="H676" s="150"/>
      <c r="I67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65.680000000000007</v>
      </c>
    </row>
    <row r="677" spans="1:9" x14ac:dyDescent="0.3">
      <c r="A677" s="162" t="s">
        <v>260</v>
      </c>
      <c r="B677" s="148" t="s">
        <v>16</v>
      </c>
      <c r="C677" s="148">
        <v>2</v>
      </c>
      <c r="D677" s="148">
        <v>50.23</v>
      </c>
      <c r="E677" s="149">
        <v>60.28</v>
      </c>
      <c r="F677" s="148">
        <v>60</v>
      </c>
      <c r="G677" s="150">
        <v>45901</v>
      </c>
      <c r="H677" s="150"/>
      <c r="I67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120.55</v>
      </c>
    </row>
    <row r="678" spans="1:9" x14ac:dyDescent="0.3">
      <c r="A678" s="162" t="s">
        <v>260</v>
      </c>
      <c r="B678" s="148" t="s">
        <v>16</v>
      </c>
      <c r="C678" s="148">
        <v>3</v>
      </c>
      <c r="D678" s="148">
        <v>46.07</v>
      </c>
      <c r="E678" s="149">
        <v>55.28</v>
      </c>
      <c r="F678" s="148">
        <v>60</v>
      </c>
      <c r="G678" s="150">
        <v>45901</v>
      </c>
      <c r="H678" s="150"/>
      <c r="I67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165.85</v>
      </c>
    </row>
    <row r="679" spans="1:9" x14ac:dyDescent="0.3">
      <c r="A679" s="162" t="s">
        <v>260</v>
      </c>
      <c r="B679" s="148" t="s">
        <v>16</v>
      </c>
      <c r="C679" s="148">
        <v>4</v>
      </c>
      <c r="D679" s="148">
        <v>42.33</v>
      </c>
      <c r="E679" s="149">
        <v>50.8</v>
      </c>
      <c r="F679" s="148">
        <v>60</v>
      </c>
      <c r="G679" s="150">
        <v>45901</v>
      </c>
      <c r="H679" s="150"/>
      <c r="I67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203.18</v>
      </c>
    </row>
    <row r="680" spans="1:9" x14ac:dyDescent="0.3">
      <c r="A680" s="162" t="s">
        <v>260</v>
      </c>
      <c r="B680" s="148" t="s">
        <v>16</v>
      </c>
      <c r="C680" s="148">
        <v>5</v>
      </c>
      <c r="D680" s="148">
        <v>38.83</v>
      </c>
      <c r="E680" s="149">
        <v>46.6</v>
      </c>
      <c r="F680" s="148">
        <v>60</v>
      </c>
      <c r="G680" s="150">
        <v>45901</v>
      </c>
      <c r="H680" s="150"/>
      <c r="I68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232.98</v>
      </c>
    </row>
    <row r="681" spans="1:9" x14ac:dyDescent="0.3">
      <c r="A681" s="162" t="s">
        <v>260</v>
      </c>
      <c r="B681" s="148" t="s">
        <v>16</v>
      </c>
      <c r="C681" s="148">
        <v>6</v>
      </c>
      <c r="D681" s="148">
        <v>35.65</v>
      </c>
      <c r="E681" s="149">
        <v>42.78</v>
      </c>
      <c r="F681" s="148">
        <v>60</v>
      </c>
      <c r="G681" s="150">
        <v>45901</v>
      </c>
      <c r="H681" s="150"/>
      <c r="I68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256.68</v>
      </c>
    </row>
    <row r="682" spans="1:9" x14ac:dyDescent="0.3">
      <c r="A682" s="162" t="s">
        <v>260</v>
      </c>
      <c r="B682" s="148" t="s">
        <v>16</v>
      </c>
      <c r="C682" s="148">
        <v>7</v>
      </c>
      <c r="D682" s="148">
        <v>32.1</v>
      </c>
      <c r="E682" s="149">
        <v>38.520000000000003</v>
      </c>
      <c r="F682" s="148">
        <v>60</v>
      </c>
      <c r="G682" s="150">
        <v>45901</v>
      </c>
      <c r="H682" s="150"/>
      <c r="I68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269.64</v>
      </c>
    </row>
    <row r="683" spans="1:9" x14ac:dyDescent="0.3">
      <c r="A683" s="162" t="s">
        <v>260</v>
      </c>
      <c r="B683" s="148" t="s">
        <v>16</v>
      </c>
      <c r="C683" s="148">
        <v>8</v>
      </c>
      <c r="D683" s="148">
        <v>28.88</v>
      </c>
      <c r="E683" s="149">
        <v>34.659999999999997</v>
      </c>
      <c r="F683" s="148">
        <v>60</v>
      </c>
      <c r="G683" s="150">
        <v>45901</v>
      </c>
      <c r="H683" s="150"/>
      <c r="I68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277.25</v>
      </c>
    </row>
    <row r="684" spans="1:9" x14ac:dyDescent="0.3">
      <c r="A684" s="162" t="s">
        <v>260</v>
      </c>
      <c r="B684" s="148" t="s">
        <v>16</v>
      </c>
      <c r="C684" s="148">
        <v>9</v>
      </c>
      <c r="D684" s="148">
        <v>25.99</v>
      </c>
      <c r="E684" s="149">
        <v>31.19</v>
      </c>
      <c r="F684" s="148">
        <v>60</v>
      </c>
      <c r="G684" s="150">
        <v>45901</v>
      </c>
      <c r="H684" s="150"/>
      <c r="I68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280.69</v>
      </c>
    </row>
    <row r="685" spans="1:9" x14ac:dyDescent="0.3">
      <c r="A685" s="162" t="s">
        <v>260</v>
      </c>
      <c r="B685" s="148" t="s">
        <v>16</v>
      </c>
      <c r="C685" s="148">
        <v>10</v>
      </c>
      <c r="D685" s="148">
        <v>23.65</v>
      </c>
      <c r="E685" s="149">
        <v>28.38</v>
      </c>
      <c r="F685" s="148">
        <v>60</v>
      </c>
      <c r="G685" s="150">
        <v>45901</v>
      </c>
      <c r="H685" s="150"/>
      <c r="I68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283.8</v>
      </c>
    </row>
    <row r="686" spans="1:9" x14ac:dyDescent="0.3">
      <c r="A686" s="157" t="s">
        <v>252</v>
      </c>
      <c r="B686" s="158"/>
      <c r="C686" s="158"/>
      <c r="D686" s="166">
        <v>13.4</v>
      </c>
      <c r="E686" s="167">
        <v>16.079999999999998</v>
      </c>
      <c r="F686" s="163">
        <v>60</v>
      </c>
      <c r="G686" s="150">
        <v>45901</v>
      </c>
      <c r="H686" s="172"/>
      <c r="I68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16.079999999999998</v>
      </c>
    </row>
    <row r="687" spans="1:9" x14ac:dyDescent="0.3">
      <c r="A687" s="162" t="s">
        <v>261</v>
      </c>
      <c r="B687" s="148" t="s">
        <v>1</v>
      </c>
      <c r="C687" s="148">
        <v>1</v>
      </c>
      <c r="D687" s="148">
        <v>400.2</v>
      </c>
      <c r="E687" s="149">
        <v>480.24</v>
      </c>
      <c r="F687" s="148">
        <v>800</v>
      </c>
      <c r="G687" s="150">
        <v>45901</v>
      </c>
      <c r="H687" s="150"/>
      <c r="I68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480.24</v>
      </c>
    </row>
    <row r="688" spans="1:9" x14ac:dyDescent="0.3">
      <c r="A688" s="162" t="s">
        <v>262</v>
      </c>
      <c r="B688" s="148" t="s">
        <v>1</v>
      </c>
      <c r="C688" s="148">
        <v>1</v>
      </c>
      <c r="D688" s="148">
        <v>509.28</v>
      </c>
      <c r="E688" s="149">
        <v>611.14</v>
      </c>
      <c r="F688" s="148">
        <v>800</v>
      </c>
      <c r="G688" s="150">
        <v>45901</v>
      </c>
      <c r="H688" s="150"/>
      <c r="I688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611.14</v>
      </c>
    </row>
    <row r="689" spans="1:9" x14ac:dyDescent="0.3">
      <c r="A689" s="162" t="s">
        <v>262</v>
      </c>
      <c r="B689" s="148" t="s">
        <v>2</v>
      </c>
      <c r="C689" s="148">
        <v>1</v>
      </c>
      <c r="D689" s="148">
        <v>200.41</v>
      </c>
      <c r="E689" s="149">
        <v>240.49</v>
      </c>
      <c r="F689" s="148">
        <v>400</v>
      </c>
      <c r="G689" s="150">
        <v>45901</v>
      </c>
      <c r="H689" s="150"/>
      <c r="I689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240.49</v>
      </c>
    </row>
    <row r="690" spans="1:9" x14ac:dyDescent="0.3">
      <c r="A690" s="162" t="s">
        <v>262</v>
      </c>
      <c r="B690" s="148" t="s">
        <v>16</v>
      </c>
      <c r="C690" s="148">
        <v>1</v>
      </c>
      <c r="D690" s="148">
        <v>83.97</v>
      </c>
      <c r="E690" s="149">
        <v>100.76</v>
      </c>
      <c r="F690" s="148">
        <v>60</v>
      </c>
      <c r="G690" s="150">
        <v>45901</v>
      </c>
      <c r="H690" s="150"/>
      <c r="I690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100.76</v>
      </c>
    </row>
    <row r="691" spans="1:9" x14ac:dyDescent="0.3">
      <c r="A691" s="162" t="s">
        <v>263</v>
      </c>
      <c r="B691" s="148" t="s">
        <v>1</v>
      </c>
      <c r="C691" s="148">
        <v>1</v>
      </c>
      <c r="D691" s="148">
        <v>933.92</v>
      </c>
      <c r="E691" s="149">
        <v>1120.7</v>
      </c>
      <c r="F691" s="148">
        <v>800</v>
      </c>
      <c r="G691" s="150">
        <v>45901</v>
      </c>
      <c r="H691" s="150"/>
      <c r="I691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1120.7</v>
      </c>
    </row>
    <row r="692" spans="1:9" x14ac:dyDescent="0.3">
      <c r="A692" s="162" t="s">
        <v>263</v>
      </c>
      <c r="B692" s="148" t="s">
        <v>2</v>
      </c>
      <c r="C692" s="148">
        <v>1</v>
      </c>
      <c r="D692" s="148">
        <v>358.62</v>
      </c>
      <c r="E692" s="149">
        <v>430.34</v>
      </c>
      <c r="F692" s="148">
        <v>400</v>
      </c>
      <c r="G692" s="150">
        <v>45901</v>
      </c>
      <c r="H692" s="150"/>
      <c r="I692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430.34</v>
      </c>
    </row>
    <row r="693" spans="1:9" x14ac:dyDescent="0.3">
      <c r="A693" s="162" t="s">
        <v>263</v>
      </c>
      <c r="B693" s="148" t="s">
        <v>16</v>
      </c>
      <c r="C693" s="148">
        <v>1</v>
      </c>
      <c r="D693" s="148">
        <v>150.12</v>
      </c>
      <c r="E693" s="149">
        <v>180.14</v>
      </c>
      <c r="F693" s="148">
        <v>60</v>
      </c>
      <c r="G693" s="150">
        <v>45901</v>
      </c>
      <c r="H693" s="150"/>
      <c r="I693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180.14</v>
      </c>
    </row>
    <row r="694" spans="1:9" x14ac:dyDescent="0.3">
      <c r="A694" s="162" t="s">
        <v>264</v>
      </c>
      <c r="B694" s="148" t="s">
        <v>1</v>
      </c>
      <c r="C694" s="148">
        <v>1</v>
      </c>
      <c r="D694" s="148">
        <v>1895.57</v>
      </c>
      <c r="E694" s="149">
        <v>2274.6799999999998</v>
      </c>
      <c r="F694" s="148">
        <v>800</v>
      </c>
      <c r="G694" s="150">
        <v>45901</v>
      </c>
      <c r="H694" s="150"/>
      <c r="I694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2274.6799999999998</v>
      </c>
    </row>
    <row r="695" spans="1:9" x14ac:dyDescent="0.3">
      <c r="A695" s="162" t="s">
        <v>264</v>
      </c>
      <c r="B695" s="148" t="s">
        <v>2</v>
      </c>
      <c r="C695" s="148">
        <v>1</v>
      </c>
      <c r="D695" s="148">
        <v>735</v>
      </c>
      <c r="E695" s="149">
        <v>882</v>
      </c>
      <c r="F695" s="148">
        <v>400</v>
      </c>
      <c r="G695" s="150">
        <v>45901</v>
      </c>
      <c r="H695" s="150"/>
      <c r="I695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882</v>
      </c>
    </row>
    <row r="696" spans="1:9" x14ac:dyDescent="0.3">
      <c r="A696" s="162" t="s">
        <v>264</v>
      </c>
      <c r="B696" s="148" t="s">
        <v>16</v>
      </c>
      <c r="C696" s="148">
        <v>1</v>
      </c>
      <c r="D696" s="148">
        <v>318.81</v>
      </c>
      <c r="E696" s="149">
        <v>382.57</v>
      </c>
      <c r="F696" s="148">
        <v>60</v>
      </c>
      <c r="G696" s="150">
        <v>45901</v>
      </c>
      <c r="H696" s="150"/>
      <c r="I696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382.57</v>
      </c>
    </row>
    <row r="697" spans="1:9" x14ac:dyDescent="0.3">
      <c r="A697" s="157" t="s">
        <v>253</v>
      </c>
      <c r="B697" s="158"/>
      <c r="C697" s="158"/>
      <c r="D697" s="166">
        <v>13.01</v>
      </c>
      <c r="E697" s="167">
        <v>15.61</v>
      </c>
      <c r="F697" s="148">
        <v>60</v>
      </c>
      <c r="G697" s="150">
        <v>45901</v>
      </c>
      <c r="H697" s="150"/>
      <c r="I697" s="170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15.61</v>
      </c>
    </row>
    <row r="698" spans="1:9" x14ac:dyDescent="0.3">
      <c r="A698" s="261" t="s">
        <v>314</v>
      </c>
      <c r="B698" s="45" t="s">
        <v>1</v>
      </c>
      <c r="C698" s="45">
        <v>1</v>
      </c>
      <c r="D698" s="163">
        <v>197.11</v>
      </c>
      <c r="E698" s="171">
        <v>236.53</v>
      </c>
      <c r="F698" s="155">
        <v>600</v>
      </c>
      <c r="G698" s="150">
        <v>45901</v>
      </c>
      <c r="H698" s="156"/>
      <c r="I69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236.53</v>
      </c>
    </row>
    <row r="699" spans="1:9" x14ac:dyDescent="0.3">
      <c r="A699" s="261" t="s">
        <v>314</v>
      </c>
      <c r="B699" s="45" t="s">
        <v>74</v>
      </c>
      <c r="C699" s="45">
        <v>1</v>
      </c>
      <c r="D699" s="163">
        <v>91.01</v>
      </c>
      <c r="E699" s="171">
        <v>109.21</v>
      </c>
      <c r="F699" s="155" t="s">
        <v>78</v>
      </c>
      <c r="G699" s="150">
        <v>45901</v>
      </c>
      <c r="H699" s="156"/>
      <c r="I69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109.21</v>
      </c>
    </row>
    <row r="700" spans="1:9" x14ac:dyDescent="0.3">
      <c r="A700" s="261" t="s">
        <v>314</v>
      </c>
      <c r="B700" s="45" t="s">
        <v>2</v>
      </c>
      <c r="C700" s="45">
        <v>1</v>
      </c>
      <c r="D700" s="163">
        <v>78.27</v>
      </c>
      <c r="E700" s="171">
        <v>93.92</v>
      </c>
      <c r="F700" s="155">
        <v>300</v>
      </c>
      <c r="G700" s="150">
        <v>45901</v>
      </c>
      <c r="H700" s="156"/>
      <c r="I70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93.92</v>
      </c>
    </row>
    <row r="701" spans="1:9" x14ac:dyDescent="0.3">
      <c r="A701" s="261" t="s">
        <v>314</v>
      </c>
      <c r="B701" s="45" t="s">
        <v>3</v>
      </c>
      <c r="C701" s="45">
        <v>1</v>
      </c>
      <c r="D701" s="163">
        <v>34.31</v>
      </c>
      <c r="E701" s="171">
        <v>41.17</v>
      </c>
      <c r="F701" s="155">
        <v>60</v>
      </c>
      <c r="G701" s="150">
        <v>45901</v>
      </c>
      <c r="H701" s="156"/>
      <c r="I70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41.17</v>
      </c>
    </row>
    <row r="702" spans="1:9" x14ac:dyDescent="0.3">
      <c r="A702" s="261" t="s">
        <v>315</v>
      </c>
      <c r="B702" s="45" t="s">
        <v>1</v>
      </c>
      <c r="C702" s="45">
        <v>1</v>
      </c>
      <c r="D702" s="163">
        <v>400.2</v>
      </c>
      <c r="E702" s="171">
        <v>480.24</v>
      </c>
      <c r="F702" s="155">
        <v>800</v>
      </c>
      <c r="G702" s="150">
        <v>45901</v>
      </c>
      <c r="H702" s="156"/>
      <c r="I70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480.24</v>
      </c>
    </row>
    <row r="703" spans="1:9" x14ac:dyDescent="0.3">
      <c r="A703" s="261" t="s">
        <v>315</v>
      </c>
      <c r="B703" s="45" t="s">
        <v>74</v>
      </c>
      <c r="C703" s="45">
        <v>1</v>
      </c>
      <c r="D703" s="163">
        <v>197.86</v>
      </c>
      <c r="E703" s="171">
        <v>237.43</v>
      </c>
      <c r="F703" s="155" t="s">
        <v>79</v>
      </c>
      <c r="G703" s="150">
        <v>45901</v>
      </c>
      <c r="H703" s="156"/>
      <c r="I70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237.43</v>
      </c>
    </row>
    <row r="704" spans="1:9" x14ac:dyDescent="0.3">
      <c r="A704" s="261" t="s">
        <v>315</v>
      </c>
      <c r="B704" s="45" t="s">
        <v>2</v>
      </c>
      <c r="C704" s="45">
        <v>1</v>
      </c>
      <c r="D704" s="163">
        <v>170.43</v>
      </c>
      <c r="E704" s="171">
        <v>204.52</v>
      </c>
      <c r="F704" s="155">
        <v>400</v>
      </c>
      <c r="G704" s="150">
        <v>45901</v>
      </c>
      <c r="H704" s="156"/>
      <c r="I70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204.52</v>
      </c>
    </row>
    <row r="705" spans="1:9" x14ac:dyDescent="0.3">
      <c r="A705" s="261" t="s">
        <v>315</v>
      </c>
      <c r="B705" s="45" t="s">
        <v>3</v>
      </c>
      <c r="C705" s="45">
        <v>1</v>
      </c>
      <c r="D705" s="163">
        <v>70.900000000000006</v>
      </c>
      <c r="E705" s="171">
        <v>85.08</v>
      </c>
      <c r="F705" s="155">
        <v>60</v>
      </c>
      <c r="G705" s="150">
        <v>45901</v>
      </c>
      <c r="H705" s="156"/>
      <c r="I70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85.08</v>
      </c>
    </row>
    <row r="706" spans="1:9" x14ac:dyDescent="0.3">
      <c r="A706" s="262" t="s">
        <v>316</v>
      </c>
      <c r="B706" s="158"/>
      <c r="C706" s="158"/>
      <c r="D706" s="166">
        <v>13.01</v>
      </c>
      <c r="E706" s="167">
        <v>15.61</v>
      </c>
      <c r="F706" s="155">
        <v>60</v>
      </c>
      <c r="G706" s="150">
        <v>45901</v>
      </c>
      <c r="H706" s="156"/>
      <c r="I70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15.61</v>
      </c>
    </row>
    <row r="707" spans="1:9" x14ac:dyDescent="0.3">
      <c r="A707" s="261" t="s">
        <v>312</v>
      </c>
      <c r="B707" s="45" t="s">
        <v>1</v>
      </c>
      <c r="C707" s="45">
        <v>1</v>
      </c>
      <c r="D707" s="163">
        <v>197.11</v>
      </c>
      <c r="E707" s="171">
        <v>236.53</v>
      </c>
      <c r="F707" s="155">
        <v>600</v>
      </c>
      <c r="G707" s="150">
        <v>45901</v>
      </c>
      <c r="H707" s="156"/>
      <c r="I70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236.53</v>
      </c>
    </row>
    <row r="708" spans="1:9" x14ac:dyDescent="0.3">
      <c r="A708" s="261" t="s">
        <v>312</v>
      </c>
      <c r="B708" s="45" t="s">
        <v>74</v>
      </c>
      <c r="C708" s="45">
        <v>1</v>
      </c>
      <c r="D708" s="163">
        <v>91.01</v>
      </c>
      <c r="E708" s="171">
        <v>109.21</v>
      </c>
      <c r="F708" s="155" t="s">
        <v>78</v>
      </c>
      <c r="G708" s="150">
        <v>45901</v>
      </c>
      <c r="H708" s="156"/>
      <c r="I70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109.21</v>
      </c>
    </row>
    <row r="709" spans="1:9" x14ac:dyDescent="0.3">
      <c r="A709" s="261" t="s">
        <v>312</v>
      </c>
      <c r="B709" s="45" t="s">
        <v>2</v>
      </c>
      <c r="C709" s="45">
        <v>1</v>
      </c>
      <c r="D709" s="163">
        <v>78.27</v>
      </c>
      <c r="E709" s="171">
        <v>93.92</v>
      </c>
      <c r="F709" s="155">
        <v>300</v>
      </c>
      <c r="G709" s="150">
        <v>45901</v>
      </c>
      <c r="H709" s="156"/>
      <c r="I70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93.92</v>
      </c>
    </row>
    <row r="710" spans="1:9" x14ac:dyDescent="0.3">
      <c r="A710" s="261" t="s">
        <v>312</v>
      </c>
      <c r="B710" s="45" t="s">
        <v>3</v>
      </c>
      <c r="C710" s="45">
        <v>1</v>
      </c>
      <c r="D710" s="163">
        <v>34.31</v>
      </c>
      <c r="E710" s="171">
        <v>41.17</v>
      </c>
      <c r="F710" s="155">
        <v>60</v>
      </c>
      <c r="G710" s="150">
        <v>45901</v>
      </c>
      <c r="H710" s="156"/>
      <c r="I71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41.17</v>
      </c>
    </row>
    <row r="711" spans="1:9" x14ac:dyDescent="0.3">
      <c r="A711" s="261" t="s">
        <v>313</v>
      </c>
      <c r="B711" s="45" t="s">
        <v>1</v>
      </c>
      <c r="C711" s="45">
        <v>1</v>
      </c>
      <c r="D711" s="163">
        <v>400.2</v>
      </c>
      <c r="E711" s="171">
        <v>480.24</v>
      </c>
      <c r="F711" s="155">
        <v>800</v>
      </c>
      <c r="G711" s="150">
        <v>45901</v>
      </c>
      <c r="H711" s="156"/>
      <c r="I71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480.24</v>
      </c>
    </row>
    <row r="712" spans="1:9" x14ac:dyDescent="0.3">
      <c r="A712" s="261" t="s">
        <v>313</v>
      </c>
      <c r="B712" s="45" t="s">
        <v>74</v>
      </c>
      <c r="C712" s="45">
        <v>1</v>
      </c>
      <c r="D712" s="163">
        <v>197.86</v>
      </c>
      <c r="E712" s="171">
        <v>237.43</v>
      </c>
      <c r="F712" s="155" t="s">
        <v>79</v>
      </c>
      <c r="G712" s="150">
        <v>45901</v>
      </c>
      <c r="H712" s="156"/>
      <c r="I71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237.43</v>
      </c>
    </row>
    <row r="713" spans="1:9" x14ac:dyDescent="0.3">
      <c r="A713" s="261" t="s">
        <v>313</v>
      </c>
      <c r="B713" s="45" t="s">
        <v>2</v>
      </c>
      <c r="C713" s="45">
        <v>1</v>
      </c>
      <c r="D713" s="163">
        <v>170.43</v>
      </c>
      <c r="E713" s="171">
        <v>204.52</v>
      </c>
      <c r="F713" s="155">
        <v>400</v>
      </c>
      <c r="G713" s="150">
        <v>45901</v>
      </c>
      <c r="H713" s="156"/>
      <c r="I71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204.52</v>
      </c>
    </row>
    <row r="714" spans="1:9" x14ac:dyDescent="0.3">
      <c r="A714" s="270" t="s">
        <v>313</v>
      </c>
      <c r="B714" s="271" t="s">
        <v>3</v>
      </c>
      <c r="C714" s="271">
        <v>1</v>
      </c>
      <c r="D714" s="290">
        <v>70.900000000000006</v>
      </c>
      <c r="E714" s="291">
        <v>85.08</v>
      </c>
      <c r="F714" s="272">
        <v>60</v>
      </c>
      <c r="G714" s="150">
        <v>45901</v>
      </c>
      <c r="H714" s="273"/>
      <c r="I714" s="274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85.08</v>
      </c>
    </row>
    <row r="715" spans="1:9" ht="14.4" thickBot="1" x14ac:dyDescent="0.35">
      <c r="A715" s="275" t="s">
        <v>318</v>
      </c>
      <c r="B715" s="263"/>
      <c r="C715" s="263"/>
      <c r="D715" s="264">
        <v>13.01</v>
      </c>
      <c r="E715" s="265">
        <v>15.61</v>
      </c>
      <c r="F715" s="266">
        <v>60</v>
      </c>
      <c r="G715" s="292">
        <v>45901</v>
      </c>
      <c r="H715" s="268"/>
      <c r="I715" s="26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15.61</v>
      </c>
    </row>
    <row r="716" spans="1:9" x14ac:dyDescent="0.3">
      <c r="A716" s="44" t="s">
        <v>10</v>
      </c>
      <c r="B716" s="45" t="s">
        <v>1</v>
      </c>
      <c r="C716" s="45">
        <v>1</v>
      </c>
      <c r="D716" s="295">
        <v>197.34</v>
      </c>
      <c r="E716" s="295">
        <v>236.81</v>
      </c>
      <c r="F716" s="45">
        <v>800</v>
      </c>
      <c r="G716" s="30">
        <v>45839</v>
      </c>
      <c r="H716" s="156"/>
      <c r="I71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236.81</v>
      </c>
    </row>
    <row r="717" spans="1:9" x14ac:dyDescent="0.3">
      <c r="A717" s="44" t="s">
        <v>10</v>
      </c>
      <c r="B717" s="45" t="s">
        <v>1</v>
      </c>
      <c r="C717" s="45">
        <v>2</v>
      </c>
      <c r="D717" s="295">
        <v>164.21</v>
      </c>
      <c r="E717" s="295">
        <v>197.05</v>
      </c>
      <c r="F717" s="45">
        <v>800</v>
      </c>
      <c r="G717" s="30">
        <v>45839</v>
      </c>
      <c r="H717" s="156"/>
      <c r="I71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394.1</v>
      </c>
    </row>
    <row r="718" spans="1:9" x14ac:dyDescent="0.3">
      <c r="A718" s="44" t="s">
        <v>10</v>
      </c>
      <c r="B718" s="45" t="s">
        <v>1</v>
      </c>
      <c r="C718" s="45">
        <v>3</v>
      </c>
      <c r="D718" s="295">
        <v>128.15</v>
      </c>
      <c r="E718" s="295">
        <v>153.78</v>
      </c>
      <c r="F718" s="45">
        <v>800</v>
      </c>
      <c r="G718" s="30">
        <v>45839</v>
      </c>
      <c r="H718" s="156"/>
      <c r="I71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461.34</v>
      </c>
    </row>
    <row r="719" spans="1:9" x14ac:dyDescent="0.3">
      <c r="A719" s="44" t="s">
        <v>10</v>
      </c>
      <c r="B719" s="45" t="s">
        <v>1</v>
      </c>
      <c r="C719" s="45">
        <v>4</v>
      </c>
      <c r="D719" s="295">
        <v>111.07</v>
      </c>
      <c r="E719" s="295">
        <v>133.28</v>
      </c>
      <c r="F719" s="45">
        <v>800</v>
      </c>
      <c r="G719" s="30">
        <v>45839</v>
      </c>
      <c r="H719" s="156"/>
      <c r="I71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533.14</v>
      </c>
    </row>
    <row r="720" spans="1:9" x14ac:dyDescent="0.3">
      <c r="A720" s="44" t="s">
        <v>10</v>
      </c>
      <c r="B720" s="45" t="s">
        <v>1</v>
      </c>
      <c r="C720" s="45">
        <v>5</v>
      </c>
      <c r="D720" s="295">
        <v>95.91</v>
      </c>
      <c r="E720" s="295">
        <v>115.09</v>
      </c>
      <c r="F720" s="45">
        <v>800</v>
      </c>
      <c r="G720" s="30">
        <v>45839</v>
      </c>
      <c r="H720" s="156"/>
      <c r="I72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575.46</v>
      </c>
    </row>
    <row r="721" spans="1:9" x14ac:dyDescent="0.3">
      <c r="A721" s="44" t="s">
        <v>10</v>
      </c>
      <c r="B721" s="45" t="s">
        <v>2</v>
      </c>
      <c r="C721" s="45">
        <v>1</v>
      </c>
      <c r="D721" s="295">
        <v>117.9</v>
      </c>
      <c r="E721" s="296">
        <v>141.47999999999999</v>
      </c>
      <c r="F721" s="45">
        <v>400</v>
      </c>
      <c r="G721" s="30">
        <v>45839</v>
      </c>
      <c r="H721" s="156"/>
      <c r="I72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141.47999999999999</v>
      </c>
    </row>
    <row r="722" spans="1:9" x14ac:dyDescent="0.3">
      <c r="A722" s="44" t="s">
        <v>10</v>
      </c>
      <c r="B722" s="45" t="s">
        <v>2</v>
      </c>
      <c r="C722" s="45">
        <v>2</v>
      </c>
      <c r="D722" s="295">
        <v>97.94</v>
      </c>
      <c r="E722" s="296">
        <v>117.53</v>
      </c>
      <c r="F722" s="45">
        <v>400</v>
      </c>
      <c r="G722" s="30">
        <v>45839</v>
      </c>
      <c r="H722" s="156"/>
      <c r="I72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235.06</v>
      </c>
    </row>
    <row r="723" spans="1:9" x14ac:dyDescent="0.3">
      <c r="A723" s="44" t="s">
        <v>10</v>
      </c>
      <c r="B723" s="45" t="s">
        <v>2</v>
      </c>
      <c r="C723" s="45">
        <v>3</v>
      </c>
      <c r="D723" s="295">
        <v>76.22</v>
      </c>
      <c r="E723" s="296">
        <v>91.46</v>
      </c>
      <c r="F723" s="45">
        <v>400</v>
      </c>
      <c r="G723" s="30">
        <v>45839</v>
      </c>
      <c r="H723" s="156"/>
      <c r="I72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274.39</v>
      </c>
    </row>
    <row r="724" spans="1:9" x14ac:dyDescent="0.3">
      <c r="A724" s="44" t="s">
        <v>10</v>
      </c>
      <c r="B724" s="45" t="s">
        <v>2</v>
      </c>
      <c r="C724" s="45">
        <v>4</v>
      </c>
      <c r="D724" s="295">
        <v>65.91</v>
      </c>
      <c r="E724" s="296">
        <v>79.09</v>
      </c>
      <c r="F724" s="45">
        <v>400</v>
      </c>
      <c r="G724" s="30">
        <v>45839</v>
      </c>
      <c r="H724" s="156"/>
      <c r="I72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316.37</v>
      </c>
    </row>
    <row r="725" spans="1:9" x14ac:dyDescent="0.3">
      <c r="A725" s="44" t="s">
        <v>10</v>
      </c>
      <c r="B725" s="45" t="s">
        <v>2</v>
      </c>
      <c r="C725" s="45">
        <v>5</v>
      </c>
      <c r="D725" s="295">
        <v>56.78</v>
      </c>
      <c r="E725" s="296">
        <v>68.14</v>
      </c>
      <c r="F725" s="45">
        <v>400</v>
      </c>
      <c r="G725" s="30">
        <v>45839</v>
      </c>
      <c r="H725" s="156"/>
      <c r="I72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340.68</v>
      </c>
    </row>
    <row r="726" spans="1:9" x14ac:dyDescent="0.3">
      <c r="A726" s="44" t="s">
        <v>10</v>
      </c>
      <c r="B726" s="45" t="s">
        <v>3</v>
      </c>
      <c r="C726" s="163">
        <v>1</v>
      </c>
      <c r="D726" s="297">
        <v>30.91</v>
      </c>
      <c r="E726" s="298">
        <v>37.090000000000003</v>
      </c>
      <c r="F726" s="155">
        <v>60</v>
      </c>
      <c r="G726" s="30">
        <v>45839</v>
      </c>
      <c r="H726" s="156"/>
      <c r="I72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37.090000000000003</v>
      </c>
    </row>
    <row r="727" spans="1:9" x14ac:dyDescent="0.3">
      <c r="A727" s="44" t="s">
        <v>10</v>
      </c>
      <c r="B727" s="45" t="s">
        <v>3</v>
      </c>
      <c r="C727" s="163">
        <v>2</v>
      </c>
      <c r="D727" s="297">
        <v>28.35</v>
      </c>
      <c r="E727" s="298">
        <v>34.020000000000003</v>
      </c>
      <c r="F727" s="155">
        <v>60</v>
      </c>
      <c r="G727" s="30">
        <v>45839</v>
      </c>
      <c r="H727" s="156"/>
      <c r="I72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68.040000000000006</v>
      </c>
    </row>
    <row r="728" spans="1:9" x14ac:dyDescent="0.3">
      <c r="A728" s="44" t="s">
        <v>10</v>
      </c>
      <c r="B728" s="45" t="s">
        <v>3</v>
      </c>
      <c r="C728" s="45">
        <v>3</v>
      </c>
      <c r="D728" s="295">
        <v>28.1</v>
      </c>
      <c r="E728" s="296">
        <v>33.72</v>
      </c>
      <c r="F728" s="45">
        <v>60</v>
      </c>
      <c r="G728" s="30">
        <v>45839</v>
      </c>
      <c r="H728" s="156"/>
      <c r="I72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101.16</v>
      </c>
    </row>
    <row r="729" spans="1:9" x14ac:dyDescent="0.3">
      <c r="A729" s="44" t="s">
        <v>4</v>
      </c>
      <c r="B729" s="45" t="s">
        <v>1</v>
      </c>
      <c r="C729" s="45">
        <v>1</v>
      </c>
      <c r="D729" s="295">
        <v>242.71</v>
      </c>
      <c r="E729" s="296">
        <v>291.25</v>
      </c>
      <c r="F729" s="45">
        <v>800</v>
      </c>
      <c r="G729" s="30">
        <v>45839</v>
      </c>
      <c r="H729" s="156"/>
      <c r="I72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291.25</v>
      </c>
    </row>
    <row r="730" spans="1:9" x14ac:dyDescent="0.3">
      <c r="A730" s="44" t="s">
        <v>4</v>
      </c>
      <c r="B730" s="45" t="s">
        <v>1</v>
      </c>
      <c r="C730" s="45">
        <v>2</v>
      </c>
      <c r="D730" s="295">
        <v>202.03</v>
      </c>
      <c r="E730" s="296">
        <v>242.44</v>
      </c>
      <c r="F730" s="45">
        <v>800</v>
      </c>
      <c r="G730" s="30">
        <v>45839</v>
      </c>
      <c r="H730" s="156"/>
      <c r="I73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484.87</v>
      </c>
    </row>
    <row r="731" spans="1:9" x14ac:dyDescent="0.3">
      <c r="A731" s="44" t="s">
        <v>4</v>
      </c>
      <c r="B731" s="45" t="s">
        <v>1</v>
      </c>
      <c r="C731" s="45">
        <v>3</v>
      </c>
      <c r="D731" s="295">
        <v>157.63</v>
      </c>
      <c r="E731" s="296">
        <v>189.16</v>
      </c>
      <c r="F731" s="45">
        <v>800</v>
      </c>
      <c r="G731" s="30">
        <v>45839</v>
      </c>
      <c r="H731" s="156"/>
      <c r="I73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567.47</v>
      </c>
    </row>
    <row r="732" spans="1:9" x14ac:dyDescent="0.3">
      <c r="A732" s="44" t="s">
        <v>4</v>
      </c>
      <c r="B732" s="45" t="s">
        <v>1</v>
      </c>
      <c r="C732" s="45">
        <v>4</v>
      </c>
      <c r="D732" s="295">
        <v>136.59</v>
      </c>
      <c r="E732" s="296">
        <v>163.91</v>
      </c>
      <c r="F732" s="45">
        <v>800</v>
      </c>
      <c r="G732" s="30">
        <v>45839</v>
      </c>
      <c r="H732" s="156"/>
      <c r="I73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655.63</v>
      </c>
    </row>
    <row r="733" spans="1:9" x14ac:dyDescent="0.3">
      <c r="A733" s="44" t="s">
        <v>4</v>
      </c>
      <c r="B733" s="45" t="s">
        <v>1</v>
      </c>
      <c r="C733" s="163">
        <v>5</v>
      </c>
      <c r="D733" s="297">
        <v>117.93</v>
      </c>
      <c r="E733" s="298">
        <v>141.52000000000001</v>
      </c>
      <c r="F733" s="45">
        <v>800</v>
      </c>
      <c r="G733" s="30">
        <v>45839</v>
      </c>
      <c r="H733" s="156"/>
      <c r="I73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707.58</v>
      </c>
    </row>
    <row r="734" spans="1:9" x14ac:dyDescent="0.3">
      <c r="A734" s="44" t="s">
        <v>4</v>
      </c>
      <c r="B734" s="45" t="s">
        <v>1</v>
      </c>
      <c r="C734" s="163">
        <v>6</v>
      </c>
      <c r="D734" s="297">
        <v>117.02</v>
      </c>
      <c r="E734" s="298">
        <v>140.41999999999999</v>
      </c>
      <c r="F734" s="45">
        <v>800</v>
      </c>
      <c r="G734" s="30">
        <v>45839</v>
      </c>
      <c r="H734" s="156"/>
      <c r="I73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842.54</v>
      </c>
    </row>
    <row r="735" spans="1:9" x14ac:dyDescent="0.3">
      <c r="A735" s="44" t="s">
        <v>4</v>
      </c>
      <c r="B735" s="45" t="s">
        <v>1</v>
      </c>
      <c r="C735" s="163">
        <v>7</v>
      </c>
      <c r="D735" s="297">
        <v>114.12</v>
      </c>
      <c r="E735" s="298">
        <v>136.94</v>
      </c>
      <c r="F735" s="45">
        <v>800</v>
      </c>
      <c r="G735" s="30">
        <v>45839</v>
      </c>
      <c r="H735" s="156"/>
      <c r="I73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958.61</v>
      </c>
    </row>
    <row r="736" spans="1:9" x14ac:dyDescent="0.3">
      <c r="A736" s="44" t="s">
        <v>4</v>
      </c>
      <c r="B736" s="45" t="s">
        <v>1</v>
      </c>
      <c r="C736" s="163">
        <v>8</v>
      </c>
      <c r="D736" s="297">
        <v>111.24</v>
      </c>
      <c r="E736" s="298">
        <v>133.49</v>
      </c>
      <c r="F736" s="45">
        <v>800</v>
      </c>
      <c r="G736" s="30">
        <v>45839</v>
      </c>
      <c r="H736" s="156"/>
      <c r="I73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1067.9000000000001</v>
      </c>
    </row>
    <row r="737" spans="1:9" x14ac:dyDescent="0.3">
      <c r="A737" s="44" t="s">
        <v>4</v>
      </c>
      <c r="B737" s="45" t="s">
        <v>1</v>
      </c>
      <c r="C737" s="163">
        <v>9</v>
      </c>
      <c r="D737" s="297">
        <v>108.46</v>
      </c>
      <c r="E737" s="298">
        <v>130.15</v>
      </c>
      <c r="F737" s="45">
        <v>800</v>
      </c>
      <c r="G737" s="30">
        <v>45839</v>
      </c>
      <c r="H737" s="156"/>
      <c r="I73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1171.3699999999999</v>
      </c>
    </row>
    <row r="738" spans="1:9" x14ac:dyDescent="0.3">
      <c r="A738" s="44" t="s">
        <v>4</v>
      </c>
      <c r="B738" s="45" t="s">
        <v>1</v>
      </c>
      <c r="C738" s="45">
        <v>10</v>
      </c>
      <c r="D738" s="295">
        <v>105.75</v>
      </c>
      <c r="E738" s="296">
        <v>126.9</v>
      </c>
      <c r="F738" s="45">
        <v>800</v>
      </c>
      <c r="G738" s="30">
        <v>45839</v>
      </c>
      <c r="H738" s="156"/>
      <c r="I73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1269</v>
      </c>
    </row>
    <row r="739" spans="1:9" x14ac:dyDescent="0.3">
      <c r="A739" s="44" t="s">
        <v>4</v>
      </c>
      <c r="B739" s="45" t="s">
        <v>2</v>
      </c>
      <c r="C739" s="45">
        <v>1</v>
      </c>
      <c r="D739" s="295">
        <v>134.88</v>
      </c>
      <c r="E739" s="296">
        <v>161.86000000000001</v>
      </c>
      <c r="F739" s="45">
        <v>400</v>
      </c>
      <c r="G739" s="30">
        <v>45839</v>
      </c>
      <c r="H739" s="156"/>
      <c r="I73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161.86000000000001</v>
      </c>
    </row>
    <row r="740" spans="1:9" x14ac:dyDescent="0.3">
      <c r="A740" s="44" t="s">
        <v>4</v>
      </c>
      <c r="B740" s="45" t="s">
        <v>2</v>
      </c>
      <c r="C740" s="45">
        <v>2</v>
      </c>
      <c r="D740" s="295">
        <v>111.96</v>
      </c>
      <c r="E740" s="296">
        <v>134.35</v>
      </c>
      <c r="F740" s="45">
        <v>400</v>
      </c>
      <c r="G740" s="30">
        <v>45839</v>
      </c>
      <c r="H740" s="156"/>
      <c r="I74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268.7</v>
      </c>
    </row>
    <row r="741" spans="1:9" x14ac:dyDescent="0.3">
      <c r="A741" s="44" t="s">
        <v>4</v>
      </c>
      <c r="B741" s="45" t="s">
        <v>2</v>
      </c>
      <c r="C741" s="45">
        <v>3</v>
      </c>
      <c r="D741" s="295">
        <v>87.14</v>
      </c>
      <c r="E741" s="296">
        <v>104.57</v>
      </c>
      <c r="F741" s="45">
        <v>400</v>
      </c>
      <c r="G741" s="30">
        <v>45839</v>
      </c>
      <c r="H741" s="156"/>
      <c r="I74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313.7</v>
      </c>
    </row>
    <row r="742" spans="1:9" x14ac:dyDescent="0.3">
      <c r="A742" s="44" t="s">
        <v>4</v>
      </c>
      <c r="B742" s="45" t="s">
        <v>2</v>
      </c>
      <c r="C742" s="45">
        <v>4</v>
      </c>
      <c r="D742" s="295">
        <v>75.33</v>
      </c>
      <c r="E742" s="296">
        <v>90.4</v>
      </c>
      <c r="F742" s="45">
        <v>400</v>
      </c>
      <c r="G742" s="30">
        <v>45839</v>
      </c>
      <c r="H742" s="156"/>
      <c r="I74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361.58</v>
      </c>
    </row>
    <row r="743" spans="1:9" x14ac:dyDescent="0.3">
      <c r="A743" s="162" t="s">
        <v>4</v>
      </c>
      <c r="B743" s="163" t="s">
        <v>2</v>
      </c>
      <c r="C743" s="163">
        <v>5</v>
      </c>
      <c r="D743" s="297">
        <v>64.86</v>
      </c>
      <c r="E743" s="298">
        <v>77.83</v>
      </c>
      <c r="F743" s="45">
        <v>400</v>
      </c>
      <c r="G743" s="30">
        <v>45839</v>
      </c>
      <c r="H743" s="156"/>
      <c r="I74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389.16</v>
      </c>
    </row>
    <row r="744" spans="1:9" x14ac:dyDescent="0.3">
      <c r="A744" s="162" t="s">
        <v>4</v>
      </c>
      <c r="B744" s="163" t="s">
        <v>2</v>
      </c>
      <c r="C744" s="163">
        <v>6</v>
      </c>
      <c r="D744" s="297">
        <v>64.38</v>
      </c>
      <c r="E744" s="298">
        <v>77.260000000000005</v>
      </c>
      <c r="F744" s="45">
        <v>400</v>
      </c>
      <c r="G744" s="30">
        <v>45839</v>
      </c>
      <c r="H744" s="156"/>
      <c r="I74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463.54</v>
      </c>
    </row>
    <row r="745" spans="1:9" x14ac:dyDescent="0.3">
      <c r="A745" s="162" t="s">
        <v>4</v>
      </c>
      <c r="B745" s="163" t="s">
        <v>2</v>
      </c>
      <c r="C745" s="163">
        <v>7</v>
      </c>
      <c r="D745" s="297">
        <v>62.77</v>
      </c>
      <c r="E745" s="298">
        <v>75.319999999999993</v>
      </c>
      <c r="F745" s="45">
        <v>400</v>
      </c>
      <c r="G745" s="30">
        <v>45839</v>
      </c>
      <c r="H745" s="156"/>
      <c r="I74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527.27</v>
      </c>
    </row>
    <row r="746" spans="1:9" x14ac:dyDescent="0.3">
      <c r="A746" s="162" t="s">
        <v>4</v>
      </c>
      <c r="B746" s="163" t="s">
        <v>2</v>
      </c>
      <c r="C746" s="163">
        <v>8</v>
      </c>
      <c r="D746" s="297">
        <v>61.2</v>
      </c>
      <c r="E746" s="298">
        <v>73.44</v>
      </c>
      <c r="F746" s="45">
        <v>400</v>
      </c>
      <c r="G746" s="30">
        <v>45839</v>
      </c>
      <c r="H746" s="156"/>
      <c r="I74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587.52</v>
      </c>
    </row>
    <row r="747" spans="1:9" x14ac:dyDescent="0.3">
      <c r="A747" s="162" t="s">
        <v>4</v>
      </c>
      <c r="B747" s="163" t="s">
        <v>2</v>
      </c>
      <c r="C747" s="163">
        <v>9</v>
      </c>
      <c r="D747" s="297">
        <v>59.67</v>
      </c>
      <c r="E747" s="298">
        <v>71.599999999999994</v>
      </c>
      <c r="F747" s="45">
        <v>400</v>
      </c>
      <c r="G747" s="30">
        <v>45839</v>
      </c>
      <c r="H747" s="156"/>
      <c r="I74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644.44000000000005</v>
      </c>
    </row>
    <row r="748" spans="1:9" x14ac:dyDescent="0.3">
      <c r="A748" s="44" t="s">
        <v>4</v>
      </c>
      <c r="B748" s="45" t="s">
        <v>2</v>
      </c>
      <c r="C748" s="45">
        <v>10</v>
      </c>
      <c r="D748" s="295">
        <v>58.2</v>
      </c>
      <c r="E748" s="296">
        <v>69.84</v>
      </c>
      <c r="F748" s="45">
        <v>400</v>
      </c>
      <c r="G748" s="30">
        <v>45839</v>
      </c>
      <c r="H748" s="156"/>
      <c r="I74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698.4</v>
      </c>
    </row>
    <row r="749" spans="1:9" x14ac:dyDescent="0.3">
      <c r="A749" s="162" t="s">
        <v>4</v>
      </c>
      <c r="B749" s="163" t="s">
        <v>16</v>
      </c>
      <c r="C749" s="163">
        <v>1</v>
      </c>
      <c r="D749" s="297">
        <v>35.659999999999997</v>
      </c>
      <c r="E749" s="298">
        <v>42.79</v>
      </c>
      <c r="F749" s="45">
        <v>60</v>
      </c>
      <c r="G749" s="30">
        <v>45839</v>
      </c>
      <c r="H749" s="156"/>
      <c r="I74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42.79</v>
      </c>
    </row>
    <row r="750" spans="1:9" x14ac:dyDescent="0.3">
      <c r="A750" s="162" t="s">
        <v>4</v>
      </c>
      <c r="B750" s="163" t="s">
        <v>16</v>
      </c>
      <c r="C750" s="163">
        <v>2</v>
      </c>
      <c r="D750" s="297">
        <v>32.69</v>
      </c>
      <c r="E750" s="298">
        <v>39.229999999999997</v>
      </c>
      <c r="F750" s="45">
        <v>60</v>
      </c>
      <c r="G750" s="30">
        <v>45839</v>
      </c>
      <c r="H750" s="156"/>
      <c r="I75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78.459999999999994</v>
      </c>
    </row>
    <row r="751" spans="1:9" x14ac:dyDescent="0.3">
      <c r="A751" s="162" t="s">
        <v>4</v>
      </c>
      <c r="B751" s="163" t="s">
        <v>16</v>
      </c>
      <c r="C751" s="163">
        <v>3</v>
      </c>
      <c r="D751" s="297">
        <v>32.44</v>
      </c>
      <c r="E751" s="298">
        <v>38.93</v>
      </c>
      <c r="F751" s="45">
        <v>60</v>
      </c>
      <c r="G751" s="30">
        <v>45839</v>
      </c>
      <c r="H751" s="156"/>
      <c r="I75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116.78</v>
      </c>
    </row>
    <row r="752" spans="1:9" x14ac:dyDescent="0.3">
      <c r="A752" s="162" t="s">
        <v>4</v>
      </c>
      <c r="B752" s="163" t="s">
        <v>16</v>
      </c>
      <c r="C752" s="163">
        <v>4</v>
      </c>
      <c r="D752" s="297">
        <v>32.229999999999997</v>
      </c>
      <c r="E752" s="298">
        <v>38.68</v>
      </c>
      <c r="F752" s="45">
        <v>60</v>
      </c>
      <c r="G752" s="30">
        <v>45839</v>
      </c>
      <c r="H752" s="156"/>
      <c r="I75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154.69999999999999</v>
      </c>
    </row>
    <row r="753" spans="1:9" x14ac:dyDescent="0.3">
      <c r="A753" s="44" t="s">
        <v>4</v>
      </c>
      <c r="B753" s="45" t="s">
        <v>16</v>
      </c>
      <c r="C753" s="45">
        <v>5</v>
      </c>
      <c r="D753" s="295">
        <v>31.95</v>
      </c>
      <c r="E753" s="296">
        <v>38.340000000000003</v>
      </c>
      <c r="F753" s="45">
        <v>60</v>
      </c>
      <c r="G753" s="30">
        <v>45839</v>
      </c>
      <c r="H753" s="156"/>
      <c r="I75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191.7</v>
      </c>
    </row>
    <row r="754" spans="1:9" x14ac:dyDescent="0.3">
      <c r="A754" s="44" t="s">
        <v>9</v>
      </c>
      <c r="B754" s="45" t="s">
        <v>1</v>
      </c>
      <c r="C754" s="45">
        <v>1</v>
      </c>
      <c r="D754" s="295">
        <v>558.14</v>
      </c>
      <c r="E754" s="296">
        <v>669.77</v>
      </c>
      <c r="F754" s="45">
        <v>800</v>
      </c>
      <c r="G754" s="30">
        <v>45839</v>
      </c>
      <c r="H754" s="156"/>
      <c r="I75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669.77</v>
      </c>
    </row>
    <row r="755" spans="1:9" x14ac:dyDescent="0.3">
      <c r="A755" s="44" t="s">
        <v>9</v>
      </c>
      <c r="B755" s="45" t="s">
        <v>1</v>
      </c>
      <c r="C755" s="45">
        <v>2</v>
      </c>
      <c r="D755" s="295">
        <v>464.6</v>
      </c>
      <c r="E755" s="296">
        <v>557.52</v>
      </c>
      <c r="F755" s="45">
        <v>800</v>
      </c>
      <c r="G755" s="30">
        <v>45839</v>
      </c>
      <c r="H755" s="156"/>
      <c r="I75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1115.04</v>
      </c>
    </row>
    <row r="756" spans="1:9" x14ac:dyDescent="0.3">
      <c r="A756" s="44" t="s">
        <v>9</v>
      </c>
      <c r="B756" s="45" t="s">
        <v>1</v>
      </c>
      <c r="C756" s="45">
        <v>3</v>
      </c>
      <c r="D756" s="295">
        <v>362.43</v>
      </c>
      <c r="E756" s="296">
        <v>434.92</v>
      </c>
      <c r="F756" s="45">
        <v>800</v>
      </c>
      <c r="G756" s="30">
        <v>45839</v>
      </c>
      <c r="H756" s="156"/>
      <c r="I75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1304.75</v>
      </c>
    </row>
    <row r="757" spans="1:9" x14ac:dyDescent="0.3">
      <c r="A757" s="44" t="s">
        <v>9</v>
      </c>
      <c r="B757" s="45" t="s">
        <v>1</v>
      </c>
      <c r="C757" s="45">
        <v>4</v>
      </c>
      <c r="D757" s="295">
        <v>314.20999999999998</v>
      </c>
      <c r="E757" s="296">
        <v>377.05</v>
      </c>
      <c r="F757" s="45">
        <v>800</v>
      </c>
      <c r="G757" s="30">
        <v>45839</v>
      </c>
      <c r="H757" s="156"/>
      <c r="I75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1508.21</v>
      </c>
    </row>
    <row r="758" spans="1:9" x14ac:dyDescent="0.3">
      <c r="A758" s="44" t="s">
        <v>9</v>
      </c>
      <c r="B758" s="45" t="s">
        <v>1</v>
      </c>
      <c r="C758" s="45">
        <v>5</v>
      </c>
      <c r="D758" s="295">
        <v>271.20999999999998</v>
      </c>
      <c r="E758" s="296">
        <v>325.45</v>
      </c>
      <c r="F758" s="45">
        <v>800</v>
      </c>
      <c r="G758" s="30">
        <v>45839</v>
      </c>
      <c r="H758" s="156"/>
      <c r="I75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1627.26</v>
      </c>
    </row>
    <row r="759" spans="1:9" x14ac:dyDescent="0.3">
      <c r="A759" s="44" t="s">
        <v>9</v>
      </c>
      <c r="B759" s="45" t="s">
        <v>1</v>
      </c>
      <c r="C759" s="45">
        <v>6</v>
      </c>
      <c r="D759" s="295">
        <v>239.78</v>
      </c>
      <c r="E759" s="296">
        <v>287.74</v>
      </c>
      <c r="F759" s="45">
        <v>800</v>
      </c>
      <c r="G759" s="30">
        <v>45839</v>
      </c>
      <c r="H759" s="156"/>
      <c r="I75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1726.42</v>
      </c>
    </row>
    <row r="760" spans="1:9" x14ac:dyDescent="0.3">
      <c r="A760" s="44" t="s">
        <v>9</v>
      </c>
      <c r="B760" s="45" t="s">
        <v>1</v>
      </c>
      <c r="C760" s="45">
        <v>7</v>
      </c>
      <c r="D760" s="295">
        <v>211.86</v>
      </c>
      <c r="E760" s="296">
        <v>254.23</v>
      </c>
      <c r="F760" s="45">
        <v>800</v>
      </c>
      <c r="G760" s="30">
        <v>45839</v>
      </c>
      <c r="H760" s="156"/>
      <c r="I76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1779.62</v>
      </c>
    </row>
    <row r="761" spans="1:9" x14ac:dyDescent="0.3">
      <c r="A761" s="44" t="s">
        <v>9</v>
      </c>
      <c r="B761" s="45" t="s">
        <v>1</v>
      </c>
      <c r="C761" s="45">
        <v>8</v>
      </c>
      <c r="D761" s="295">
        <v>189.53</v>
      </c>
      <c r="E761" s="296">
        <v>227.44</v>
      </c>
      <c r="F761" s="45">
        <v>800</v>
      </c>
      <c r="G761" s="30">
        <v>45839</v>
      </c>
      <c r="H761" s="156"/>
      <c r="I76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1819.49</v>
      </c>
    </row>
    <row r="762" spans="1:9" x14ac:dyDescent="0.3">
      <c r="A762" s="44" t="s">
        <v>9</v>
      </c>
      <c r="B762" s="45" t="s">
        <v>1</v>
      </c>
      <c r="C762" s="45">
        <v>9</v>
      </c>
      <c r="D762" s="295">
        <v>172.57</v>
      </c>
      <c r="E762" s="296">
        <v>207.08</v>
      </c>
      <c r="F762" s="45">
        <v>800</v>
      </c>
      <c r="G762" s="30">
        <v>45839</v>
      </c>
      <c r="H762" s="156"/>
      <c r="I76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1863.76</v>
      </c>
    </row>
    <row r="763" spans="1:9" x14ac:dyDescent="0.3">
      <c r="A763" s="44" t="s">
        <v>9</v>
      </c>
      <c r="B763" s="45" t="s">
        <v>1</v>
      </c>
      <c r="C763" s="45">
        <v>10</v>
      </c>
      <c r="D763" s="295">
        <v>161.22999999999999</v>
      </c>
      <c r="E763" s="296">
        <v>193.48</v>
      </c>
      <c r="F763" s="45">
        <v>800</v>
      </c>
      <c r="G763" s="30">
        <v>45839</v>
      </c>
      <c r="H763" s="156"/>
      <c r="I76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1934.76</v>
      </c>
    </row>
    <row r="764" spans="1:9" x14ac:dyDescent="0.3">
      <c r="A764" s="44" t="s">
        <v>9</v>
      </c>
      <c r="B764" s="45" t="s">
        <v>2</v>
      </c>
      <c r="C764" s="45">
        <v>1</v>
      </c>
      <c r="D764" s="295">
        <v>265.69</v>
      </c>
      <c r="E764" s="296">
        <v>318.83</v>
      </c>
      <c r="F764" s="45">
        <v>400</v>
      </c>
      <c r="G764" s="30">
        <v>45839</v>
      </c>
      <c r="H764" s="156"/>
      <c r="I76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318.83</v>
      </c>
    </row>
    <row r="765" spans="1:9" x14ac:dyDescent="0.3">
      <c r="A765" s="44" t="s">
        <v>9</v>
      </c>
      <c r="B765" s="45" t="s">
        <v>2</v>
      </c>
      <c r="C765" s="45">
        <v>2</v>
      </c>
      <c r="D765" s="295">
        <v>220.57</v>
      </c>
      <c r="E765" s="296">
        <v>264.68</v>
      </c>
      <c r="F765" s="45">
        <v>400</v>
      </c>
      <c r="G765" s="30">
        <v>45839</v>
      </c>
      <c r="H765" s="156"/>
      <c r="I76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529.37</v>
      </c>
    </row>
    <row r="766" spans="1:9" x14ac:dyDescent="0.3">
      <c r="A766" s="44" t="s">
        <v>9</v>
      </c>
      <c r="B766" s="45" t="s">
        <v>2</v>
      </c>
      <c r="C766" s="45">
        <v>3</v>
      </c>
      <c r="D766" s="295">
        <v>171.7</v>
      </c>
      <c r="E766" s="296">
        <v>206.04</v>
      </c>
      <c r="F766" s="45">
        <v>400</v>
      </c>
      <c r="G766" s="30">
        <v>45839</v>
      </c>
      <c r="H766" s="156"/>
      <c r="I76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618.12</v>
      </c>
    </row>
    <row r="767" spans="1:9" x14ac:dyDescent="0.3">
      <c r="A767" s="44" t="s">
        <v>9</v>
      </c>
      <c r="B767" s="45" t="s">
        <v>2</v>
      </c>
      <c r="C767" s="45">
        <v>4</v>
      </c>
      <c r="D767" s="295">
        <v>148.52000000000001</v>
      </c>
      <c r="E767" s="296">
        <v>178.22</v>
      </c>
      <c r="F767" s="45">
        <v>400</v>
      </c>
      <c r="G767" s="30">
        <v>45839</v>
      </c>
      <c r="H767" s="156"/>
      <c r="I76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712.9</v>
      </c>
    </row>
    <row r="768" spans="1:9" x14ac:dyDescent="0.3">
      <c r="A768" s="44" t="s">
        <v>9</v>
      </c>
      <c r="B768" s="45" t="s">
        <v>2</v>
      </c>
      <c r="C768" s="45">
        <v>5</v>
      </c>
      <c r="D768" s="295">
        <v>127.9</v>
      </c>
      <c r="E768" s="296">
        <v>153.47999999999999</v>
      </c>
      <c r="F768" s="45">
        <v>400</v>
      </c>
      <c r="G768" s="30">
        <v>45839</v>
      </c>
      <c r="H768" s="156"/>
      <c r="I76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767.4</v>
      </c>
    </row>
    <row r="769" spans="1:9" x14ac:dyDescent="0.3">
      <c r="A769" s="44" t="s">
        <v>9</v>
      </c>
      <c r="B769" s="45" t="s">
        <v>2</v>
      </c>
      <c r="C769" s="45">
        <v>6</v>
      </c>
      <c r="D769" s="295">
        <v>112.77</v>
      </c>
      <c r="E769" s="296">
        <v>135.32</v>
      </c>
      <c r="F769" s="45">
        <v>400</v>
      </c>
      <c r="G769" s="30">
        <v>45839</v>
      </c>
      <c r="H769" s="156"/>
      <c r="I76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811.94</v>
      </c>
    </row>
    <row r="770" spans="1:9" x14ac:dyDescent="0.3">
      <c r="A770" s="44" t="s">
        <v>9</v>
      </c>
      <c r="B770" s="45" t="s">
        <v>2</v>
      </c>
      <c r="C770" s="45">
        <v>7</v>
      </c>
      <c r="D770" s="295">
        <v>99.38</v>
      </c>
      <c r="E770" s="296">
        <v>119.26</v>
      </c>
      <c r="F770" s="45">
        <v>400</v>
      </c>
      <c r="G770" s="30">
        <v>45839</v>
      </c>
      <c r="H770" s="156"/>
      <c r="I77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834.79</v>
      </c>
    </row>
    <row r="771" spans="1:9" x14ac:dyDescent="0.3">
      <c r="A771" s="44" t="s">
        <v>9</v>
      </c>
      <c r="B771" s="45" t="s">
        <v>2</v>
      </c>
      <c r="C771" s="45">
        <v>8</v>
      </c>
      <c r="D771" s="295">
        <v>88.72</v>
      </c>
      <c r="E771" s="296">
        <v>106.46</v>
      </c>
      <c r="F771" s="45">
        <v>400</v>
      </c>
      <c r="G771" s="30">
        <v>45839</v>
      </c>
      <c r="H771" s="156"/>
      <c r="I77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851.71</v>
      </c>
    </row>
    <row r="772" spans="1:9" x14ac:dyDescent="0.3">
      <c r="A772" s="44" t="s">
        <v>9</v>
      </c>
      <c r="B772" s="45" t="s">
        <v>2</v>
      </c>
      <c r="C772" s="45">
        <v>9</v>
      </c>
      <c r="D772" s="295">
        <v>80.55</v>
      </c>
      <c r="E772" s="296">
        <v>96.66</v>
      </c>
      <c r="F772" s="45">
        <v>400</v>
      </c>
      <c r="G772" s="30">
        <v>45839</v>
      </c>
      <c r="H772" s="156"/>
      <c r="I77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869.94</v>
      </c>
    </row>
    <row r="773" spans="1:9" x14ac:dyDescent="0.3">
      <c r="A773" s="44" t="s">
        <v>9</v>
      </c>
      <c r="B773" s="45" t="s">
        <v>2</v>
      </c>
      <c r="C773" s="45">
        <v>10</v>
      </c>
      <c r="D773" s="295">
        <v>75.040000000000006</v>
      </c>
      <c r="E773" s="296">
        <v>90.05</v>
      </c>
      <c r="F773" s="45">
        <v>400</v>
      </c>
      <c r="G773" s="30">
        <v>45839</v>
      </c>
      <c r="H773" s="156"/>
      <c r="I77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900.48</v>
      </c>
    </row>
    <row r="774" spans="1:9" x14ac:dyDescent="0.3">
      <c r="A774" s="44" t="s">
        <v>9</v>
      </c>
      <c r="B774" s="45" t="s">
        <v>16</v>
      </c>
      <c r="C774" s="45">
        <v>1</v>
      </c>
      <c r="D774" s="295">
        <v>46.15</v>
      </c>
      <c r="E774" s="296">
        <v>55.38</v>
      </c>
      <c r="F774" s="45">
        <v>60</v>
      </c>
      <c r="G774" s="30">
        <v>45839</v>
      </c>
      <c r="H774" s="156"/>
      <c r="I77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55.38</v>
      </c>
    </row>
    <row r="775" spans="1:9" x14ac:dyDescent="0.3">
      <c r="A775" s="44" t="s">
        <v>9</v>
      </c>
      <c r="B775" s="45" t="s">
        <v>16</v>
      </c>
      <c r="C775" s="45">
        <v>2</v>
      </c>
      <c r="D775" s="295">
        <v>42.29</v>
      </c>
      <c r="E775" s="296">
        <v>50.75</v>
      </c>
      <c r="F775" s="45">
        <v>60</v>
      </c>
      <c r="G775" s="30">
        <v>45839</v>
      </c>
      <c r="H775" s="156"/>
      <c r="I77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101.5</v>
      </c>
    </row>
    <row r="776" spans="1:9" x14ac:dyDescent="0.3">
      <c r="A776" s="44" t="s">
        <v>9</v>
      </c>
      <c r="B776" s="45" t="s">
        <v>16</v>
      </c>
      <c r="C776" s="45">
        <v>3</v>
      </c>
      <c r="D776" s="295">
        <v>38.76</v>
      </c>
      <c r="E776" s="296">
        <v>46.51</v>
      </c>
      <c r="F776" s="45">
        <v>60</v>
      </c>
      <c r="G776" s="30">
        <v>45839</v>
      </c>
      <c r="H776" s="156"/>
      <c r="I77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139.54</v>
      </c>
    </row>
    <row r="777" spans="1:9" x14ac:dyDescent="0.3">
      <c r="A777" s="44" t="s">
        <v>9</v>
      </c>
      <c r="B777" s="45" t="s">
        <v>16</v>
      </c>
      <c r="C777" s="45">
        <v>4</v>
      </c>
      <c r="D777" s="295">
        <v>35.450000000000003</v>
      </c>
      <c r="E777" s="296">
        <v>42.54</v>
      </c>
      <c r="F777" s="45">
        <v>60</v>
      </c>
      <c r="G777" s="30">
        <v>45839</v>
      </c>
      <c r="H777" s="156"/>
      <c r="I77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170.16</v>
      </c>
    </row>
    <row r="778" spans="1:9" x14ac:dyDescent="0.3">
      <c r="A778" s="44" t="s">
        <v>9</v>
      </c>
      <c r="B778" s="45" t="s">
        <v>16</v>
      </c>
      <c r="C778" s="45">
        <v>5</v>
      </c>
      <c r="D778" s="295">
        <v>32.49</v>
      </c>
      <c r="E778" s="296">
        <v>38.99</v>
      </c>
      <c r="F778" s="45">
        <v>60</v>
      </c>
      <c r="G778" s="30">
        <v>45839</v>
      </c>
      <c r="H778" s="156"/>
      <c r="I77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194.94</v>
      </c>
    </row>
    <row r="779" spans="1:9" x14ac:dyDescent="0.3">
      <c r="A779" s="44" t="s">
        <v>9</v>
      </c>
      <c r="B779" s="45" t="s">
        <v>16</v>
      </c>
      <c r="C779" s="45">
        <v>6</v>
      </c>
      <c r="D779" s="295">
        <v>29.78</v>
      </c>
      <c r="E779" s="296">
        <v>35.74</v>
      </c>
      <c r="F779" s="45">
        <v>60</v>
      </c>
      <c r="G779" s="30">
        <v>45839</v>
      </c>
      <c r="H779" s="156"/>
      <c r="I77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214.42</v>
      </c>
    </row>
    <row r="780" spans="1:9" x14ac:dyDescent="0.3">
      <c r="A780" s="44" t="s">
        <v>9</v>
      </c>
      <c r="B780" s="45" t="s">
        <v>16</v>
      </c>
      <c r="C780" s="45">
        <v>7</v>
      </c>
      <c r="D780" s="295">
        <v>26.79</v>
      </c>
      <c r="E780" s="296">
        <v>32.15</v>
      </c>
      <c r="F780" s="45">
        <v>60</v>
      </c>
      <c r="G780" s="30">
        <v>45839</v>
      </c>
      <c r="H780" s="156"/>
      <c r="I78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225.04</v>
      </c>
    </row>
    <row r="781" spans="1:9" x14ac:dyDescent="0.3">
      <c r="A781" s="44" t="s">
        <v>9</v>
      </c>
      <c r="B781" s="45" t="s">
        <v>16</v>
      </c>
      <c r="C781" s="45">
        <v>8</v>
      </c>
      <c r="D781" s="295">
        <v>24.09</v>
      </c>
      <c r="E781" s="296">
        <v>28.91</v>
      </c>
      <c r="F781" s="45">
        <v>60</v>
      </c>
      <c r="G781" s="30">
        <v>45839</v>
      </c>
      <c r="H781" s="156"/>
      <c r="I78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231.26</v>
      </c>
    </row>
    <row r="782" spans="1:9" x14ac:dyDescent="0.3">
      <c r="A782" s="44" t="s">
        <v>9</v>
      </c>
      <c r="B782" s="45" t="s">
        <v>16</v>
      </c>
      <c r="C782" s="45">
        <v>9</v>
      </c>
      <c r="D782" s="295">
        <v>21.71</v>
      </c>
      <c r="E782" s="296">
        <v>26.05</v>
      </c>
      <c r="F782" s="45">
        <v>60</v>
      </c>
      <c r="G782" s="30">
        <v>45839</v>
      </c>
      <c r="H782" s="156"/>
      <c r="I78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234.47</v>
      </c>
    </row>
    <row r="783" spans="1:9" x14ac:dyDescent="0.3">
      <c r="A783" s="44" t="s">
        <v>9</v>
      </c>
      <c r="B783" s="45" t="s">
        <v>16</v>
      </c>
      <c r="C783" s="45">
        <v>10</v>
      </c>
      <c r="D783" s="295">
        <v>19.78</v>
      </c>
      <c r="E783" s="296">
        <v>23.74</v>
      </c>
      <c r="F783" s="45">
        <v>60</v>
      </c>
      <c r="G783" s="30">
        <v>45839</v>
      </c>
      <c r="H783" s="156"/>
      <c r="I78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237.36</v>
      </c>
    </row>
    <row r="784" spans="1:9" x14ac:dyDescent="0.3">
      <c r="A784" s="44" t="s">
        <v>11</v>
      </c>
      <c r="B784" s="45" t="s">
        <v>1</v>
      </c>
      <c r="C784" s="45">
        <v>1</v>
      </c>
      <c r="D784" s="295">
        <v>704.9</v>
      </c>
      <c r="E784" s="296">
        <v>845.88</v>
      </c>
      <c r="F784" s="45">
        <v>800</v>
      </c>
      <c r="G784" s="30">
        <v>45839</v>
      </c>
      <c r="H784" s="156"/>
      <c r="I78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845.88</v>
      </c>
    </row>
    <row r="785" spans="1:9" x14ac:dyDescent="0.3">
      <c r="A785" s="44" t="s">
        <v>11</v>
      </c>
      <c r="B785" s="45" t="s">
        <v>1</v>
      </c>
      <c r="C785" s="45">
        <v>2</v>
      </c>
      <c r="D785" s="295">
        <v>623.32000000000005</v>
      </c>
      <c r="E785" s="296">
        <v>747.98</v>
      </c>
      <c r="F785" s="45">
        <v>800</v>
      </c>
      <c r="G785" s="30">
        <v>45839</v>
      </c>
      <c r="H785" s="156"/>
      <c r="I78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1495.97</v>
      </c>
    </row>
    <row r="786" spans="1:9" x14ac:dyDescent="0.3">
      <c r="A786" s="44" t="s">
        <v>11</v>
      </c>
      <c r="B786" s="45" t="s">
        <v>1</v>
      </c>
      <c r="C786" s="45">
        <v>3</v>
      </c>
      <c r="D786" s="295">
        <v>551.16999999999996</v>
      </c>
      <c r="E786" s="296">
        <v>661.4</v>
      </c>
      <c r="F786" s="45">
        <v>800</v>
      </c>
      <c r="G786" s="30">
        <v>45839</v>
      </c>
      <c r="H786" s="156"/>
      <c r="I78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1984.21</v>
      </c>
    </row>
    <row r="787" spans="1:9" x14ac:dyDescent="0.3">
      <c r="A787" s="44" t="s">
        <v>11</v>
      </c>
      <c r="B787" s="45" t="s">
        <v>1</v>
      </c>
      <c r="C787" s="45">
        <v>4</v>
      </c>
      <c r="D787" s="295">
        <v>487.35</v>
      </c>
      <c r="E787" s="296">
        <v>584.82000000000005</v>
      </c>
      <c r="F787" s="45">
        <v>800</v>
      </c>
      <c r="G787" s="30">
        <v>45839</v>
      </c>
      <c r="H787" s="156"/>
      <c r="I78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2339.2800000000002</v>
      </c>
    </row>
    <row r="788" spans="1:9" x14ac:dyDescent="0.3">
      <c r="A788" s="44" t="s">
        <v>11</v>
      </c>
      <c r="B788" s="45" t="s">
        <v>1</v>
      </c>
      <c r="C788" s="45">
        <v>5</v>
      </c>
      <c r="D788" s="295">
        <v>430.85</v>
      </c>
      <c r="E788" s="296">
        <v>517.02</v>
      </c>
      <c r="F788" s="45">
        <v>800</v>
      </c>
      <c r="G788" s="30">
        <v>45839</v>
      </c>
      <c r="H788" s="156"/>
      <c r="I78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2585.1</v>
      </c>
    </row>
    <row r="789" spans="1:9" x14ac:dyDescent="0.3">
      <c r="A789" s="44" t="s">
        <v>11</v>
      </c>
      <c r="B789" s="45" t="s">
        <v>1</v>
      </c>
      <c r="C789" s="45">
        <v>6</v>
      </c>
      <c r="D789" s="295">
        <v>380.8</v>
      </c>
      <c r="E789" s="296">
        <v>456.96</v>
      </c>
      <c r="F789" s="45">
        <v>800</v>
      </c>
      <c r="G789" s="30">
        <v>45839</v>
      </c>
      <c r="H789" s="156"/>
      <c r="I78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2741.76</v>
      </c>
    </row>
    <row r="790" spans="1:9" x14ac:dyDescent="0.3">
      <c r="A790" s="44" t="s">
        <v>11</v>
      </c>
      <c r="B790" s="45" t="s">
        <v>1</v>
      </c>
      <c r="C790" s="45">
        <v>7</v>
      </c>
      <c r="D790" s="295">
        <v>336.63</v>
      </c>
      <c r="E790" s="296">
        <v>403.96</v>
      </c>
      <c r="F790" s="45">
        <v>800</v>
      </c>
      <c r="G790" s="30">
        <v>45839</v>
      </c>
      <c r="H790" s="156"/>
      <c r="I79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2827.69</v>
      </c>
    </row>
    <row r="791" spans="1:9" x14ac:dyDescent="0.3">
      <c r="A791" s="44" t="s">
        <v>11</v>
      </c>
      <c r="B791" s="45" t="s">
        <v>1</v>
      </c>
      <c r="C791" s="45">
        <v>8</v>
      </c>
      <c r="D791" s="295">
        <v>301.18</v>
      </c>
      <c r="E791" s="296">
        <v>361.42</v>
      </c>
      <c r="F791" s="45">
        <v>800</v>
      </c>
      <c r="G791" s="30">
        <v>45839</v>
      </c>
      <c r="H791" s="156"/>
      <c r="I79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2891.33</v>
      </c>
    </row>
    <row r="792" spans="1:9" x14ac:dyDescent="0.3">
      <c r="A792" s="44" t="s">
        <v>11</v>
      </c>
      <c r="B792" s="45" t="s">
        <v>1</v>
      </c>
      <c r="C792" s="45">
        <v>9</v>
      </c>
      <c r="D792" s="295">
        <v>274</v>
      </c>
      <c r="E792" s="296">
        <v>328.8</v>
      </c>
      <c r="F792" s="45">
        <v>800</v>
      </c>
      <c r="G792" s="30">
        <v>45839</v>
      </c>
      <c r="H792" s="156"/>
      <c r="I79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2959.2</v>
      </c>
    </row>
    <row r="793" spans="1:9" x14ac:dyDescent="0.3">
      <c r="A793" s="44" t="s">
        <v>11</v>
      </c>
      <c r="B793" s="45" t="s">
        <v>1</v>
      </c>
      <c r="C793" s="45">
        <v>10</v>
      </c>
      <c r="D793" s="295">
        <v>255.93</v>
      </c>
      <c r="E793" s="296">
        <v>307.12</v>
      </c>
      <c r="F793" s="45">
        <v>800</v>
      </c>
      <c r="G793" s="30">
        <v>45839</v>
      </c>
      <c r="H793" s="156"/>
      <c r="I79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3071.16</v>
      </c>
    </row>
    <row r="794" spans="1:9" x14ac:dyDescent="0.3">
      <c r="A794" s="44" t="s">
        <v>11</v>
      </c>
      <c r="B794" s="45" t="s">
        <v>2</v>
      </c>
      <c r="C794" s="45">
        <v>1</v>
      </c>
      <c r="D794" s="295">
        <v>437.3</v>
      </c>
      <c r="E794" s="296">
        <v>524.76</v>
      </c>
      <c r="F794" s="45">
        <v>400</v>
      </c>
      <c r="G794" s="30">
        <v>45839</v>
      </c>
      <c r="H794" s="156"/>
      <c r="I79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524.76</v>
      </c>
    </row>
    <row r="795" spans="1:9" x14ac:dyDescent="0.3">
      <c r="A795" s="44" t="s">
        <v>11</v>
      </c>
      <c r="B795" s="45" t="s">
        <v>2</v>
      </c>
      <c r="C795" s="45">
        <v>2</v>
      </c>
      <c r="D795" s="295">
        <v>385.81</v>
      </c>
      <c r="E795" s="296">
        <v>462.97</v>
      </c>
      <c r="F795" s="45">
        <v>400</v>
      </c>
      <c r="G795" s="30">
        <v>45839</v>
      </c>
      <c r="H795" s="156"/>
      <c r="I79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925.94</v>
      </c>
    </row>
    <row r="796" spans="1:9" x14ac:dyDescent="0.3">
      <c r="A796" s="44" t="s">
        <v>11</v>
      </c>
      <c r="B796" s="45" t="s">
        <v>2</v>
      </c>
      <c r="C796" s="45">
        <v>3</v>
      </c>
      <c r="D796" s="295">
        <v>340.32</v>
      </c>
      <c r="E796" s="296">
        <v>408.38</v>
      </c>
      <c r="F796" s="45">
        <v>400</v>
      </c>
      <c r="G796" s="30">
        <v>45839</v>
      </c>
      <c r="H796" s="156"/>
      <c r="I79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1225.1500000000001</v>
      </c>
    </row>
    <row r="797" spans="1:9" x14ac:dyDescent="0.3">
      <c r="A797" s="44" t="s">
        <v>11</v>
      </c>
      <c r="B797" s="45" t="s">
        <v>2</v>
      </c>
      <c r="C797" s="45">
        <v>4</v>
      </c>
      <c r="D797" s="295">
        <v>300.18</v>
      </c>
      <c r="E797" s="296">
        <v>360.22</v>
      </c>
      <c r="F797" s="45">
        <v>400</v>
      </c>
      <c r="G797" s="30">
        <v>45839</v>
      </c>
      <c r="H797" s="156"/>
      <c r="I79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1440.86</v>
      </c>
    </row>
    <row r="798" spans="1:9" x14ac:dyDescent="0.3">
      <c r="A798" s="44" t="s">
        <v>11</v>
      </c>
      <c r="B798" s="45" t="s">
        <v>2</v>
      </c>
      <c r="C798" s="45">
        <v>5</v>
      </c>
      <c r="D798" s="295">
        <v>264.70999999999998</v>
      </c>
      <c r="E798" s="296">
        <v>317.64999999999998</v>
      </c>
      <c r="F798" s="45">
        <v>400</v>
      </c>
      <c r="G798" s="30">
        <v>45839</v>
      </c>
      <c r="H798" s="156"/>
      <c r="I79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1588.26</v>
      </c>
    </row>
    <row r="799" spans="1:9" x14ac:dyDescent="0.3">
      <c r="A799" s="44" t="s">
        <v>11</v>
      </c>
      <c r="B799" s="45" t="s">
        <v>2</v>
      </c>
      <c r="C799" s="45">
        <v>6</v>
      </c>
      <c r="D799" s="295">
        <v>233.43</v>
      </c>
      <c r="E799" s="296">
        <v>280.12</v>
      </c>
      <c r="F799" s="45">
        <v>400</v>
      </c>
      <c r="G799" s="30">
        <v>45839</v>
      </c>
      <c r="H799" s="156"/>
      <c r="I79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1680.7</v>
      </c>
    </row>
    <row r="800" spans="1:9" x14ac:dyDescent="0.3">
      <c r="A800" s="44" t="s">
        <v>11</v>
      </c>
      <c r="B800" s="45" t="s">
        <v>2</v>
      </c>
      <c r="C800" s="45">
        <v>7</v>
      </c>
      <c r="D800" s="295">
        <v>205.81</v>
      </c>
      <c r="E800" s="296">
        <v>246.97</v>
      </c>
      <c r="F800" s="45">
        <v>400</v>
      </c>
      <c r="G800" s="30">
        <v>45839</v>
      </c>
      <c r="H800" s="156"/>
      <c r="I80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1728.8</v>
      </c>
    </row>
    <row r="801" spans="1:9" x14ac:dyDescent="0.3">
      <c r="A801" s="44" t="s">
        <v>11</v>
      </c>
      <c r="B801" s="45" t="s">
        <v>2</v>
      </c>
      <c r="C801" s="45">
        <v>8</v>
      </c>
      <c r="D801" s="295">
        <v>183.68</v>
      </c>
      <c r="E801" s="296">
        <v>220.42</v>
      </c>
      <c r="F801" s="45">
        <v>400</v>
      </c>
      <c r="G801" s="30">
        <v>45839</v>
      </c>
      <c r="H801" s="156"/>
      <c r="I80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1763.33</v>
      </c>
    </row>
    <row r="802" spans="1:9" x14ac:dyDescent="0.3">
      <c r="A802" s="44" t="s">
        <v>11</v>
      </c>
      <c r="B802" s="45" t="s">
        <v>2</v>
      </c>
      <c r="C802" s="45">
        <v>9</v>
      </c>
      <c r="D802" s="295">
        <v>166.76</v>
      </c>
      <c r="E802" s="296">
        <v>200.11</v>
      </c>
      <c r="F802" s="45">
        <v>400</v>
      </c>
      <c r="G802" s="30">
        <v>45839</v>
      </c>
      <c r="H802" s="156"/>
      <c r="I80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1801.01</v>
      </c>
    </row>
    <row r="803" spans="1:9" x14ac:dyDescent="0.3">
      <c r="A803" s="44" t="s">
        <v>11</v>
      </c>
      <c r="B803" s="45" t="s">
        <v>2</v>
      </c>
      <c r="C803" s="45">
        <v>10</v>
      </c>
      <c r="D803" s="295">
        <v>155.37</v>
      </c>
      <c r="E803" s="296">
        <v>186.44</v>
      </c>
      <c r="F803" s="45">
        <v>400</v>
      </c>
      <c r="G803" s="30">
        <v>45839</v>
      </c>
      <c r="H803" s="156"/>
      <c r="I80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1864.44</v>
      </c>
    </row>
    <row r="804" spans="1:9" x14ac:dyDescent="0.3">
      <c r="A804" s="44" t="s">
        <v>11</v>
      </c>
      <c r="B804" s="45" t="s">
        <v>16</v>
      </c>
      <c r="C804" s="45">
        <v>1</v>
      </c>
      <c r="D804" s="295">
        <v>53.63</v>
      </c>
      <c r="E804" s="296">
        <v>64.36</v>
      </c>
      <c r="F804" s="45">
        <v>60</v>
      </c>
      <c r="G804" s="30">
        <v>45839</v>
      </c>
      <c r="H804" s="156"/>
      <c r="I80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64.36</v>
      </c>
    </row>
    <row r="805" spans="1:9" x14ac:dyDescent="0.3">
      <c r="A805" s="44" t="s">
        <v>11</v>
      </c>
      <c r="B805" s="45" t="s">
        <v>16</v>
      </c>
      <c r="C805" s="45">
        <v>2</v>
      </c>
      <c r="D805" s="295">
        <v>49.12</v>
      </c>
      <c r="E805" s="296">
        <v>58.94</v>
      </c>
      <c r="F805" s="45">
        <v>60</v>
      </c>
      <c r="G805" s="30">
        <v>45839</v>
      </c>
      <c r="H805" s="156"/>
      <c r="I80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117.89</v>
      </c>
    </row>
    <row r="806" spans="1:9" x14ac:dyDescent="0.3">
      <c r="A806" s="44" t="s">
        <v>11</v>
      </c>
      <c r="B806" s="45" t="s">
        <v>16</v>
      </c>
      <c r="C806" s="45">
        <v>3</v>
      </c>
      <c r="D806" s="295">
        <v>44.97</v>
      </c>
      <c r="E806" s="296">
        <v>53.96</v>
      </c>
      <c r="F806" s="45">
        <v>60</v>
      </c>
      <c r="G806" s="30">
        <v>45839</v>
      </c>
      <c r="H806" s="156"/>
      <c r="I80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161.88999999999999</v>
      </c>
    </row>
    <row r="807" spans="1:9" x14ac:dyDescent="0.3">
      <c r="A807" s="44" t="s">
        <v>11</v>
      </c>
      <c r="B807" s="45" t="s">
        <v>16</v>
      </c>
      <c r="C807" s="45">
        <v>4</v>
      </c>
      <c r="D807" s="295">
        <v>41.24</v>
      </c>
      <c r="E807" s="296">
        <v>49.49</v>
      </c>
      <c r="F807" s="45">
        <v>60</v>
      </c>
      <c r="G807" s="30">
        <v>45839</v>
      </c>
      <c r="H807" s="156"/>
      <c r="I80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197.95</v>
      </c>
    </row>
    <row r="808" spans="1:9" x14ac:dyDescent="0.3">
      <c r="A808" s="44" t="s">
        <v>11</v>
      </c>
      <c r="B808" s="45" t="s">
        <v>16</v>
      </c>
      <c r="C808" s="45">
        <v>5</v>
      </c>
      <c r="D808" s="295">
        <v>37.75</v>
      </c>
      <c r="E808" s="296">
        <v>45.3</v>
      </c>
      <c r="F808" s="45">
        <v>60</v>
      </c>
      <c r="G808" s="30">
        <v>45839</v>
      </c>
      <c r="H808" s="156"/>
      <c r="I80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226.5</v>
      </c>
    </row>
    <row r="809" spans="1:9" x14ac:dyDescent="0.3">
      <c r="A809" s="44" t="s">
        <v>11</v>
      </c>
      <c r="B809" s="45" t="s">
        <v>16</v>
      </c>
      <c r="C809" s="45">
        <v>6</v>
      </c>
      <c r="D809" s="295">
        <v>34.590000000000003</v>
      </c>
      <c r="E809" s="296">
        <v>41.51</v>
      </c>
      <c r="F809" s="45">
        <v>60</v>
      </c>
      <c r="G809" s="30">
        <v>45839</v>
      </c>
      <c r="H809" s="156"/>
      <c r="I80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249.05</v>
      </c>
    </row>
    <row r="810" spans="1:9" x14ac:dyDescent="0.3">
      <c r="A810" s="44" t="s">
        <v>11</v>
      </c>
      <c r="B810" s="45" t="s">
        <v>16</v>
      </c>
      <c r="C810" s="45">
        <v>7</v>
      </c>
      <c r="D810" s="295">
        <v>31.14</v>
      </c>
      <c r="E810" s="296">
        <v>37.369999999999997</v>
      </c>
      <c r="F810" s="45">
        <v>60</v>
      </c>
      <c r="G810" s="30">
        <v>45839</v>
      </c>
      <c r="H810" s="156"/>
      <c r="I81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261.58</v>
      </c>
    </row>
    <row r="811" spans="1:9" x14ac:dyDescent="0.3">
      <c r="A811" s="44" t="s">
        <v>11</v>
      </c>
      <c r="B811" s="45" t="s">
        <v>16</v>
      </c>
      <c r="C811" s="45">
        <v>8</v>
      </c>
      <c r="D811" s="295">
        <v>28.02</v>
      </c>
      <c r="E811" s="296">
        <v>33.619999999999997</v>
      </c>
      <c r="F811" s="45">
        <v>60</v>
      </c>
      <c r="G811" s="30">
        <v>45839</v>
      </c>
      <c r="H811" s="156"/>
      <c r="I81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268.99</v>
      </c>
    </row>
    <row r="812" spans="1:9" x14ac:dyDescent="0.3">
      <c r="A812" s="44" t="s">
        <v>11</v>
      </c>
      <c r="B812" s="45" t="s">
        <v>16</v>
      </c>
      <c r="C812" s="45">
        <v>9</v>
      </c>
      <c r="D812" s="295">
        <v>25.22</v>
      </c>
      <c r="E812" s="296">
        <v>30.26</v>
      </c>
      <c r="F812" s="45">
        <v>60</v>
      </c>
      <c r="G812" s="30">
        <v>45839</v>
      </c>
      <c r="H812" s="156"/>
      <c r="I81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272.38</v>
      </c>
    </row>
    <row r="813" spans="1:9" x14ac:dyDescent="0.3">
      <c r="A813" s="44" t="s">
        <v>11</v>
      </c>
      <c r="B813" s="45" t="s">
        <v>16</v>
      </c>
      <c r="C813" s="45">
        <v>10</v>
      </c>
      <c r="D813" s="295">
        <v>22.95</v>
      </c>
      <c r="E813" s="296">
        <v>27.54</v>
      </c>
      <c r="F813" s="45">
        <v>60</v>
      </c>
      <c r="G813" s="30">
        <v>45839</v>
      </c>
      <c r="H813" s="156"/>
      <c r="I81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275.39999999999998</v>
      </c>
    </row>
    <row r="814" spans="1:9" x14ac:dyDescent="0.3">
      <c r="A814" s="157" t="s">
        <v>245</v>
      </c>
      <c r="B814" s="158"/>
      <c r="C814" s="158"/>
      <c r="D814" s="166">
        <v>12.8</v>
      </c>
      <c r="E814" s="167">
        <v>15.36</v>
      </c>
      <c r="F814" s="155">
        <v>60</v>
      </c>
      <c r="G814" s="30">
        <v>45839</v>
      </c>
      <c r="H814" s="156"/>
      <c r="I81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15.36</v>
      </c>
    </row>
    <row r="815" spans="1:9" x14ac:dyDescent="0.3">
      <c r="A815" s="44" t="s">
        <v>49</v>
      </c>
      <c r="B815" s="45" t="s">
        <v>1</v>
      </c>
      <c r="C815" s="45">
        <v>1</v>
      </c>
      <c r="D815" s="295">
        <v>390</v>
      </c>
      <c r="E815" s="296">
        <v>468</v>
      </c>
      <c r="F815" s="45">
        <v>800</v>
      </c>
      <c r="G815" s="30">
        <v>45839</v>
      </c>
      <c r="H815" s="156"/>
      <c r="I81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468</v>
      </c>
    </row>
    <row r="816" spans="1:9" x14ac:dyDescent="0.3">
      <c r="A816" s="44" t="s">
        <v>50</v>
      </c>
      <c r="B816" s="45" t="s">
        <v>1</v>
      </c>
      <c r="C816" s="45">
        <v>1</v>
      </c>
      <c r="D816" s="295">
        <v>494.35</v>
      </c>
      <c r="E816" s="296">
        <v>593.22</v>
      </c>
      <c r="F816" s="45">
        <v>800</v>
      </c>
      <c r="G816" s="30">
        <v>45839</v>
      </c>
      <c r="H816" s="156"/>
      <c r="I81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593.22</v>
      </c>
    </row>
    <row r="817" spans="1:9" x14ac:dyDescent="0.3">
      <c r="A817" s="44" t="s">
        <v>50</v>
      </c>
      <c r="B817" s="45" t="s">
        <v>2</v>
      </c>
      <c r="C817" s="45">
        <v>1</v>
      </c>
      <c r="D817" s="295">
        <v>196.07</v>
      </c>
      <c r="E817" s="296">
        <v>235.28</v>
      </c>
      <c r="F817" s="45">
        <v>400</v>
      </c>
      <c r="G817" s="30">
        <v>45839</v>
      </c>
      <c r="H817" s="156"/>
      <c r="I81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235.28</v>
      </c>
    </row>
    <row r="818" spans="1:9" x14ac:dyDescent="0.3">
      <c r="A818" s="44" t="s">
        <v>50</v>
      </c>
      <c r="B818" s="45" t="s">
        <v>16</v>
      </c>
      <c r="C818" s="45">
        <v>1</v>
      </c>
      <c r="D818" s="295">
        <v>82.81</v>
      </c>
      <c r="E818" s="296">
        <v>99.37</v>
      </c>
      <c r="F818" s="45">
        <v>60</v>
      </c>
      <c r="G818" s="30">
        <v>45839</v>
      </c>
      <c r="H818" s="156"/>
      <c r="I81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99.37</v>
      </c>
    </row>
    <row r="819" spans="1:9" x14ac:dyDescent="0.3">
      <c r="A819" s="44" t="s">
        <v>51</v>
      </c>
      <c r="B819" s="45" t="s">
        <v>1</v>
      </c>
      <c r="C819" s="45">
        <v>1</v>
      </c>
      <c r="D819" s="295">
        <v>902.55</v>
      </c>
      <c r="E819" s="296">
        <v>1083.06</v>
      </c>
      <c r="F819" s="45">
        <v>800</v>
      </c>
      <c r="G819" s="30">
        <v>45839</v>
      </c>
      <c r="H819" s="156"/>
      <c r="I81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1083.06</v>
      </c>
    </row>
    <row r="820" spans="1:9" x14ac:dyDescent="0.3">
      <c r="A820" s="44" t="s">
        <v>51</v>
      </c>
      <c r="B820" s="45" t="s">
        <v>2</v>
      </c>
      <c r="C820" s="45">
        <v>1</v>
      </c>
      <c r="D820" s="295">
        <v>349.32</v>
      </c>
      <c r="E820" s="296">
        <v>419.18</v>
      </c>
      <c r="F820" s="45">
        <v>400</v>
      </c>
      <c r="G820" s="30">
        <v>45839</v>
      </c>
      <c r="H820" s="156"/>
      <c r="I82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419.18</v>
      </c>
    </row>
    <row r="821" spans="1:9" x14ac:dyDescent="0.3">
      <c r="A821" s="44" t="s">
        <v>51</v>
      </c>
      <c r="B821" s="45" t="s">
        <v>16</v>
      </c>
      <c r="C821" s="45">
        <v>1</v>
      </c>
      <c r="D821" s="295">
        <v>147.38999999999999</v>
      </c>
      <c r="E821" s="296">
        <v>176.87</v>
      </c>
      <c r="F821" s="45">
        <v>60</v>
      </c>
      <c r="G821" s="30">
        <v>45839</v>
      </c>
      <c r="H821" s="156"/>
      <c r="I82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176.87</v>
      </c>
    </row>
    <row r="822" spans="1:9" x14ac:dyDescent="0.3">
      <c r="A822" s="44" t="s">
        <v>73</v>
      </c>
      <c r="B822" s="45" t="s">
        <v>1</v>
      </c>
      <c r="C822" s="45">
        <v>1</v>
      </c>
      <c r="D822" s="295">
        <v>1828.3</v>
      </c>
      <c r="E822" s="296">
        <v>2193.96</v>
      </c>
      <c r="F822" s="45">
        <v>800</v>
      </c>
      <c r="G822" s="30">
        <v>45839</v>
      </c>
      <c r="H822" s="156"/>
      <c r="I82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2193.96</v>
      </c>
    </row>
    <row r="823" spans="1:9" x14ac:dyDescent="0.3">
      <c r="A823" s="44" t="s">
        <v>73</v>
      </c>
      <c r="B823" s="45" t="s">
        <v>2</v>
      </c>
      <c r="C823" s="45">
        <v>1</v>
      </c>
      <c r="D823" s="295">
        <v>714.52</v>
      </c>
      <c r="E823" s="296">
        <v>857.42</v>
      </c>
      <c r="F823" s="45">
        <v>400</v>
      </c>
      <c r="G823" s="30">
        <v>45839</v>
      </c>
      <c r="H823" s="156"/>
      <c r="I82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857.42</v>
      </c>
    </row>
    <row r="824" spans="1:9" x14ac:dyDescent="0.3">
      <c r="A824" s="44" t="s">
        <v>73</v>
      </c>
      <c r="B824" s="45" t="s">
        <v>16</v>
      </c>
      <c r="C824" s="45">
        <v>1</v>
      </c>
      <c r="D824" s="295">
        <v>312.39</v>
      </c>
      <c r="E824" s="296">
        <v>374.87</v>
      </c>
      <c r="F824" s="45">
        <v>60</v>
      </c>
      <c r="G824" s="30">
        <v>45839</v>
      </c>
      <c r="H824" s="156"/>
      <c r="I82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374.87</v>
      </c>
    </row>
    <row r="825" spans="1:9" x14ac:dyDescent="0.3">
      <c r="A825" s="157" t="s">
        <v>246</v>
      </c>
      <c r="B825" s="158"/>
      <c r="C825" s="158"/>
      <c r="D825" s="166">
        <v>12.42</v>
      </c>
      <c r="E825" s="167">
        <v>14.9</v>
      </c>
      <c r="F825" s="155">
        <v>60</v>
      </c>
      <c r="G825" s="30">
        <v>45839</v>
      </c>
      <c r="H825" s="156"/>
      <c r="I82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14.9</v>
      </c>
    </row>
    <row r="826" spans="1:9" x14ac:dyDescent="0.3">
      <c r="A826" s="162" t="s">
        <v>257</v>
      </c>
      <c r="B826" s="148" t="s">
        <v>1</v>
      </c>
      <c r="C826" s="148">
        <v>1</v>
      </c>
      <c r="D826" s="295">
        <v>197.34</v>
      </c>
      <c r="E826" s="296">
        <v>236.81</v>
      </c>
      <c r="F826" s="148">
        <v>800</v>
      </c>
      <c r="G826" s="150">
        <v>45839</v>
      </c>
      <c r="H826" s="156"/>
      <c r="I82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236.81</v>
      </c>
    </row>
    <row r="827" spans="1:9" x14ac:dyDescent="0.3">
      <c r="A827" s="162" t="s">
        <v>257</v>
      </c>
      <c r="B827" s="148" t="s">
        <v>1</v>
      </c>
      <c r="C827" s="148">
        <v>2</v>
      </c>
      <c r="D827" s="295">
        <v>164.21</v>
      </c>
      <c r="E827" s="296">
        <v>197.05</v>
      </c>
      <c r="F827" s="148">
        <v>800</v>
      </c>
      <c r="G827" s="150">
        <v>45839</v>
      </c>
      <c r="H827" s="156"/>
      <c r="I82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394.1</v>
      </c>
    </row>
    <row r="828" spans="1:9" x14ac:dyDescent="0.3">
      <c r="A828" s="162" t="s">
        <v>257</v>
      </c>
      <c r="B828" s="148" t="s">
        <v>1</v>
      </c>
      <c r="C828" s="148">
        <v>3</v>
      </c>
      <c r="D828" s="295">
        <v>128.15</v>
      </c>
      <c r="E828" s="296">
        <v>153.78</v>
      </c>
      <c r="F828" s="148">
        <v>800</v>
      </c>
      <c r="G828" s="150">
        <v>45839</v>
      </c>
      <c r="H828" s="156"/>
      <c r="I82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461.34</v>
      </c>
    </row>
    <row r="829" spans="1:9" x14ac:dyDescent="0.3">
      <c r="A829" s="162" t="s">
        <v>257</v>
      </c>
      <c r="B829" s="148" t="s">
        <v>1</v>
      </c>
      <c r="C829" s="148">
        <v>4</v>
      </c>
      <c r="D829" s="295">
        <v>111.07</v>
      </c>
      <c r="E829" s="296">
        <v>133.28</v>
      </c>
      <c r="F829" s="148">
        <v>800</v>
      </c>
      <c r="G829" s="150">
        <v>45839</v>
      </c>
      <c r="H829" s="156"/>
      <c r="I82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533.14</v>
      </c>
    </row>
    <row r="830" spans="1:9" x14ac:dyDescent="0.3">
      <c r="A830" s="162" t="s">
        <v>257</v>
      </c>
      <c r="B830" s="148" t="s">
        <v>1</v>
      </c>
      <c r="C830" s="148">
        <v>5</v>
      </c>
      <c r="D830" s="295">
        <v>95.91</v>
      </c>
      <c r="E830" s="296">
        <v>115.09</v>
      </c>
      <c r="F830" s="148">
        <v>800</v>
      </c>
      <c r="G830" s="150">
        <v>45839</v>
      </c>
      <c r="H830" s="156"/>
      <c r="I83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575.46</v>
      </c>
    </row>
    <row r="831" spans="1:9" x14ac:dyDescent="0.3">
      <c r="A831" s="162" t="s">
        <v>257</v>
      </c>
      <c r="B831" s="148" t="s">
        <v>2</v>
      </c>
      <c r="C831" s="148">
        <v>1</v>
      </c>
      <c r="D831" s="295">
        <v>117.9</v>
      </c>
      <c r="E831" s="296">
        <v>141.47999999999999</v>
      </c>
      <c r="F831" s="148">
        <v>400</v>
      </c>
      <c r="G831" s="150">
        <v>45839</v>
      </c>
      <c r="H831" s="156"/>
      <c r="I83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141.47999999999999</v>
      </c>
    </row>
    <row r="832" spans="1:9" x14ac:dyDescent="0.3">
      <c r="A832" s="162" t="s">
        <v>257</v>
      </c>
      <c r="B832" s="148" t="s">
        <v>2</v>
      </c>
      <c r="C832" s="148">
        <v>2</v>
      </c>
      <c r="D832" s="295">
        <v>97.94</v>
      </c>
      <c r="E832" s="296">
        <v>117.53</v>
      </c>
      <c r="F832" s="148">
        <v>400</v>
      </c>
      <c r="G832" s="150">
        <v>45839</v>
      </c>
      <c r="H832" s="156"/>
      <c r="I83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235.06</v>
      </c>
    </row>
    <row r="833" spans="1:9" x14ac:dyDescent="0.3">
      <c r="A833" s="162" t="s">
        <v>257</v>
      </c>
      <c r="B833" s="148" t="s">
        <v>2</v>
      </c>
      <c r="C833" s="148">
        <v>3</v>
      </c>
      <c r="D833" s="295">
        <v>76.22</v>
      </c>
      <c r="E833" s="296">
        <v>91.46</v>
      </c>
      <c r="F833" s="148">
        <v>400</v>
      </c>
      <c r="G833" s="150">
        <v>45839</v>
      </c>
      <c r="H833" s="156"/>
      <c r="I83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274.39</v>
      </c>
    </row>
    <row r="834" spans="1:9" x14ac:dyDescent="0.3">
      <c r="A834" s="162" t="s">
        <v>257</v>
      </c>
      <c r="B834" s="148" t="s">
        <v>2</v>
      </c>
      <c r="C834" s="148">
        <v>4</v>
      </c>
      <c r="D834" s="295">
        <v>65.91</v>
      </c>
      <c r="E834" s="296">
        <v>79.09</v>
      </c>
      <c r="F834" s="148">
        <v>400</v>
      </c>
      <c r="G834" s="150">
        <v>45839</v>
      </c>
      <c r="H834" s="156"/>
      <c r="I83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316.37</v>
      </c>
    </row>
    <row r="835" spans="1:9" x14ac:dyDescent="0.3">
      <c r="A835" s="162" t="s">
        <v>257</v>
      </c>
      <c r="B835" s="148" t="s">
        <v>2</v>
      </c>
      <c r="C835" s="148">
        <v>5</v>
      </c>
      <c r="D835" s="295">
        <v>56.78</v>
      </c>
      <c r="E835" s="296">
        <v>68.14</v>
      </c>
      <c r="F835" s="148">
        <v>400</v>
      </c>
      <c r="G835" s="150">
        <v>45839</v>
      </c>
      <c r="H835" s="156"/>
      <c r="I83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340.68</v>
      </c>
    </row>
    <row r="836" spans="1:9" x14ac:dyDescent="0.3">
      <c r="A836" s="162" t="s">
        <v>257</v>
      </c>
      <c r="B836" s="148" t="s">
        <v>3</v>
      </c>
      <c r="C836" s="148">
        <v>1</v>
      </c>
      <c r="D836" s="295">
        <v>30.91</v>
      </c>
      <c r="E836" s="296">
        <v>37.090000000000003</v>
      </c>
      <c r="F836" s="148">
        <v>60</v>
      </c>
      <c r="G836" s="150">
        <v>45839</v>
      </c>
      <c r="H836" s="156"/>
      <c r="I83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37.090000000000003</v>
      </c>
    </row>
    <row r="837" spans="1:9" x14ac:dyDescent="0.3">
      <c r="A837" s="162" t="s">
        <v>257</v>
      </c>
      <c r="B837" s="148" t="s">
        <v>3</v>
      </c>
      <c r="C837" s="148">
        <v>2</v>
      </c>
      <c r="D837" s="295">
        <v>28.35</v>
      </c>
      <c r="E837" s="296">
        <v>34.020000000000003</v>
      </c>
      <c r="F837" s="148">
        <v>60</v>
      </c>
      <c r="G837" s="150">
        <v>45839</v>
      </c>
      <c r="H837" s="156"/>
      <c r="I83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68.040000000000006</v>
      </c>
    </row>
    <row r="838" spans="1:9" x14ac:dyDescent="0.3">
      <c r="A838" s="162" t="s">
        <v>257</v>
      </c>
      <c r="B838" s="148" t="s">
        <v>3</v>
      </c>
      <c r="C838" s="148">
        <v>3</v>
      </c>
      <c r="D838" s="295">
        <v>28.1</v>
      </c>
      <c r="E838" s="296">
        <v>33.72</v>
      </c>
      <c r="F838" s="148">
        <v>60</v>
      </c>
      <c r="G838" s="150">
        <v>45839</v>
      </c>
      <c r="H838" s="156"/>
      <c r="I83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101.16</v>
      </c>
    </row>
    <row r="839" spans="1:9" x14ac:dyDescent="0.3">
      <c r="A839" s="162" t="s">
        <v>258</v>
      </c>
      <c r="B839" s="148" t="s">
        <v>1</v>
      </c>
      <c r="C839" s="148">
        <v>1</v>
      </c>
      <c r="D839" s="295">
        <v>242.71</v>
      </c>
      <c r="E839" s="296">
        <v>291.25</v>
      </c>
      <c r="F839" s="148">
        <v>800</v>
      </c>
      <c r="G839" s="150">
        <v>45839</v>
      </c>
      <c r="H839" s="156"/>
      <c r="I83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291.25</v>
      </c>
    </row>
    <row r="840" spans="1:9" x14ac:dyDescent="0.3">
      <c r="A840" s="162" t="s">
        <v>258</v>
      </c>
      <c r="B840" s="148" t="s">
        <v>1</v>
      </c>
      <c r="C840" s="148">
        <v>2</v>
      </c>
      <c r="D840" s="295">
        <v>202.03</v>
      </c>
      <c r="E840" s="296">
        <v>242.44</v>
      </c>
      <c r="F840" s="148">
        <v>800</v>
      </c>
      <c r="G840" s="150">
        <v>45839</v>
      </c>
      <c r="H840" s="156"/>
      <c r="I84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484.87</v>
      </c>
    </row>
    <row r="841" spans="1:9" x14ac:dyDescent="0.3">
      <c r="A841" s="162" t="s">
        <v>258</v>
      </c>
      <c r="B841" s="148" t="s">
        <v>1</v>
      </c>
      <c r="C841" s="148">
        <v>3</v>
      </c>
      <c r="D841" s="295">
        <v>157.63</v>
      </c>
      <c r="E841" s="296">
        <v>189.16</v>
      </c>
      <c r="F841" s="148">
        <v>800</v>
      </c>
      <c r="G841" s="150">
        <v>45839</v>
      </c>
      <c r="H841" s="156"/>
      <c r="I84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567.47</v>
      </c>
    </row>
    <row r="842" spans="1:9" x14ac:dyDescent="0.3">
      <c r="A842" s="162" t="s">
        <v>258</v>
      </c>
      <c r="B842" s="148" t="s">
        <v>1</v>
      </c>
      <c r="C842" s="148">
        <v>4</v>
      </c>
      <c r="D842" s="295">
        <v>136.59</v>
      </c>
      <c r="E842" s="296">
        <v>163.91</v>
      </c>
      <c r="F842" s="148">
        <v>800</v>
      </c>
      <c r="G842" s="150">
        <v>45839</v>
      </c>
      <c r="H842" s="156"/>
      <c r="I84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655.63</v>
      </c>
    </row>
    <row r="843" spans="1:9" x14ac:dyDescent="0.3">
      <c r="A843" s="162" t="s">
        <v>258</v>
      </c>
      <c r="B843" s="148" t="s">
        <v>1</v>
      </c>
      <c r="C843" s="148">
        <v>5</v>
      </c>
      <c r="D843" s="295">
        <v>117.93</v>
      </c>
      <c r="E843" s="296">
        <v>141.52000000000001</v>
      </c>
      <c r="F843" s="148">
        <v>800</v>
      </c>
      <c r="G843" s="150">
        <v>45839</v>
      </c>
      <c r="H843" s="156"/>
      <c r="I84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707.58</v>
      </c>
    </row>
    <row r="844" spans="1:9" x14ac:dyDescent="0.3">
      <c r="A844" s="162" t="s">
        <v>258</v>
      </c>
      <c r="B844" s="148" t="s">
        <v>1</v>
      </c>
      <c r="C844" s="148">
        <v>6</v>
      </c>
      <c r="D844" s="295">
        <v>117.02</v>
      </c>
      <c r="E844" s="296">
        <v>140.41999999999999</v>
      </c>
      <c r="F844" s="148">
        <v>800</v>
      </c>
      <c r="G844" s="150">
        <v>45839</v>
      </c>
      <c r="H844" s="156"/>
      <c r="I84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842.54</v>
      </c>
    </row>
    <row r="845" spans="1:9" x14ac:dyDescent="0.3">
      <c r="A845" s="162" t="s">
        <v>258</v>
      </c>
      <c r="B845" s="148" t="s">
        <v>1</v>
      </c>
      <c r="C845" s="148">
        <v>7</v>
      </c>
      <c r="D845" s="295">
        <v>114.12</v>
      </c>
      <c r="E845" s="296">
        <v>136.94</v>
      </c>
      <c r="F845" s="148">
        <v>800</v>
      </c>
      <c r="G845" s="150">
        <v>45839</v>
      </c>
      <c r="H845" s="156"/>
      <c r="I84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958.61</v>
      </c>
    </row>
    <row r="846" spans="1:9" x14ac:dyDescent="0.3">
      <c r="A846" s="162" t="s">
        <v>258</v>
      </c>
      <c r="B846" s="148" t="s">
        <v>1</v>
      </c>
      <c r="C846" s="148">
        <v>8</v>
      </c>
      <c r="D846" s="295">
        <v>111.24</v>
      </c>
      <c r="E846" s="296">
        <v>133.49</v>
      </c>
      <c r="F846" s="148">
        <v>800</v>
      </c>
      <c r="G846" s="150">
        <v>45839</v>
      </c>
      <c r="H846" s="156"/>
      <c r="I84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1067.9000000000001</v>
      </c>
    </row>
    <row r="847" spans="1:9" x14ac:dyDescent="0.3">
      <c r="A847" s="162" t="s">
        <v>258</v>
      </c>
      <c r="B847" s="148" t="s">
        <v>1</v>
      </c>
      <c r="C847" s="148">
        <v>9</v>
      </c>
      <c r="D847" s="295">
        <v>108.46</v>
      </c>
      <c r="E847" s="296">
        <v>130.15</v>
      </c>
      <c r="F847" s="148">
        <v>800</v>
      </c>
      <c r="G847" s="150">
        <v>45839</v>
      </c>
      <c r="H847" s="156"/>
      <c r="I84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1171.3699999999999</v>
      </c>
    </row>
    <row r="848" spans="1:9" x14ac:dyDescent="0.3">
      <c r="A848" s="162" t="s">
        <v>258</v>
      </c>
      <c r="B848" s="148" t="s">
        <v>1</v>
      </c>
      <c r="C848" s="148">
        <v>10</v>
      </c>
      <c r="D848" s="295">
        <v>105.75</v>
      </c>
      <c r="E848" s="296">
        <v>126.9</v>
      </c>
      <c r="F848" s="148">
        <v>800</v>
      </c>
      <c r="G848" s="150">
        <v>45839</v>
      </c>
      <c r="H848" s="156"/>
      <c r="I84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1269</v>
      </c>
    </row>
    <row r="849" spans="1:9" x14ac:dyDescent="0.3">
      <c r="A849" s="162" t="s">
        <v>258</v>
      </c>
      <c r="B849" s="148" t="s">
        <v>2</v>
      </c>
      <c r="C849" s="148">
        <v>1</v>
      </c>
      <c r="D849" s="295">
        <v>134.88</v>
      </c>
      <c r="E849" s="296">
        <v>161.86000000000001</v>
      </c>
      <c r="F849" s="148">
        <v>400</v>
      </c>
      <c r="G849" s="150">
        <v>45839</v>
      </c>
      <c r="H849" s="156"/>
      <c r="I84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161.86000000000001</v>
      </c>
    </row>
    <row r="850" spans="1:9" x14ac:dyDescent="0.3">
      <c r="A850" s="162" t="s">
        <v>258</v>
      </c>
      <c r="B850" s="148" t="s">
        <v>2</v>
      </c>
      <c r="C850" s="148">
        <v>2</v>
      </c>
      <c r="D850" s="295">
        <v>111.96</v>
      </c>
      <c r="E850" s="296">
        <v>134.35</v>
      </c>
      <c r="F850" s="148">
        <v>400</v>
      </c>
      <c r="G850" s="150">
        <v>45839</v>
      </c>
      <c r="H850" s="156"/>
      <c r="I85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268.7</v>
      </c>
    </row>
    <row r="851" spans="1:9" x14ac:dyDescent="0.3">
      <c r="A851" s="162" t="s">
        <v>258</v>
      </c>
      <c r="B851" s="148" t="s">
        <v>2</v>
      </c>
      <c r="C851" s="148">
        <v>3</v>
      </c>
      <c r="D851" s="295">
        <v>87.14</v>
      </c>
      <c r="E851" s="296">
        <v>104.57</v>
      </c>
      <c r="F851" s="148">
        <v>400</v>
      </c>
      <c r="G851" s="150">
        <v>45839</v>
      </c>
      <c r="H851" s="156"/>
      <c r="I85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313.7</v>
      </c>
    </row>
    <row r="852" spans="1:9" x14ac:dyDescent="0.3">
      <c r="A852" s="162" t="s">
        <v>258</v>
      </c>
      <c r="B852" s="148" t="s">
        <v>2</v>
      </c>
      <c r="C852" s="148">
        <v>4</v>
      </c>
      <c r="D852" s="295">
        <v>75.33</v>
      </c>
      <c r="E852" s="296">
        <v>90.4</v>
      </c>
      <c r="F852" s="148">
        <v>400</v>
      </c>
      <c r="G852" s="150">
        <v>45839</v>
      </c>
      <c r="H852" s="156"/>
      <c r="I85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361.58</v>
      </c>
    </row>
    <row r="853" spans="1:9" x14ac:dyDescent="0.3">
      <c r="A853" s="162" t="s">
        <v>258</v>
      </c>
      <c r="B853" s="148" t="s">
        <v>2</v>
      </c>
      <c r="C853" s="148">
        <v>5</v>
      </c>
      <c r="D853" s="295">
        <v>64.86</v>
      </c>
      <c r="E853" s="296">
        <v>77.83</v>
      </c>
      <c r="F853" s="148">
        <v>400</v>
      </c>
      <c r="G853" s="150">
        <v>45839</v>
      </c>
      <c r="H853" s="156"/>
      <c r="I85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389.16</v>
      </c>
    </row>
    <row r="854" spans="1:9" x14ac:dyDescent="0.3">
      <c r="A854" s="162" t="s">
        <v>258</v>
      </c>
      <c r="B854" s="148" t="s">
        <v>2</v>
      </c>
      <c r="C854" s="148">
        <v>6</v>
      </c>
      <c r="D854" s="295">
        <v>64.38</v>
      </c>
      <c r="E854" s="296">
        <v>77.260000000000005</v>
      </c>
      <c r="F854" s="148">
        <v>400</v>
      </c>
      <c r="G854" s="150">
        <v>45839</v>
      </c>
      <c r="H854" s="156"/>
      <c r="I85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463.54</v>
      </c>
    </row>
    <row r="855" spans="1:9" x14ac:dyDescent="0.3">
      <c r="A855" s="162" t="s">
        <v>258</v>
      </c>
      <c r="B855" s="148" t="s">
        <v>2</v>
      </c>
      <c r="C855" s="148">
        <v>7</v>
      </c>
      <c r="D855" s="295">
        <v>62.77</v>
      </c>
      <c r="E855" s="296">
        <v>75.319999999999993</v>
      </c>
      <c r="F855" s="148">
        <v>400</v>
      </c>
      <c r="G855" s="150">
        <v>45839</v>
      </c>
      <c r="H855" s="156"/>
      <c r="I85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527.27</v>
      </c>
    </row>
    <row r="856" spans="1:9" x14ac:dyDescent="0.3">
      <c r="A856" s="162" t="s">
        <v>258</v>
      </c>
      <c r="B856" s="148" t="s">
        <v>2</v>
      </c>
      <c r="C856" s="148">
        <v>8</v>
      </c>
      <c r="D856" s="295">
        <v>61.2</v>
      </c>
      <c r="E856" s="296">
        <v>73.44</v>
      </c>
      <c r="F856" s="148">
        <v>400</v>
      </c>
      <c r="G856" s="150">
        <v>45839</v>
      </c>
      <c r="H856" s="156"/>
      <c r="I85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587.52</v>
      </c>
    </row>
    <row r="857" spans="1:9" x14ac:dyDescent="0.3">
      <c r="A857" s="162" t="s">
        <v>258</v>
      </c>
      <c r="B857" s="148" t="s">
        <v>2</v>
      </c>
      <c r="C857" s="148">
        <v>9</v>
      </c>
      <c r="D857" s="295">
        <v>59.67</v>
      </c>
      <c r="E857" s="296">
        <v>71.599999999999994</v>
      </c>
      <c r="F857" s="148">
        <v>400</v>
      </c>
      <c r="G857" s="150">
        <v>45839</v>
      </c>
      <c r="H857" s="156"/>
      <c r="I85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644.44000000000005</v>
      </c>
    </row>
    <row r="858" spans="1:9" x14ac:dyDescent="0.3">
      <c r="A858" s="162" t="s">
        <v>258</v>
      </c>
      <c r="B858" s="148" t="s">
        <v>2</v>
      </c>
      <c r="C858" s="148">
        <v>10</v>
      </c>
      <c r="D858" s="295">
        <v>58.2</v>
      </c>
      <c r="E858" s="296">
        <v>69.84</v>
      </c>
      <c r="F858" s="148">
        <v>400</v>
      </c>
      <c r="G858" s="150">
        <v>45839</v>
      </c>
      <c r="H858" s="156"/>
      <c r="I85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698.4</v>
      </c>
    </row>
    <row r="859" spans="1:9" x14ac:dyDescent="0.3">
      <c r="A859" s="162" t="s">
        <v>258</v>
      </c>
      <c r="B859" s="148" t="s">
        <v>16</v>
      </c>
      <c r="C859" s="148">
        <v>1</v>
      </c>
      <c r="D859" s="295">
        <v>35.659999999999997</v>
      </c>
      <c r="E859" s="296">
        <v>42.79</v>
      </c>
      <c r="F859" s="148">
        <v>60</v>
      </c>
      <c r="G859" s="150">
        <v>45839</v>
      </c>
      <c r="H859" s="156"/>
      <c r="I85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42.79</v>
      </c>
    </row>
    <row r="860" spans="1:9" x14ac:dyDescent="0.3">
      <c r="A860" s="162" t="s">
        <v>258</v>
      </c>
      <c r="B860" s="148" t="s">
        <v>16</v>
      </c>
      <c r="C860" s="148">
        <v>2</v>
      </c>
      <c r="D860" s="295">
        <v>32.69</v>
      </c>
      <c r="E860" s="296">
        <v>39.229999999999997</v>
      </c>
      <c r="F860" s="148">
        <v>60</v>
      </c>
      <c r="G860" s="150">
        <v>45839</v>
      </c>
      <c r="H860" s="156"/>
      <c r="I86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78.459999999999994</v>
      </c>
    </row>
    <row r="861" spans="1:9" x14ac:dyDescent="0.3">
      <c r="A861" s="162" t="s">
        <v>258</v>
      </c>
      <c r="B861" s="148" t="s">
        <v>16</v>
      </c>
      <c r="C861" s="148">
        <v>3</v>
      </c>
      <c r="D861" s="295">
        <v>32.44</v>
      </c>
      <c r="E861" s="296">
        <v>38.93</v>
      </c>
      <c r="F861" s="148">
        <v>60</v>
      </c>
      <c r="G861" s="150">
        <v>45839</v>
      </c>
      <c r="H861" s="156"/>
      <c r="I86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116.78</v>
      </c>
    </row>
    <row r="862" spans="1:9" x14ac:dyDescent="0.3">
      <c r="A862" s="162" t="s">
        <v>258</v>
      </c>
      <c r="B862" s="148" t="s">
        <v>16</v>
      </c>
      <c r="C862" s="148">
        <v>4</v>
      </c>
      <c r="D862" s="295">
        <v>32.229999999999997</v>
      </c>
      <c r="E862" s="296">
        <v>38.68</v>
      </c>
      <c r="F862" s="148">
        <v>60</v>
      </c>
      <c r="G862" s="150">
        <v>45839</v>
      </c>
      <c r="H862" s="156"/>
      <c r="I86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154.69999999999999</v>
      </c>
    </row>
    <row r="863" spans="1:9" x14ac:dyDescent="0.3">
      <c r="A863" s="162" t="s">
        <v>258</v>
      </c>
      <c r="B863" s="148" t="s">
        <v>16</v>
      </c>
      <c r="C863" s="148">
        <v>5</v>
      </c>
      <c r="D863" s="295">
        <v>31.95</v>
      </c>
      <c r="E863" s="296">
        <v>38.340000000000003</v>
      </c>
      <c r="F863" s="148">
        <v>60</v>
      </c>
      <c r="G863" s="150">
        <v>45839</v>
      </c>
      <c r="H863" s="156"/>
      <c r="I86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191.7</v>
      </c>
    </row>
    <row r="864" spans="1:9" x14ac:dyDescent="0.3">
      <c r="A864" s="162" t="s">
        <v>259</v>
      </c>
      <c r="B864" s="148" t="s">
        <v>1</v>
      </c>
      <c r="C864" s="148">
        <v>1</v>
      </c>
      <c r="D864" s="295">
        <v>558.14</v>
      </c>
      <c r="E864" s="296">
        <v>669.77</v>
      </c>
      <c r="F864" s="148">
        <v>800</v>
      </c>
      <c r="G864" s="150">
        <v>45839</v>
      </c>
      <c r="H864" s="156"/>
      <c r="I86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669.77</v>
      </c>
    </row>
    <row r="865" spans="1:9" x14ac:dyDescent="0.3">
      <c r="A865" s="162" t="s">
        <v>259</v>
      </c>
      <c r="B865" s="148" t="s">
        <v>1</v>
      </c>
      <c r="C865" s="148">
        <v>2</v>
      </c>
      <c r="D865" s="295">
        <v>464.6</v>
      </c>
      <c r="E865" s="296">
        <v>557.52</v>
      </c>
      <c r="F865" s="148">
        <v>800</v>
      </c>
      <c r="G865" s="150">
        <v>45839</v>
      </c>
      <c r="H865" s="156"/>
      <c r="I86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1115.04</v>
      </c>
    </row>
    <row r="866" spans="1:9" x14ac:dyDescent="0.3">
      <c r="A866" s="162" t="s">
        <v>259</v>
      </c>
      <c r="B866" s="148" t="s">
        <v>1</v>
      </c>
      <c r="C866" s="148">
        <v>3</v>
      </c>
      <c r="D866" s="295">
        <v>362.43</v>
      </c>
      <c r="E866" s="296">
        <v>434.92</v>
      </c>
      <c r="F866" s="148">
        <v>800</v>
      </c>
      <c r="G866" s="150">
        <v>45839</v>
      </c>
      <c r="H866" s="156"/>
      <c r="I86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1304.75</v>
      </c>
    </row>
    <row r="867" spans="1:9" x14ac:dyDescent="0.3">
      <c r="A867" s="162" t="s">
        <v>259</v>
      </c>
      <c r="B867" s="148" t="s">
        <v>1</v>
      </c>
      <c r="C867" s="148">
        <v>4</v>
      </c>
      <c r="D867" s="295">
        <v>314.20999999999998</v>
      </c>
      <c r="E867" s="296">
        <v>377.05</v>
      </c>
      <c r="F867" s="148">
        <v>800</v>
      </c>
      <c r="G867" s="150">
        <v>45839</v>
      </c>
      <c r="H867" s="156"/>
      <c r="I86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1508.21</v>
      </c>
    </row>
    <row r="868" spans="1:9" x14ac:dyDescent="0.3">
      <c r="A868" s="162" t="s">
        <v>259</v>
      </c>
      <c r="B868" s="148" t="s">
        <v>1</v>
      </c>
      <c r="C868" s="148">
        <v>5</v>
      </c>
      <c r="D868" s="295">
        <v>271.20999999999998</v>
      </c>
      <c r="E868" s="296">
        <v>325.45</v>
      </c>
      <c r="F868" s="148">
        <v>800</v>
      </c>
      <c r="G868" s="150">
        <v>45839</v>
      </c>
      <c r="H868" s="156"/>
      <c r="I86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1627.26</v>
      </c>
    </row>
    <row r="869" spans="1:9" x14ac:dyDescent="0.3">
      <c r="A869" s="162" t="s">
        <v>259</v>
      </c>
      <c r="B869" s="148" t="s">
        <v>1</v>
      </c>
      <c r="C869" s="148">
        <v>6</v>
      </c>
      <c r="D869" s="295">
        <v>239.78</v>
      </c>
      <c r="E869" s="296">
        <v>287.74</v>
      </c>
      <c r="F869" s="148">
        <v>800</v>
      </c>
      <c r="G869" s="150">
        <v>45839</v>
      </c>
      <c r="H869" s="156"/>
      <c r="I86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1726.42</v>
      </c>
    </row>
    <row r="870" spans="1:9" x14ac:dyDescent="0.3">
      <c r="A870" s="162" t="s">
        <v>259</v>
      </c>
      <c r="B870" s="148" t="s">
        <v>1</v>
      </c>
      <c r="C870" s="148">
        <v>7</v>
      </c>
      <c r="D870" s="295">
        <v>211.86</v>
      </c>
      <c r="E870" s="296">
        <v>254.23</v>
      </c>
      <c r="F870" s="148">
        <v>800</v>
      </c>
      <c r="G870" s="150">
        <v>45839</v>
      </c>
      <c r="H870" s="156"/>
      <c r="I87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1779.62</v>
      </c>
    </row>
    <row r="871" spans="1:9" x14ac:dyDescent="0.3">
      <c r="A871" s="162" t="s">
        <v>259</v>
      </c>
      <c r="B871" s="148" t="s">
        <v>1</v>
      </c>
      <c r="C871" s="148">
        <v>8</v>
      </c>
      <c r="D871" s="295">
        <v>189.53</v>
      </c>
      <c r="E871" s="296">
        <v>227.44</v>
      </c>
      <c r="F871" s="148">
        <v>800</v>
      </c>
      <c r="G871" s="150">
        <v>45839</v>
      </c>
      <c r="H871" s="156"/>
      <c r="I87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1819.49</v>
      </c>
    </row>
    <row r="872" spans="1:9" x14ac:dyDescent="0.3">
      <c r="A872" s="162" t="s">
        <v>259</v>
      </c>
      <c r="B872" s="148" t="s">
        <v>1</v>
      </c>
      <c r="C872" s="148">
        <v>9</v>
      </c>
      <c r="D872" s="295">
        <v>172.57</v>
      </c>
      <c r="E872" s="296">
        <v>207.08</v>
      </c>
      <c r="F872" s="148">
        <v>800</v>
      </c>
      <c r="G872" s="150">
        <v>45839</v>
      </c>
      <c r="H872" s="156"/>
      <c r="I87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1863.76</v>
      </c>
    </row>
    <row r="873" spans="1:9" x14ac:dyDescent="0.3">
      <c r="A873" s="162" t="s">
        <v>259</v>
      </c>
      <c r="B873" s="148" t="s">
        <v>1</v>
      </c>
      <c r="C873" s="148">
        <v>10</v>
      </c>
      <c r="D873" s="295">
        <v>161.22999999999999</v>
      </c>
      <c r="E873" s="296">
        <v>193.48</v>
      </c>
      <c r="F873" s="148">
        <v>800</v>
      </c>
      <c r="G873" s="150">
        <v>45839</v>
      </c>
      <c r="H873" s="156"/>
      <c r="I87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1934.76</v>
      </c>
    </row>
    <row r="874" spans="1:9" x14ac:dyDescent="0.3">
      <c r="A874" s="162" t="s">
        <v>259</v>
      </c>
      <c r="B874" s="148" t="s">
        <v>2</v>
      </c>
      <c r="C874" s="148">
        <v>1</v>
      </c>
      <c r="D874" s="295">
        <v>265.69</v>
      </c>
      <c r="E874" s="296">
        <v>318.83</v>
      </c>
      <c r="F874" s="148">
        <v>400</v>
      </c>
      <c r="G874" s="150">
        <v>45839</v>
      </c>
      <c r="H874" s="156"/>
      <c r="I87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318.83</v>
      </c>
    </row>
    <row r="875" spans="1:9" x14ac:dyDescent="0.3">
      <c r="A875" s="162" t="s">
        <v>259</v>
      </c>
      <c r="B875" s="148" t="s">
        <v>2</v>
      </c>
      <c r="C875" s="148">
        <v>2</v>
      </c>
      <c r="D875" s="295">
        <v>220.57</v>
      </c>
      <c r="E875" s="296">
        <v>264.68</v>
      </c>
      <c r="F875" s="148">
        <v>400</v>
      </c>
      <c r="G875" s="150">
        <v>45839</v>
      </c>
      <c r="H875" s="156"/>
      <c r="I87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529.37</v>
      </c>
    </row>
    <row r="876" spans="1:9" x14ac:dyDescent="0.3">
      <c r="A876" s="162" t="s">
        <v>259</v>
      </c>
      <c r="B876" s="148" t="s">
        <v>2</v>
      </c>
      <c r="C876" s="148">
        <v>3</v>
      </c>
      <c r="D876" s="295">
        <v>171.7</v>
      </c>
      <c r="E876" s="296">
        <v>206.04</v>
      </c>
      <c r="F876" s="148">
        <v>400</v>
      </c>
      <c r="G876" s="150">
        <v>45839</v>
      </c>
      <c r="H876" s="156"/>
      <c r="I87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618.12</v>
      </c>
    </row>
    <row r="877" spans="1:9" x14ac:dyDescent="0.3">
      <c r="A877" s="162" t="s">
        <v>259</v>
      </c>
      <c r="B877" s="148" t="s">
        <v>2</v>
      </c>
      <c r="C877" s="148">
        <v>4</v>
      </c>
      <c r="D877" s="295">
        <v>148.52000000000001</v>
      </c>
      <c r="E877" s="296">
        <v>178.22</v>
      </c>
      <c r="F877" s="148">
        <v>400</v>
      </c>
      <c r="G877" s="150">
        <v>45839</v>
      </c>
      <c r="H877" s="156"/>
      <c r="I87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712.9</v>
      </c>
    </row>
    <row r="878" spans="1:9" x14ac:dyDescent="0.3">
      <c r="A878" s="162" t="s">
        <v>259</v>
      </c>
      <c r="B878" s="148" t="s">
        <v>2</v>
      </c>
      <c r="C878" s="148">
        <v>5</v>
      </c>
      <c r="D878" s="295">
        <v>127.9</v>
      </c>
      <c r="E878" s="296">
        <v>153.47999999999999</v>
      </c>
      <c r="F878" s="148">
        <v>400</v>
      </c>
      <c r="G878" s="150">
        <v>45839</v>
      </c>
      <c r="H878" s="156"/>
      <c r="I87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767.4</v>
      </c>
    </row>
    <row r="879" spans="1:9" x14ac:dyDescent="0.3">
      <c r="A879" s="162" t="s">
        <v>259</v>
      </c>
      <c r="B879" s="148" t="s">
        <v>2</v>
      </c>
      <c r="C879" s="148">
        <v>6</v>
      </c>
      <c r="D879" s="295">
        <v>112.77</v>
      </c>
      <c r="E879" s="296">
        <v>135.32</v>
      </c>
      <c r="F879" s="148">
        <v>400</v>
      </c>
      <c r="G879" s="150">
        <v>45839</v>
      </c>
      <c r="H879" s="156"/>
      <c r="I87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811.94</v>
      </c>
    </row>
    <row r="880" spans="1:9" x14ac:dyDescent="0.3">
      <c r="A880" s="162" t="s">
        <v>259</v>
      </c>
      <c r="B880" s="148" t="s">
        <v>2</v>
      </c>
      <c r="C880" s="148">
        <v>7</v>
      </c>
      <c r="D880" s="295">
        <v>99.38</v>
      </c>
      <c r="E880" s="296">
        <v>119.26</v>
      </c>
      <c r="F880" s="148">
        <v>400</v>
      </c>
      <c r="G880" s="150">
        <v>45839</v>
      </c>
      <c r="H880" s="156"/>
      <c r="I88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834.79</v>
      </c>
    </row>
    <row r="881" spans="1:9" x14ac:dyDescent="0.3">
      <c r="A881" s="162" t="s">
        <v>259</v>
      </c>
      <c r="B881" s="148" t="s">
        <v>2</v>
      </c>
      <c r="C881" s="148">
        <v>8</v>
      </c>
      <c r="D881" s="295">
        <v>88.72</v>
      </c>
      <c r="E881" s="296">
        <v>106.46</v>
      </c>
      <c r="F881" s="148">
        <v>400</v>
      </c>
      <c r="G881" s="150">
        <v>45839</v>
      </c>
      <c r="H881" s="156"/>
      <c r="I88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851.71</v>
      </c>
    </row>
    <row r="882" spans="1:9" x14ac:dyDescent="0.3">
      <c r="A882" s="162" t="s">
        <v>259</v>
      </c>
      <c r="B882" s="148" t="s">
        <v>2</v>
      </c>
      <c r="C882" s="148">
        <v>9</v>
      </c>
      <c r="D882" s="295">
        <v>80.55</v>
      </c>
      <c r="E882" s="296">
        <v>96.66</v>
      </c>
      <c r="F882" s="148">
        <v>400</v>
      </c>
      <c r="G882" s="150">
        <v>45839</v>
      </c>
      <c r="H882" s="156"/>
      <c r="I88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869.94</v>
      </c>
    </row>
    <row r="883" spans="1:9" x14ac:dyDescent="0.3">
      <c r="A883" s="162" t="s">
        <v>259</v>
      </c>
      <c r="B883" s="148" t="s">
        <v>2</v>
      </c>
      <c r="C883" s="148">
        <v>10</v>
      </c>
      <c r="D883" s="295">
        <v>75.040000000000006</v>
      </c>
      <c r="E883" s="296">
        <v>90.05</v>
      </c>
      <c r="F883" s="148">
        <v>400</v>
      </c>
      <c r="G883" s="150">
        <v>45839</v>
      </c>
      <c r="H883" s="156"/>
      <c r="I88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900.48</v>
      </c>
    </row>
    <row r="884" spans="1:9" x14ac:dyDescent="0.3">
      <c r="A884" s="162" t="s">
        <v>259</v>
      </c>
      <c r="B884" s="148" t="s">
        <v>16</v>
      </c>
      <c r="C884" s="148">
        <v>1</v>
      </c>
      <c r="D884" s="295">
        <v>46.15</v>
      </c>
      <c r="E884" s="296">
        <v>55.38</v>
      </c>
      <c r="F884" s="148">
        <v>60</v>
      </c>
      <c r="G884" s="150">
        <v>45839</v>
      </c>
      <c r="H884" s="156"/>
      <c r="I88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55.38</v>
      </c>
    </row>
    <row r="885" spans="1:9" x14ac:dyDescent="0.3">
      <c r="A885" s="162" t="s">
        <v>259</v>
      </c>
      <c r="B885" s="148" t="s">
        <v>16</v>
      </c>
      <c r="C885" s="148">
        <v>2</v>
      </c>
      <c r="D885" s="295">
        <v>42.29</v>
      </c>
      <c r="E885" s="296">
        <v>50.75</v>
      </c>
      <c r="F885" s="148">
        <v>60</v>
      </c>
      <c r="G885" s="150">
        <v>45839</v>
      </c>
      <c r="H885" s="156"/>
      <c r="I88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101.5</v>
      </c>
    </row>
    <row r="886" spans="1:9" x14ac:dyDescent="0.3">
      <c r="A886" s="162" t="s">
        <v>259</v>
      </c>
      <c r="B886" s="148" t="s">
        <v>16</v>
      </c>
      <c r="C886" s="148">
        <v>3</v>
      </c>
      <c r="D886" s="295">
        <v>38.76</v>
      </c>
      <c r="E886" s="296">
        <v>46.51</v>
      </c>
      <c r="F886" s="148">
        <v>60</v>
      </c>
      <c r="G886" s="150">
        <v>45839</v>
      </c>
      <c r="H886" s="156"/>
      <c r="I88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139.54</v>
      </c>
    </row>
    <row r="887" spans="1:9" x14ac:dyDescent="0.3">
      <c r="A887" s="162" t="s">
        <v>259</v>
      </c>
      <c r="B887" s="148" t="s">
        <v>16</v>
      </c>
      <c r="C887" s="148">
        <v>4</v>
      </c>
      <c r="D887" s="295">
        <v>35.450000000000003</v>
      </c>
      <c r="E887" s="296">
        <v>42.54</v>
      </c>
      <c r="F887" s="148">
        <v>60</v>
      </c>
      <c r="G887" s="150">
        <v>45839</v>
      </c>
      <c r="H887" s="156"/>
      <c r="I88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170.16</v>
      </c>
    </row>
    <row r="888" spans="1:9" x14ac:dyDescent="0.3">
      <c r="A888" s="162" t="s">
        <v>259</v>
      </c>
      <c r="B888" s="148" t="s">
        <v>16</v>
      </c>
      <c r="C888" s="148">
        <v>5</v>
      </c>
      <c r="D888" s="295">
        <v>32.49</v>
      </c>
      <c r="E888" s="296">
        <v>38.99</v>
      </c>
      <c r="F888" s="148">
        <v>60</v>
      </c>
      <c r="G888" s="150">
        <v>45839</v>
      </c>
      <c r="H888" s="156"/>
      <c r="I88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194.94</v>
      </c>
    </row>
    <row r="889" spans="1:9" x14ac:dyDescent="0.3">
      <c r="A889" s="162" t="s">
        <v>259</v>
      </c>
      <c r="B889" s="148" t="s">
        <v>16</v>
      </c>
      <c r="C889" s="148">
        <v>6</v>
      </c>
      <c r="D889" s="295">
        <v>29.78</v>
      </c>
      <c r="E889" s="296">
        <v>35.74</v>
      </c>
      <c r="F889" s="148">
        <v>60</v>
      </c>
      <c r="G889" s="150">
        <v>45839</v>
      </c>
      <c r="H889" s="156"/>
      <c r="I88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214.42</v>
      </c>
    </row>
    <row r="890" spans="1:9" x14ac:dyDescent="0.3">
      <c r="A890" s="162" t="s">
        <v>259</v>
      </c>
      <c r="B890" s="148" t="s">
        <v>16</v>
      </c>
      <c r="C890" s="148">
        <v>7</v>
      </c>
      <c r="D890" s="295">
        <v>26.79</v>
      </c>
      <c r="E890" s="296">
        <v>32.15</v>
      </c>
      <c r="F890" s="148">
        <v>60</v>
      </c>
      <c r="G890" s="150">
        <v>45839</v>
      </c>
      <c r="H890" s="156"/>
      <c r="I89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225.04</v>
      </c>
    </row>
    <row r="891" spans="1:9" x14ac:dyDescent="0.3">
      <c r="A891" s="162" t="s">
        <v>259</v>
      </c>
      <c r="B891" s="148" t="s">
        <v>16</v>
      </c>
      <c r="C891" s="148">
        <v>8</v>
      </c>
      <c r="D891" s="295">
        <v>24.09</v>
      </c>
      <c r="E891" s="296">
        <v>28.91</v>
      </c>
      <c r="F891" s="148">
        <v>60</v>
      </c>
      <c r="G891" s="150">
        <v>45839</v>
      </c>
      <c r="H891" s="156"/>
      <c r="I89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231.26</v>
      </c>
    </row>
    <row r="892" spans="1:9" x14ac:dyDescent="0.3">
      <c r="A892" s="162" t="s">
        <v>259</v>
      </c>
      <c r="B892" s="148" t="s">
        <v>16</v>
      </c>
      <c r="C892" s="148">
        <v>9</v>
      </c>
      <c r="D892" s="295">
        <v>21.71</v>
      </c>
      <c r="E892" s="296">
        <v>26.05</v>
      </c>
      <c r="F892" s="148">
        <v>60</v>
      </c>
      <c r="G892" s="150">
        <v>45839</v>
      </c>
      <c r="H892" s="156"/>
      <c r="I89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234.47</v>
      </c>
    </row>
    <row r="893" spans="1:9" x14ac:dyDescent="0.3">
      <c r="A893" s="162" t="s">
        <v>259</v>
      </c>
      <c r="B893" s="148" t="s">
        <v>16</v>
      </c>
      <c r="C893" s="148">
        <v>10</v>
      </c>
      <c r="D893" s="295">
        <v>19.78</v>
      </c>
      <c r="E893" s="296">
        <v>23.74</v>
      </c>
      <c r="F893" s="148">
        <v>60</v>
      </c>
      <c r="G893" s="150">
        <v>45839</v>
      </c>
      <c r="H893" s="156"/>
      <c r="I89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237.36</v>
      </c>
    </row>
    <row r="894" spans="1:9" x14ac:dyDescent="0.3">
      <c r="A894" s="162" t="s">
        <v>260</v>
      </c>
      <c r="B894" s="148" t="s">
        <v>1</v>
      </c>
      <c r="C894" s="148">
        <v>1</v>
      </c>
      <c r="D894" s="295">
        <v>704.9</v>
      </c>
      <c r="E894" s="296">
        <v>845.88</v>
      </c>
      <c r="F894" s="148">
        <v>800</v>
      </c>
      <c r="G894" s="150">
        <v>45839</v>
      </c>
      <c r="H894" s="156"/>
      <c r="I89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845.88</v>
      </c>
    </row>
    <row r="895" spans="1:9" x14ac:dyDescent="0.3">
      <c r="A895" s="162" t="s">
        <v>260</v>
      </c>
      <c r="B895" s="148" t="s">
        <v>1</v>
      </c>
      <c r="C895" s="148">
        <v>2</v>
      </c>
      <c r="D895" s="295">
        <v>623.32000000000005</v>
      </c>
      <c r="E895" s="296">
        <v>747.98</v>
      </c>
      <c r="F895" s="148">
        <v>800</v>
      </c>
      <c r="G895" s="150">
        <v>45839</v>
      </c>
      <c r="H895" s="156"/>
      <c r="I89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1495.97</v>
      </c>
    </row>
    <row r="896" spans="1:9" x14ac:dyDescent="0.3">
      <c r="A896" s="162" t="s">
        <v>260</v>
      </c>
      <c r="B896" s="148" t="s">
        <v>1</v>
      </c>
      <c r="C896" s="148">
        <v>3</v>
      </c>
      <c r="D896" s="295">
        <v>551.16999999999996</v>
      </c>
      <c r="E896" s="296">
        <v>661.4</v>
      </c>
      <c r="F896" s="148">
        <v>800</v>
      </c>
      <c r="G896" s="150">
        <v>45839</v>
      </c>
      <c r="H896" s="156"/>
      <c r="I89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1984.21</v>
      </c>
    </row>
    <row r="897" spans="1:9" x14ac:dyDescent="0.3">
      <c r="A897" s="162" t="s">
        <v>260</v>
      </c>
      <c r="B897" s="148" t="s">
        <v>1</v>
      </c>
      <c r="C897" s="148">
        <v>4</v>
      </c>
      <c r="D897" s="295">
        <v>487.35</v>
      </c>
      <c r="E897" s="296">
        <v>584.82000000000005</v>
      </c>
      <c r="F897" s="148">
        <v>800</v>
      </c>
      <c r="G897" s="150">
        <v>45839</v>
      </c>
      <c r="H897" s="156"/>
      <c r="I89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2339.2800000000002</v>
      </c>
    </row>
    <row r="898" spans="1:9" x14ac:dyDescent="0.3">
      <c r="A898" s="162" t="s">
        <v>260</v>
      </c>
      <c r="B898" s="148" t="s">
        <v>1</v>
      </c>
      <c r="C898" s="148">
        <v>5</v>
      </c>
      <c r="D898" s="295">
        <v>430.85</v>
      </c>
      <c r="E898" s="296">
        <v>517.02</v>
      </c>
      <c r="F898" s="148">
        <v>800</v>
      </c>
      <c r="G898" s="150">
        <v>45839</v>
      </c>
      <c r="H898" s="156"/>
      <c r="I89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2585.1</v>
      </c>
    </row>
    <row r="899" spans="1:9" x14ac:dyDescent="0.3">
      <c r="A899" s="162" t="s">
        <v>260</v>
      </c>
      <c r="B899" s="148" t="s">
        <v>1</v>
      </c>
      <c r="C899" s="148">
        <v>6</v>
      </c>
      <c r="D899" s="295">
        <v>380.8</v>
      </c>
      <c r="E899" s="296">
        <v>456.96</v>
      </c>
      <c r="F899" s="148">
        <v>800</v>
      </c>
      <c r="G899" s="150">
        <v>45839</v>
      </c>
      <c r="H899" s="156"/>
      <c r="I89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2741.76</v>
      </c>
    </row>
    <row r="900" spans="1:9" x14ac:dyDescent="0.3">
      <c r="A900" s="162" t="s">
        <v>260</v>
      </c>
      <c r="B900" s="148" t="s">
        <v>1</v>
      </c>
      <c r="C900" s="148">
        <v>7</v>
      </c>
      <c r="D900" s="295">
        <v>336.63</v>
      </c>
      <c r="E900" s="296">
        <v>403.96</v>
      </c>
      <c r="F900" s="148">
        <v>800</v>
      </c>
      <c r="G900" s="150">
        <v>45839</v>
      </c>
      <c r="H900" s="156"/>
      <c r="I90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2827.69</v>
      </c>
    </row>
    <row r="901" spans="1:9" x14ac:dyDescent="0.3">
      <c r="A901" s="162" t="s">
        <v>260</v>
      </c>
      <c r="B901" s="148" t="s">
        <v>1</v>
      </c>
      <c r="C901" s="148">
        <v>8</v>
      </c>
      <c r="D901" s="295">
        <v>301.18</v>
      </c>
      <c r="E901" s="296">
        <v>361.42</v>
      </c>
      <c r="F901" s="148">
        <v>800</v>
      </c>
      <c r="G901" s="150">
        <v>45839</v>
      </c>
      <c r="H901" s="156"/>
      <c r="I90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2891.33</v>
      </c>
    </row>
    <row r="902" spans="1:9" x14ac:dyDescent="0.3">
      <c r="A902" s="162" t="s">
        <v>260</v>
      </c>
      <c r="B902" s="148" t="s">
        <v>1</v>
      </c>
      <c r="C902" s="148">
        <v>9</v>
      </c>
      <c r="D902" s="295">
        <v>274</v>
      </c>
      <c r="E902" s="296">
        <v>328.8</v>
      </c>
      <c r="F902" s="148">
        <v>800</v>
      </c>
      <c r="G902" s="150">
        <v>45839</v>
      </c>
      <c r="H902" s="156"/>
      <c r="I90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2959.2</v>
      </c>
    </row>
    <row r="903" spans="1:9" x14ac:dyDescent="0.3">
      <c r="A903" s="162" t="s">
        <v>260</v>
      </c>
      <c r="B903" s="148" t="s">
        <v>1</v>
      </c>
      <c r="C903" s="148">
        <v>10</v>
      </c>
      <c r="D903" s="295">
        <v>255.93</v>
      </c>
      <c r="E903" s="296">
        <v>307.12</v>
      </c>
      <c r="F903" s="148">
        <v>800</v>
      </c>
      <c r="G903" s="150">
        <v>45839</v>
      </c>
      <c r="H903" s="156"/>
      <c r="I90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3071.16</v>
      </c>
    </row>
    <row r="904" spans="1:9" x14ac:dyDescent="0.3">
      <c r="A904" s="162" t="s">
        <v>260</v>
      </c>
      <c r="B904" s="148" t="s">
        <v>2</v>
      </c>
      <c r="C904" s="148">
        <v>1</v>
      </c>
      <c r="D904" s="295">
        <v>437.3</v>
      </c>
      <c r="E904" s="296">
        <v>524.76</v>
      </c>
      <c r="F904" s="148">
        <v>400</v>
      </c>
      <c r="G904" s="150">
        <v>45839</v>
      </c>
      <c r="H904" s="156"/>
      <c r="I90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524.76</v>
      </c>
    </row>
    <row r="905" spans="1:9" x14ac:dyDescent="0.3">
      <c r="A905" s="162" t="s">
        <v>260</v>
      </c>
      <c r="B905" s="148" t="s">
        <v>2</v>
      </c>
      <c r="C905" s="148">
        <v>2</v>
      </c>
      <c r="D905" s="295">
        <v>385.81</v>
      </c>
      <c r="E905" s="296">
        <v>462.97</v>
      </c>
      <c r="F905" s="148">
        <v>400</v>
      </c>
      <c r="G905" s="150">
        <v>45839</v>
      </c>
      <c r="H905" s="156"/>
      <c r="I90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925.94</v>
      </c>
    </row>
    <row r="906" spans="1:9" x14ac:dyDescent="0.3">
      <c r="A906" s="162" t="s">
        <v>260</v>
      </c>
      <c r="B906" s="148" t="s">
        <v>2</v>
      </c>
      <c r="C906" s="148">
        <v>3</v>
      </c>
      <c r="D906" s="295">
        <v>340.32</v>
      </c>
      <c r="E906" s="296">
        <v>408.38</v>
      </c>
      <c r="F906" s="148">
        <v>400</v>
      </c>
      <c r="G906" s="150">
        <v>45839</v>
      </c>
      <c r="H906" s="156"/>
      <c r="I90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1225.1500000000001</v>
      </c>
    </row>
    <row r="907" spans="1:9" x14ac:dyDescent="0.3">
      <c r="A907" s="162" t="s">
        <v>260</v>
      </c>
      <c r="B907" s="148" t="s">
        <v>2</v>
      </c>
      <c r="C907" s="148">
        <v>4</v>
      </c>
      <c r="D907" s="295">
        <v>300.18</v>
      </c>
      <c r="E907" s="296">
        <v>360.22</v>
      </c>
      <c r="F907" s="148">
        <v>400</v>
      </c>
      <c r="G907" s="150">
        <v>45839</v>
      </c>
      <c r="H907" s="156"/>
      <c r="I90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1440.86</v>
      </c>
    </row>
    <row r="908" spans="1:9" x14ac:dyDescent="0.3">
      <c r="A908" s="162" t="s">
        <v>260</v>
      </c>
      <c r="B908" s="148" t="s">
        <v>2</v>
      </c>
      <c r="C908" s="148">
        <v>5</v>
      </c>
      <c r="D908" s="295">
        <v>264.70999999999998</v>
      </c>
      <c r="E908" s="296">
        <v>317.64999999999998</v>
      </c>
      <c r="F908" s="148">
        <v>400</v>
      </c>
      <c r="G908" s="150">
        <v>45839</v>
      </c>
      <c r="H908" s="156"/>
      <c r="I90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1588.26</v>
      </c>
    </row>
    <row r="909" spans="1:9" x14ac:dyDescent="0.3">
      <c r="A909" s="162" t="s">
        <v>260</v>
      </c>
      <c r="B909" s="148" t="s">
        <v>2</v>
      </c>
      <c r="C909" s="148">
        <v>6</v>
      </c>
      <c r="D909" s="295">
        <v>233.43</v>
      </c>
      <c r="E909" s="296">
        <v>280.12</v>
      </c>
      <c r="F909" s="148">
        <v>400</v>
      </c>
      <c r="G909" s="150">
        <v>45839</v>
      </c>
      <c r="H909" s="156"/>
      <c r="I90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1680.7</v>
      </c>
    </row>
    <row r="910" spans="1:9" x14ac:dyDescent="0.3">
      <c r="A910" s="162" t="s">
        <v>260</v>
      </c>
      <c r="B910" s="148" t="s">
        <v>2</v>
      </c>
      <c r="C910" s="148">
        <v>7</v>
      </c>
      <c r="D910" s="295">
        <v>205.81</v>
      </c>
      <c r="E910" s="296">
        <v>246.97</v>
      </c>
      <c r="F910" s="148">
        <v>400</v>
      </c>
      <c r="G910" s="150">
        <v>45839</v>
      </c>
      <c r="H910" s="156"/>
      <c r="I91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1728.8</v>
      </c>
    </row>
    <row r="911" spans="1:9" x14ac:dyDescent="0.3">
      <c r="A911" s="162" t="s">
        <v>260</v>
      </c>
      <c r="B911" s="148" t="s">
        <v>2</v>
      </c>
      <c r="C911" s="148">
        <v>8</v>
      </c>
      <c r="D911" s="295">
        <v>183.68</v>
      </c>
      <c r="E911" s="296">
        <v>220.42</v>
      </c>
      <c r="F911" s="148">
        <v>400</v>
      </c>
      <c r="G911" s="150">
        <v>45839</v>
      </c>
      <c r="H911" s="156"/>
      <c r="I91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1763.33</v>
      </c>
    </row>
    <row r="912" spans="1:9" x14ac:dyDescent="0.3">
      <c r="A912" s="162" t="s">
        <v>260</v>
      </c>
      <c r="B912" s="148" t="s">
        <v>2</v>
      </c>
      <c r="C912" s="148">
        <v>9</v>
      </c>
      <c r="D912" s="295">
        <v>166.76</v>
      </c>
      <c r="E912" s="296">
        <v>200.11</v>
      </c>
      <c r="F912" s="148">
        <v>400</v>
      </c>
      <c r="G912" s="150">
        <v>45839</v>
      </c>
      <c r="H912" s="156"/>
      <c r="I91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1801.01</v>
      </c>
    </row>
    <row r="913" spans="1:9" x14ac:dyDescent="0.3">
      <c r="A913" s="162" t="s">
        <v>260</v>
      </c>
      <c r="B913" s="148" t="s">
        <v>2</v>
      </c>
      <c r="C913" s="148">
        <v>10</v>
      </c>
      <c r="D913" s="295">
        <v>155.37</v>
      </c>
      <c r="E913" s="296">
        <v>186.44</v>
      </c>
      <c r="F913" s="148">
        <v>400</v>
      </c>
      <c r="G913" s="150">
        <v>45839</v>
      </c>
      <c r="H913" s="156"/>
      <c r="I91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1864.44</v>
      </c>
    </row>
    <row r="914" spans="1:9" x14ac:dyDescent="0.3">
      <c r="A914" s="162" t="s">
        <v>260</v>
      </c>
      <c r="B914" s="148" t="s">
        <v>16</v>
      </c>
      <c r="C914" s="148">
        <v>1</v>
      </c>
      <c r="D914" s="295">
        <v>53.63</v>
      </c>
      <c r="E914" s="296">
        <v>64.36</v>
      </c>
      <c r="F914" s="148">
        <v>60</v>
      </c>
      <c r="G914" s="150">
        <v>45839</v>
      </c>
      <c r="H914" s="156"/>
      <c r="I91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64.36</v>
      </c>
    </row>
    <row r="915" spans="1:9" x14ac:dyDescent="0.3">
      <c r="A915" s="162" t="s">
        <v>260</v>
      </c>
      <c r="B915" s="148" t="s">
        <v>16</v>
      </c>
      <c r="C915" s="148">
        <v>2</v>
      </c>
      <c r="D915" s="295">
        <v>49.12</v>
      </c>
      <c r="E915" s="296">
        <v>58.94</v>
      </c>
      <c r="F915" s="148">
        <v>60</v>
      </c>
      <c r="G915" s="150">
        <v>45839</v>
      </c>
      <c r="H915" s="156"/>
      <c r="I91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117.89</v>
      </c>
    </row>
    <row r="916" spans="1:9" x14ac:dyDescent="0.3">
      <c r="A916" s="162" t="s">
        <v>260</v>
      </c>
      <c r="B916" s="148" t="s">
        <v>16</v>
      </c>
      <c r="C916" s="148">
        <v>3</v>
      </c>
      <c r="D916" s="295">
        <v>44.97</v>
      </c>
      <c r="E916" s="296">
        <v>53.96</v>
      </c>
      <c r="F916" s="148">
        <v>60</v>
      </c>
      <c r="G916" s="150">
        <v>45839</v>
      </c>
      <c r="H916" s="156"/>
      <c r="I91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161.88999999999999</v>
      </c>
    </row>
    <row r="917" spans="1:9" x14ac:dyDescent="0.3">
      <c r="A917" s="162" t="s">
        <v>260</v>
      </c>
      <c r="B917" s="148" t="s">
        <v>16</v>
      </c>
      <c r="C917" s="148">
        <v>4</v>
      </c>
      <c r="D917" s="295">
        <v>41.24</v>
      </c>
      <c r="E917" s="296">
        <v>49.49</v>
      </c>
      <c r="F917" s="148">
        <v>60</v>
      </c>
      <c r="G917" s="150">
        <v>45839</v>
      </c>
      <c r="H917" s="156"/>
      <c r="I91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197.95</v>
      </c>
    </row>
    <row r="918" spans="1:9" x14ac:dyDescent="0.3">
      <c r="A918" s="162" t="s">
        <v>260</v>
      </c>
      <c r="B918" s="148" t="s">
        <v>16</v>
      </c>
      <c r="C918" s="148">
        <v>5</v>
      </c>
      <c r="D918" s="295">
        <v>37.75</v>
      </c>
      <c r="E918" s="296">
        <v>45.3</v>
      </c>
      <c r="F918" s="148">
        <v>60</v>
      </c>
      <c r="G918" s="150">
        <v>45839</v>
      </c>
      <c r="H918" s="156"/>
      <c r="I91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226.5</v>
      </c>
    </row>
    <row r="919" spans="1:9" x14ac:dyDescent="0.3">
      <c r="A919" s="162" t="s">
        <v>260</v>
      </c>
      <c r="B919" s="148" t="s">
        <v>16</v>
      </c>
      <c r="C919" s="148">
        <v>6</v>
      </c>
      <c r="D919" s="295">
        <v>34.590000000000003</v>
      </c>
      <c r="E919" s="296">
        <v>41.51</v>
      </c>
      <c r="F919" s="148">
        <v>60</v>
      </c>
      <c r="G919" s="150">
        <v>45839</v>
      </c>
      <c r="H919" s="156"/>
      <c r="I91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249.05</v>
      </c>
    </row>
    <row r="920" spans="1:9" x14ac:dyDescent="0.3">
      <c r="A920" s="162" t="s">
        <v>260</v>
      </c>
      <c r="B920" s="148" t="s">
        <v>16</v>
      </c>
      <c r="C920" s="148">
        <v>7</v>
      </c>
      <c r="D920" s="295">
        <v>31.14</v>
      </c>
      <c r="E920" s="296">
        <v>37.369999999999997</v>
      </c>
      <c r="F920" s="148">
        <v>60</v>
      </c>
      <c r="G920" s="150">
        <v>45839</v>
      </c>
      <c r="H920" s="156"/>
      <c r="I92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261.58</v>
      </c>
    </row>
    <row r="921" spans="1:9" x14ac:dyDescent="0.3">
      <c r="A921" s="162" t="s">
        <v>260</v>
      </c>
      <c r="B921" s="148" t="s">
        <v>16</v>
      </c>
      <c r="C921" s="148">
        <v>8</v>
      </c>
      <c r="D921" s="295">
        <v>28.02</v>
      </c>
      <c r="E921" s="296">
        <v>33.619999999999997</v>
      </c>
      <c r="F921" s="148">
        <v>60</v>
      </c>
      <c r="G921" s="150">
        <v>45839</v>
      </c>
      <c r="H921" s="156"/>
      <c r="I92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268.99</v>
      </c>
    </row>
    <row r="922" spans="1:9" x14ac:dyDescent="0.3">
      <c r="A922" s="162" t="s">
        <v>260</v>
      </c>
      <c r="B922" s="148" t="s">
        <v>16</v>
      </c>
      <c r="C922" s="148">
        <v>9</v>
      </c>
      <c r="D922" s="295">
        <v>25.22</v>
      </c>
      <c r="E922" s="296">
        <v>30.26</v>
      </c>
      <c r="F922" s="148">
        <v>60</v>
      </c>
      <c r="G922" s="150">
        <v>45839</v>
      </c>
      <c r="H922" s="156"/>
      <c r="I92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272.38</v>
      </c>
    </row>
    <row r="923" spans="1:9" x14ac:dyDescent="0.3">
      <c r="A923" s="162" t="s">
        <v>260</v>
      </c>
      <c r="B923" s="148" t="s">
        <v>16</v>
      </c>
      <c r="C923" s="148">
        <v>10</v>
      </c>
      <c r="D923" s="295">
        <v>22.95</v>
      </c>
      <c r="E923" s="296">
        <v>27.54</v>
      </c>
      <c r="F923" s="148">
        <v>60</v>
      </c>
      <c r="G923" s="150">
        <v>45839</v>
      </c>
      <c r="H923" s="156"/>
      <c r="I92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275.39999999999998</v>
      </c>
    </row>
    <row r="924" spans="1:9" x14ac:dyDescent="0.3">
      <c r="A924" s="157" t="s">
        <v>252</v>
      </c>
      <c r="B924" s="158"/>
      <c r="C924" s="158"/>
      <c r="D924" s="166">
        <v>12.8</v>
      </c>
      <c r="E924" s="167">
        <v>15.36</v>
      </c>
      <c r="F924" s="155">
        <v>60</v>
      </c>
      <c r="G924" s="30">
        <v>45839</v>
      </c>
      <c r="H924" s="156"/>
      <c r="I92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15.36</v>
      </c>
    </row>
    <row r="925" spans="1:9" x14ac:dyDescent="0.3">
      <c r="A925" s="162" t="s">
        <v>261</v>
      </c>
      <c r="B925" s="148" t="s">
        <v>1</v>
      </c>
      <c r="C925" s="148">
        <v>1</v>
      </c>
      <c r="D925" s="295">
        <v>390</v>
      </c>
      <c r="E925" s="296">
        <v>468</v>
      </c>
      <c r="F925" s="148">
        <v>800</v>
      </c>
      <c r="G925" s="150">
        <v>45839</v>
      </c>
      <c r="H925" s="156"/>
      <c r="I92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468</v>
      </c>
    </row>
    <row r="926" spans="1:9" x14ac:dyDescent="0.3">
      <c r="A926" s="162" t="s">
        <v>262</v>
      </c>
      <c r="B926" s="148" t="s">
        <v>1</v>
      </c>
      <c r="C926" s="148">
        <v>1</v>
      </c>
      <c r="D926" s="295">
        <v>494.35</v>
      </c>
      <c r="E926" s="296">
        <v>593.22</v>
      </c>
      <c r="F926" s="148">
        <v>800</v>
      </c>
      <c r="G926" s="150">
        <v>45839</v>
      </c>
      <c r="H926" s="156"/>
      <c r="I92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593.22</v>
      </c>
    </row>
    <row r="927" spans="1:9" x14ac:dyDescent="0.3">
      <c r="A927" s="162" t="s">
        <v>262</v>
      </c>
      <c r="B927" s="148" t="s">
        <v>2</v>
      </c>
      <c r="C927" s="148">
        <v>1</v>
      </c>
      <c r="D927" s="295">
        <v>196.07</v>
      </c>
      <c r="E927" s="296">
        <v>235.28</v>
      </c>
      <c r="F927" s="148">
        <v>400</v>
      </c>
      <c r="G927" s="150">
        <v>45839</v>
      </c>
      <c r="H927" s="156"/>
      <c r="I92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235.28</v>
      </c>
    </row>
    <row r="928" spans="1:9" x14ac:dyDescent="0.3">
      <c r="A928" s="162" t="s">
        <v>262</v>
      </c>
      <c r="B928" s="148" t="s">
        <v>16</v>
      </c>
      <c r="C928" s="148">
        <v>1</v>
      </c>
      <c r="D928" s="295">
        <v>82.81</v>
      </c>
      <c r="E928" s="296">
        <v>99.37</v>
      </c>
      <c r="F928" s="148">
        <v>60</v>
      </c>
      <c r="G928" s="150">
        <v>45839</v>
      </c>
      <c r="H928" s="156"/>
      <c r="I92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99.37</v>
      </c>
    </row>
    <row r="929" spans="1:9" x14ac:dyDescent="0.3">
      <c r="A929" s="162" t="s">
        <v>263</v>
      </c>
      <c r="B929" s="148" t="s">
        <v>1</v>
      </c>
      <c r="C929" s="148">
        <v>1</v>
      </c>
      <c r="D929" s="295">
        <v>902.55</v>
      </c>
      <c r="E929" s="296">
        <v>1083.06</v>
      </c>
      <c r="F929" s="148">
        <v>800</v>
      </c>
      <c r="G929" s="150">
        <v>45839</v>
      </c>
      <c r="H929" s="156"/>
      <c r="I92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1083.06</v>
      </c>
    </row>
    <row r="930" spans="1:9" x14ac:dyDescent="0.3">
      <c r="A930" s="162" t="s">
        <v>263</v>
      </c>
      <c r="B930" s="148" t="s">
        <v>2</v>
      </c>
      <c r="C930" s="148">
        <v>1</v>
      </c>
      <c r="D930" s="295">
        <v>349.32</v>
      </c>
      <c r="E930" s="296">
        <v>419.18</v>
      </c>
      <c r="F930" s="148">
        <v>400</v>
      </c>
      <c r="G930" s="150">
        <v>45839</v>
      </c>
      <c r="H930" s="156"/>
      <c r="I93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419.18</v>
      </c>
    </row>
    <row r="931" spans="1:9" x14ac:dyDescent="0.3">
      <c r="A931" s="162" t="s">
        <v>263</v>
      </c>
      <c r="B931" s="148" t="s">
        <v>16</v>
      </c>
      <c r="C931" s="148">
        <v>1</v>
      </c>
      <c r="D931" s="295">
        <v>147.38999999999999</v>
      </c>
      <c r="E931" s="296">
        <v>176.87</v>
      </c>
      <c r="F931" s="148">
        <v>60</v>
      </c>
      <c r="G931" s="150">
        <v>45839</v>
      </c>
      <c r="H931" s="156"/>
      <c r="I93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176.87</v>
      </c>
    </row>
    <row r="932" spans="1:9" x14ac:dyDescent="0.3">
      <c r="A932" s="162" t="s">
        <v>264</v>
      </c>
      <c r="B932" s="148" t="s">
        <v>1</v>
      </c>
      <c r="C932" s="148">
        <v>1</v>
      </c>
      <c r="D932" s="295">
        <v>1828.3</v>
      </c>
      <c r="E932" s="296">
        <v>2193.96</v>
      </c>
      <c r="F932" s="148">
        <v>800</v>
      </c>
      <c r="G932" s="150">
        <v>45839</v>
      </c>
      <c r="H932" s="156"/>
      <c r="I93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2193.96</v>
      </c>
    </row>
    <row r="933" spans="1:9" x14ac:dyDescent="0.3">
      <c r="A933" s="162" t="s">
        <v>264</v>
      </c>
      <c r="B933" s="148" t="s">
        <v>2</v>
      </c>
      <c r="C933" s="148">
        <v>1</v>
      </c>
      <c r="D933" s="295">
        <v>714.52</v>
      </c>
      <c r="E933" s="296">
        <v>857.42</v>
      </c>
      <c r="F933" s="148">
        <v>400</v>
      </c>
      <c r="G933" s="150">
        <v>45839</v>
      </c>
      <c r="H933" s="156"/>
      <c r="I93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857.42</v>
      </c>
    </row>
    <row r="934" spans="1:9" x14ac:dyDescent="0.3">
      <c r="A934" s="162" t="s">
        <v>264</v>
      </c>
      <c r="B934" s="148" t="s">
        <v>16</v>
      </c>
      <c r="C934" s="148">
        <v>1</v>
      </c>
      <c r="D934" s="295">
        <v>312.39</v>
      </c>
      <c r="E934" s="296">
        <v>374.87</v>
      </c>
      <c r="F934" s="148">
        <v>60</v>
      </c>
      <c r="G934" s="150">
        <v>45839</v>
      </c>
      <c r="H934" s="156"/>
      <c r="I93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374.87</v>
      </c>
    </row>
    <row r="935" spans="1:9" x14ac:dyDescent="0.3">
      <c r="A935" s="157" t="s">
        <v>253</v>
      </c>
      <c r="B935" s="158"/>
      <c r="C935" s="158"/>
      <c r="D935" s="166">
        <v>12.42</v>
      </c>
      <c r="E935" s="167">
        <v>14.9</v>
      </c>
      <c r="F935" s="45">
        <v>60</v>
      </c>
      <c r="G935" s="30">
        <v>45839</v>
      </c>
      <c r="H935" s="156"/>
      <c r="I93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14.9</v>
      </c>
    </row>
    <row r="936" spans="1:9" x14ac:dyDescent="0.3">
      <c r="A936" s="261" t="s">
        <v>314</v>
      </c>
      <c r="B936" s="45" t="s">
        <v>1</v>
      </c>
      <c r="C936" s="45">
        <v>1</v>
      </c>
      <c r="D936" s="297">
        <v>197.11</v>
      </c>
      <c r="E936" s="298">
        <v>236.53</v>
      </c>
      <c r="F936" s="155">
        <v>600</v>
      </c>
      <c r="G936" s="30">
        <v>45839</v>
      </c>
      <c r="H936" s="156"/>
      <c r="I93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236.53</v>
      </c>
    </row>
    <row r="937" spans="1:9" x14ac:dyDescent="0.3">
      <c r="A937" s="261" t="s">
        <v>314</v>
      </c>
      <c r="B937" s="45" t="s">
        <v>74</v>
      </c>
      <c r="C937" s="45">
        <v>1</v>
      </c>
      <c r="D937" s="297">
        <v>89.4</v>
      </c>
      <c r="E937" s="298">
        <v>107.28</v>
      </c>
      <c r="F937" s="155" t="s">
        <v>78</v>
      </c>
      <c r="G937" s="30">
        <v>45839</v>
      </c>
      <c r="H937" s="156"/>
      <c r="I93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107.28</v>
      </c>
    </row>
    <row r="938" spans="1:9" x14ac:dyDescent="0.3">
      <c r="A938" s="261" t="s">
        <v>314</v>
      </c>
      <c r="B938" s="45" t="s">
        <v>2</v>
      </c>
      <c r="C938" s="45">
        <v>1</v>
      </c>
      <c r="D938" s="297">
        <v>76.88</v>
      </c>
      <c r="E938" s="298">
        <v>92.26</v>
      </c>
      <c r="F938" s="155">
        <v>300</v>
      </c>
      <c r="G938" s="30">
        <v>45839</v>
      </c>
      <c r="H938" s="156"/>
      <c r="I93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92.26</v>
      </c>
    </row>
    <row r="939" spans="1:9" x14ac:dyDescent="0.3">
      <c r="A939" s="261" t="s">
        <v>314</v>
      </c>
      <c r="B939" s="45" t="s">
        <v>3</v>
      </c>
      <c r="C939" s="45">
        <v>1</v>
      </c>
      <c r="D939" s="297">
        <v>33.909999999999997</v>
      </c>
      <c r="E939" s="298">
        <v>40.69</v>
      </c>
      <c r="F939" s="155">
        <v>60</v>
      </c>
      <c r="G939" s="30">
        <v>45839</v>
      </c>
      <c r="H939" s="156"/>
      <c r="I93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40.69</v>
      </c>
    </row>
    <row r="940" spans="1:9" x14ac:dyDescent="0.3">
      <c r="A940" s="261" t="s">
        <v>315</v>
      </c>
      <c r="B940" s="45" t="s">
        <v>1</v>
      </c>
      <c r="C940" s="45">
        <v>1</v>
      </c>
      <c r="D940" s="297">
        <v>390</v>
      </c>
      <c r="E940" s="298">
        <v>468</v>
      </c>
      <c r="F940" s="155">
        <v>800</v>
      </c>
      <c r="G940" s="30">
        <v>45839</v>
      </c>
      <c r="H940" s="156"/>
      <c r="I94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468</v>
      </c>
    </row>
    <row r="941" spans="1:9" x14ac:dyDescent="0.3">
      <c r="A941" s="261" t="s">
        <v>315</v>
      </c>
      <c r="B941" s="45" t="s">
        <v>74</v>
      </c>
      <c r="C941" s="45">
        <v>1</v>
      </c>
      <c r="D941" s="297">
        <v>194.35</v>
      </c>
      <c r="E941" s="298">
        <v>233.22</v>
      </c>
      <c r="F941" s="155" t="s">
        <v>79</v>
      </c>
      <c r="G941" s="30">
        <v>45839</v>
      </c>
      <c r="H941" s="156"/>
      <c r="I94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233.22</v>
      </c>
    </row>
    <row r="942" spans="1:9" x14ac:dyDescent="0.3">
      <c r="A942" s="261" t="s">
        <v>315</v>
      </c>
      <c r="B942" s="45" t="s">
        <v>2</v>
      </c>
      <c r="C942" s="45">
        <v>1</v>
      </c>
      <c r="D942" s="297">
        <v>167.41</v>
      </c>
      <c r="E942" s="298">
        <v>200.89</v>
      </c>
      <c r="F942" s="155">
        <v>400</v>
      </c>
      <c r="G942" s="30">
        <v>45839</v>
      </c>
      <c r="H942" s="156"/>
      <c r="I94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200.89</v>
      </c>
    </row>
    <row r="943" spans="1:9" x14ac:dyDescent="0.3">
      <c r="A943" s="261" t="s">
        <v>315</v>
      </c>
      <c r="B943" s="45" t="s">
        <v>3</v>
      </c>
      <c r="C943" s="45">
        <v>1</v>
      </c>
      <c r="D943" s="297">
        <v>70.06</v>
      </c>
      <c r="E943" s="298">
        <v>84.07</v>
      </c>
      <c r="F943" s="155">
        <v>60</v>
      </c>
      <c r="G943" s="30">
        <v>45839</v>
      </c>
      <c r="H943" s="156"/>
      <c r="I94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84.07</v>
      </c>
    </row>
    <row r="944" spans="1:9" x14ac:dyDescent="0.3">
      <c r="A944" s="262" t="s">
        <v>316</v>
      </c>
      <c r="B944" s="158"/>
      <c r="C944" s="158"/>
      <c r="D944" s="166">
        <v>12.42</v>
      </c>
      <c r="E944" s="167">
        <v>14.9</v>
      </c>
      <c r="F944" s="155">
        <v>60</v>
      </c>
      <c r="G944" s="30">
        <v>45839</v>
      </c>
      <c r="H944" s="156"/>
      <c r="I944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14.9</v>
      </c>
    </row>
    <row r="945" spans="1:9" x14ac:dyDescent="0.3">
      <c r="A945" s="261" t="s">
        <v>312</v>
      </c>
      <c r="B945" s="45" t="s">
        <v>1</v>
      </c>
      <c r="C945" s="45">
        <v>1</v>
      </c>
      <c r="D945" s="297">
        <v>197.11</v>
      </c>
      <c r="E945" s="298">
        <v>236.53</v>
      </c>
      <c r="F945" s="155">
        <v>600</v>
      </c>
      <c r="G945" s="30">
        <v>45839</v>
      </c>
      <c r="H945" s="156"/>
      <c r="I945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236.53</v>
      </c>
    </row>
    <row r="946" spans="1:9" x14ac:dyDescent="0.3">
      <c r="A946" s="261" t="s">
        <v>312</v>
      </c>
      <c r="B946" s="45" t="s">
        <v>74</v>
      </c>
      <c r="C946" s="45">
        <v>1</v>
      </c>
      <c r="D946" s="297">
        <v>89.4</v>
      </c>
      <c r="E946" s="298">
        <v>107.28</v>
      </c>
      <c r="F946" s="155" t="s">
        <v>78</v>
      </c>
      <c r="G946" s="30">
        <v>45839</v>
      </c>
      <c r="H946" s="156"/>
      <c r="I946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107.28</v>
      </c>
    </row>
    <row r="947" spans="1:9" x14ac:dyDescent="0.3">
      <c r="A947" s="261" t="s">
        <v>312</v>
      </c>
      <c r="B947" s="45" t="s">
        <v>2</v>
      </c>
      <c r="C947" s="45">
        <v>1</v>
      </c>
      <c r="D947" s="297">
        <v>76.88</v>
      </c>
      <c r="E947" s="298">
        <v>92.26</v>
      </c>
      <c r="F947" s="155">
        <v>300</v>
      </c>
      <c r="G947" s="30">
        <v>45839</v>
      </c>
      <c r="H947" s="156"/>
      <c r="I947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92.26</v>
      </c>
    </row>
    <row r="948" spans="1:9" x14ac:dyDescent="0.3">
      <c r="A948" s="261" t="s">
        <v>312</v>
      </c>
      <c r="B948" s="45" t="s">
        <v>3</v>
      </c>
      <c r="C948" s="45">
        <v>1</v>
      </c>
      <c r="D948" s="297">
        <v>33.909999999999997</v>
      </c>
      <c r="E948" s="298">
        <v>40.69</v>
      </c>
      <c r="F948" s="155">
        <v>60</v>
      </c>
      <c r="G948" s="30">
        <v>45839</v>
      </c>
      <c r="H948" s="156"/>
      <c r="I948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40.69</v>
      </c>
    </row>
    <row r="949" spans="1:9" x14ac:dyDescent="0.3">
      <c r="A949" s="261" t="s">
        <v>313</v>
      </c>
      <c r="B949" s="45" t="s">
        <v>1</v>
      </c>
      <c r="C949" s="45">
        <v>1</v>
      </c>
      <c r="D949" s="297">
        <v>390</v>
      </c>
      <c r="E949" s="298">
        <v>468</v>
      </c>
      <c r="F949" s="155">
        <v>800</v>
      </c>
      <c r="G949" s="30">
        <v>45839</v>
      </c>
      <c r="H949" s="156"/>
      <c r="I949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468</v>
      </c>
    </row>
    <row r="950" spans="1:9" x14ac:dyDescent="0.3">
      <c r="A950" s="261" t="s">
        <v>313</v>
      </c>
      <c r="B950" s="45" t="s">
        <v>74</v>
      </c>
      <c r="C950" s="45">
        <v>1</v>
      </c>
      <c r="D950" s="297">
        <v>194.35</v>
      </c>
      <c r="E950" s="298">
        <v>233.22</v>
      </c>
      <c r="F950" s="155" t="s">
        <v>79</v>
      </c>
      <c r="G950" s="30">
        <v>45839</v>
      </c>
      <c r="H950" s="156"/>
      <c r="I950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233.22</v>
      </c>
    </row>
    <row r="951" spans="1:9" x14ac:dyDescent="0.3">
      <c r="A951" s="261" t="s">
        <v>313</v>
      </c>
      <c r="B951" s="45" t="s">
        <v>2</v>
      </c>
      <c r="C951" s="45">
        <v>1</v>
      </c>
      <c r="D951" s="297">
        <v>167.41</v>
      </c>
      <c r="E951" s="298">
        <v>200.89</v>
      </c>
      <c r="F951" s="155">
        <v>400</v>
      </c>
      <c r="G951" s="30">
        <v>45839</v>
      </c>
      <c r="H951" s="156"/>
      <c r="I951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200.89</v>
      </c>
    </row>
    <row r="952" spans="1:9" x14ac:dyDescent="0.3">
      <c r="A952" s="270" t="s">
        <v>313</v>
      </c>
      <c r="B952" s="271" t="s">
        <v>3</v>
      </c>
      <c r="C952" s="271">
        <v>1</v>
      </c>
      <c r="D952" s="299">
        <v>70.06</v>
      </c>
      <c r="E952" s="300">
        <v>84.07</v>
      </c>
      <c r="F952" s="272">
        <v>60</v>
      </c>
      <c r="G952" s="30">
        <v>45839</v>
      </c>
      <c r="H952" s="156"/>
      <c r="I952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84.07</v>
      </c>
    </row>
    <row r="953" spans="1:9" x14ac:dyDescent="0.3">
      <c r="A953" s="301" t="s">
        <v>318</v>
      </c>
      <c r="B953" s="302"/>
      <c r="C953" s="302"/>
      <c r="D953" s="303">
        <v>12.42</v>
      </c>
      <c r="E953" s="304">
        <v>14.9</v>
      </c>
      <c r="F953" s="272">
        <v>60</v>
      </c>
      <c r="G953" s="30">
        <v>45839</v>
      </c>
      <c r="H953" s="156"/>
      <c r="I953" s="9">
        <f>IF(Таблица7[[#This Row],[Аккаунтов]]&gt;=1,ROUND(Таблица7[[#This Row],[Стоимость без НДС]]*Таблица7[[#This Row],[Аккаунтов]]*1.2,2),Таблица7[[#This Row],[Стоимость 1 аккаунта]])</f>
        <v>14.9</v>
      </c>
    </row>
  </sheetData>
  <pageMargins left="0.7" right="0.7" top="0.75" bottom="0.75" header="0.3" footer="0.3"/>
  <pageSetup paperSize="9" orientation="portrait" r:id="rId5"/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48AD9-4AC3-4FAF-950D-F32480E98E4D}">
  <sheetPr codeName="Лист2">
    <tabColor theme="0" tint="-0.34998626667073579"/>
    <outlinePr summaryRight="0"/>
  </sheetPr>
  <dimension ref="A1:EN17"/>
  <sheetViews>
    <sheetView zoomScale="70" zoomScaleNormal="70" workbookViewId="0">
      <selection activeCell="DG18" sqref="DG18"/>
    </sheetView>
  </sheetViews>
  <sheetFormatPr defaultRowHeight="41.4" customHeight="1" outlineLevelCol="1" x14ac:dyDescent="0.3"/>
  <cols>
    <col min="1" max="1" width="10.109375" customWidth="1"/>
    <col min="2" max="4" width="3" customWidth="1"/>
    <col min="5" max="5" width="7.5546875" customWidth="1"/>
    <col min="6" max="6" width="34.109375" customWidth="1"/>
    <col min="7" max="8" width="9.33203125" customWidth="1"/>
    <col min="9" max="9" width="10" customWidth="1"/>
    <col min="10" max="10" width="9.109375" customWidth="1"/>
    <col min="11" max="13" width="4.33203125" customWidth="1"/>
    <col min="14" max="14" width="2.6640625" customWidth="1"/>
    <col min="15" max="29" width="2.6640625" customWidth="1" outlineLevel="1"/>
    <col min="30" max="30" width="2.6640625" customWidth="1"/>
    <col min="31" max="45" width="2.6640625" customWidth="1" outlineLevel="1"/>
    <col min="46" max="46" width="2.6640625" customWidth="1"/>
    <col min="47" max="61" width="2.6640625" customWidth="1" outlineLevel="1"/>
    <col min="62" max="62" width="3.44140625" customWidth="1"/>
    <col min="63" max="63" width="9" customWidth="1"/>
    <col min="64" max="64" width="8.88671875" customWidth="1"/>
    <col min="65" max="65" width="3" customWidth="1"/>
    <col min="66" max="66" width="3.88671875" customWidth="1"/>
    <col min="67" max="67" width="6.33203125" customWidth="1"/>
    <col min="68" max="69" width="3" customWidth="1"/>
    <col min="70" max="70" width="6.33203125" customWidth="1"/>
    <col min="71" max="71" width="5.6640625" customWidth="1"/>
    <col min="72" max="72" width="10.44140625" customWidth="1"/>
    <col min="73" max="73" width="24.5546875" customWidth="1"/>
    <col min="74" max="74" width="3.109375" customWidth="1" outlineLevel="1"/>
    <col min="75" max="88" width="2.5546875" customWidth="1" outlineLevel="1"/>
    <col min="89" max="89" width="15.109375" customWidth="1" outlineLevel="1"/>
    <col min="90" max="90" width="5.33203125" customWidth="1" outlineLevel="1"/>
    <col min="91" max="91" width="6.88671875" customWidth="1" outlineLevel="1"/>
    <col min="92" max="92" width="8" customWidth="1" outlineLevel="1"/>
    <col min="93" max="93" width="6.109375" customWidth="1" outlineLevel="1"/>
    <col min="94" max="94" width="19.44140625" customWidth="1"/>
    <col min="95" max="95" width="13.88671875" customWidth="1" outlineLevel="1"/>
    <col min="96" max="108" width="2.5546875" customWidth="1" outlineLevel="1"/>
    <col min="109" max="109" width="2.5546875" customWidth="1" outlineLevel="1" collapsed="1"/>
    <col min="110" max="113" width="2.5546875" customWidth="1" outlineLevel="1"/>
    <col min="114" max="114" width="2.5546875" customWidth="1"/>
    <col min="115" max="115" width="4.6640625" customWidth="1"/>
    <col min="116" max="135" width="2.5546875" customWidth="1" outlineLevel="1"/>
    <col min="136" max="140" width="8.33203125" customWidth="1"/>
    <col min="141" max="141" width="5.109375" customWidth="1"/>
    <col min="142" max="142" width="9.88671875" bestFit="1" customWidth="1"/>
  </cols>
  <sheetData>
    <row r="1" spans="1:144" s="48" customFormat="1" ht="41.4" customHeight="1" thickBot="1" x14ac:dyDescent="0.35">
      <c r="A1" s="54" t="s">
        <v>7</v>
      </c>
      <c r="B1" s="54" t="s">
        <v>81</v>
      </c>
      <c r="C1" s="54" t="s">
        <v>82</v>
      </c>
      <c r="D1" s="54" t="s">
        <v>83</v>
      </c>
      <c r="E1" s="54" t="s">
        <v>150</v>
      </c>
      <c r="F1" s="54" t="s">
        <v>212</v>
      </c>
      <c r="G1" s="54" t="s">
        <v>84</v>
      </c>
      <c r="H1" s="91" t="s">
        <v>151</v>
      </c>
      <c r="I1" s="92" t="s">
        <v>153</v>
      </c>
      <c r="J1" s="93" t="s">
        <v>152</v>
      </c>
      <c r="K1" s="91" t="s">
        <v>88</v>
      </c>
      <c r="L1" s="92" t="s">
        <v>89</v>
      </c>
      <c r="M1" s="93" t="s">
        <v>90</v>
      </c>
      <c r="N1" s="116" t="s">
        <v>204</v>
      </c>
      <c r="O1" s="117" t="s">
        <v>205</v>
      </c>
      <c r="P1" s="117" t="s">
        <v>206</v>
      </c>
      <c r="Q1" s="117" t="s">
        <v>266</v>
      </c>
      <c r="R1" s="117" t="s">
        <v>207</v>
      </c>
      <c r="S1" s="117" t="s">
        <v>208</v>
      </c>
      <c r="T1" s="117" t="s">
        <v>209</v>
      </c>
      <c r="U1" s="117" t="s">
        <v>196</v>
      </c>
      <c r="V1" s="117" t="s">
        <v>202</v>
      </c>
      <c r="W1" s="117" t="s">
        <v>197</v>
      </c>
      <c r="X1" s="117" t="s">
        <v>198</v>
      </c>
      <c r="Y1" s="117" t="s">
        <v>199</v>
      </c>
      <c r="Z1" s="117" t="s">
        <v>203</v>
      </c>
      <c r="AA1" s="117" t="s">
        <v>200</v>
      </c>
      <c r="AB1" s="117" t="s">
        <v>267</v>
      </c>
      <c r="AC1" s="118" t="s">
        <v>201</v>
      </c>
      <c r="AD1" s="116" t="s">
        <v>204</v>
      </c>
      <c r="AE1" s="117" t="s">
        <v>205</v>
      </c>
      <c r="AF1" s="117" t="s">
        <v>206</v>
      </c>
      <c r="AG1" s="117" t="s">
        <v>266</v>
      </c>
      <c r="AH1" s="117" t="s">
        <v>207</v>
      </c>
      <c r="AI1" s="117" t="s">
        <v>208</v>
      </c>
      <c r="AJ1" s="117" t="s">
        <v>209</v>
      </c>
      <c r="AK1" s="117" t="s">
        <v>196</v>
      </c>
      <c r="AL1" s="117" t="s">
        <v>202</v>
      </c>
      <c r="AM1" s="117" t="s">
        <v>197</v>
      </c>
      <c r="AN1" s="117" t="s">
        <v>198</v>
      </c>
      <c r="AO1" s="117" t="s">
        <v>199</v>
      </c>
      <c r="AP1" s="117" t="s">
        <v>203</v>
      </c>
      <c r="AQ1" s="117" t="s">
        <v>200</v>
      </c>
      <c r="AR1" s="117" t="s">
        <v>267</v>
      </c>
      <c r="AS1" s="118" t="s">
        <v>201</v>
      </c>
      <c r="AT1" s="116" t="s">
        <v>204</v>
      </c>
      <c r="AU1" s="117" t="s">
        <v>205</v>
      </c>
      <c r="AV1" s="117" t="s">
        <v>206</v>
      </c>
      <c r="AW1" s="117" t="s">
        <v>266</v>
      </c>
      <c r="AX1" s="117" t="s">
        <v>207</v>
      </c>
      <c r="AY1" s="117" t="s">
        <v>208</v>
      </c>
      <c r="AZ1" s="117" t="s">
        <v>209</v>
      </c>
      <c r="BA1" s="117" t="s">
        <v>196</v>
      </c>
      <c r="BB1" s="117" t="s">
        <v>202</v>
      </c>
      <c r="BC1" s="117" t="s">
        <v>197</v>
      </c>
      <c r="BD1" s="117" t="s">
        <v>198</v>
      </c>
      <c r="BE1" s="117" t="s">
        <v>199</v>
      </c>
      <c r="BF1" s="117" t="s">
        <v>203</v>
      </c>
      <c r="BG1" s="117" t="s">
        <v>200</v>
      </c>
      <c r="BH1" s="117" t="s">
        <v>267</v>
      </c>
      <c r="BI1" s="118" t="s">
        <v>201</v>
      </c>
      <c r="BJ1" s="56" t="s">
        <v>91</v>
      </c>
      <c r="BK1" s="55" t="s">
        <v>85</v>
      </c>
      <c r="BL1" s="55" t="s">
        <v>86</v>
      </c>
      <c r="BM1" s="55" t="s">
        <v>87</v>
      </c>
      <c r="BN1" s="62" t="s">
        <v>106</v>
      </c>
      <c r="BO1" s="62" t="s">
        <v>107</v>
      </c>
      <c r="BP1" s="62" t="s">
        <v>108</v>
      </c>
      <c r="BQ1" s="63" t="s">
        <v>109</v>
      </c>
      <c r="BR1" s="63" t="s">
        <v>110</v>
      </c>
      <c r="BS1" s="63" t="s">
        <v>111</v>
      </c>
      <c r="BT1" s="57" t="s">
        <v>124</v>
      </c>
      <c r="BU1" s="64" t="s">
        <v>80</v>
      </c>
      <c r="BV1" s="65" t="s">
        <v>125</v>
      </c>
      <c r="BW1" s="66" t="s">
        <v>123</v>
      </c>
      <c r="BX1" s="72" t="s">
        <v>113</v>
      </c>
      <c r="BY1" s="67" t="s">
        <v>92</v>
      </c>
      <c r="BZ1" s="68" t="s">
        <v>93</v>
      </c>
      <c r="CA1" s="68" t="s">
        <v>94</v>
      </c>
      <c r="CB1" s="68" t="s">
        <v>68</v>
      </c>
      <c r="CC1" s="68" t="s">
        <v>66</v>
      </c>
      <c r="CD1" s="69" t="s">
        <v>67</v>
      </c>
      <c r="CE1" s="67" t="s">
        <v>116</v>
      </c>
      <c r="CF1" s="70" t="s">
        <v>117</v>
      </c>
      <c r="CG1" s="70" t="s">
        <v>118</v>
      </c>
      <c r="CH1" s="68" t="s">
        <v>95</v>
      </c>
      <c r="CI1" s="68" t="s">
        <v>96</v>
      </c>
      <c r="CJ1" s="69" t="s">
        <v>97</v>
      </c>
      <c r="CK1" s="72" t="s">
        <v>119</v>
      </c>
      <c r="CL1" s="71" t="s">
        <v>112</v>
      </c>
      <c r="CM1" s="71" t="s">
        <v>127</v>
      </c>
      <c r="CN1" s="65" t="s">
        <v>128</v>
      </c>
      <c r="CO1" s="65" t="s">
        <v>126</v>
      </c>
      <c r="CP1" s="73" t="s">
        <v>129</v>
      </c>
      <c r="CQ1" s="74" t="s">
        <v>130</v>
      </c>
      <c r="CR1" s="75" t="s">
        <v>131</v>
      </c>
      <c r="CS1" s="76" t="s">
        <v>132</v>
      </c>
      <c r="CT1" s="77" t="s">
        <v>133</v>
      </c>
      <c r="CU1" s="78" t="s">
        <v>134</v>
      </c>
      <c r="CV1" s="78" t="s">
        <v>135</v>
      </c>
      <c r="CW1" s="78" t="s">
        <v>136</v>
      </c>
      <c r="CX1" s="78" t="s">
        <v>137</v>
      </c>
      <c r="CY1" s="79" t="s">
        <v>138</v>
      </c>
      <c r="CZ1" s="77" t="s">
        <v>139</v>
      </c>
      <c r="DA1" s="80" t="s">
        <v>140</v>
      </c>
      <c r="DB1" s="80" t="s">
        <v>141</v>
      </c>
      <c r="DC1" s="78" t="s">
        <v>142</v>
      </c>
      <c r="DD1" s="78" t="s">
        <v>143</v>
      </c>
      <c r="DE1" s="79" t="s">
        <v>144</v>
      </c>
      <c r="DF1" s="76" t="s">
        <v>145</v>
      </c>
      <c r="DG1" s="81" t="s">
        <v>146</v>
      </c>
      <c r="DH1" s="81" t="s">
        <v>147</v>
      </c>
      <c r="DI1" s="74" t="s">
        <v>148</v>
      </c>
      <c r="DJ1" s="74" t="s">
        <v>149</v>
      </c>
      <c r="DK1" s="82" t="s">
        <v>129</v>
      </c>
      <c r="DL1" s="83" t="s">
        <v>130</v>
      </c>
      <c r="DM1" s="84" t="s">
        <v>131</v>
      </c>
      <c r="DN1" s="85" t="s">
        <v>132</v>
      </c>
      <c r="DO1" s="86" t="s">
        <v>133</v>
      </c>
      <c r="DP1" s="87" t="s">
        <v>134</v>
      </c>
      <c r="DQ1" s="87" t="s">
        <v>135</v>
      </c>
      <c r="DR1" s="87" t="s">
        <v>136</v>
      </c>
      <c r="DS1" s="87" t="s">
        <v>137</v>
      </c>
      <c r="DT1" s="88" t="s">
        <v>138</v>
      </c>
      <c r="DU1" s="86" t="s">
        <v>139</v>
      </c>
      <c r="DV1" s="89" t="s">
        <v>140</v>
      </c>
      <c r="DW1" s="89" t="s">
        <v>141</v>
      </c>
      <c r="DX1" s="87" t="s">
        <v>142</v>
      </c>
      <c r="DY1" s="87" t="s">
        <v>143</v>
      </c>
      <c r="DZ1" s="88" t="s">
        <v>144</v>
      </c>
      <c r="EA1" s="85" t="s">
        <v>145</v>
      </c>
      <c r="EB1" s="90" t="s">
        <v>146</v>
      </c>
      <c r="EC1" s="90" t="s">
        <v>147</v>
      </c>
      <c r="ED1" s="83" t="s">
        <v>148</v>
      </c>
      <c r="EE1" s="83" t="s">
        <v>149</v>
      </c>
      <c r="EF1" s="100" t="s">
        <v>157</v>
      </c>
      <c r="EG1" s="101" t="s">
        <v>158</v>
      </c>
      <c r="EH1" s="101" t="s">
        <v>159</v>
      </c>
      <c r="EI1" s="101" t="s">
        <v>160</v>
      </c>
      <c r="EJ1" s="101" t="s">
        <v>161</v>
      </c>
      <c r="EK1" s="101" t="s">
        <v>162</v>
      </c>
      <c r="EL1" s="160" t="s">
        <v>247</v>
      </c>
      <c r="EM1" s="160" t="s">
        <v>249</v>
      </c>
      <c r="EN1" s="202" t="s">
        <v>268</v>
      </c>
    </row>
    <row r="2" spans="1:144" s="48" customFormat="1" ht="54" customHeight="1" x14ac:dyDescent="0.3">
      <c r="A2" s="244" t="str">
        <f>VLOOKUP(Калькулятор!E4,списки!$J$3:$K$22,2,FALSE)</f>
        <v>Предприятие</v>
      </c>
      <c r="B2" s="244" t="str">
        <f>HLOOKUP(A2,ТП!$B$1:$N$7,2,FALSE)</f>
        <v>РУКОВОДИТЕЛЮ, БУХГАЛТЕРУ, ЮРИСТУ, ЭКОНОМИСТУ, 
СПЕЦИАЛИСТУ ПО КАДРАМ И ОХРАНЕ ТРУДА, ДЕЛОПРОИЗВОДИТЕЛЮ, ЭКОЛОГУ</v>
      </c>
      <c r="C2" s="244" t="str">
        <f>HLOOKUP(A2,ТП!$B$1:$N$7,3,FALSE)</f>
        <v>Полная законодательная база</v>
      </c>
      <c r="D2" s="244" t="str">
        <f>HLOOKUP(A2,ТП!$B$1:$N$7,5,FALSE)</f>
        <v>Более 44 500 форм и образцов документов</v>
      </c>
      <c r="E2" s="168" t="str">
        <f>C2&amp;CHAR(10)&amp;CHAR(10)&amp;D2</f>
        <v>Полная законодательная база
Более 44 500 форм и образцов документов</v>
      </c>
      <c r="F2" s="245" t="str">
        <f>HLOOKUP(A2,ТП!$B$1:$N$7,6,FALSE)</f>
        <v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
Дополнительно: акцизы, единый налог для с/х производителей, налог на доходы от осуществления лотерейной деятельности, налог на игорный бизнес, оффшорный сбор, отчисление части прибыли РУП, плата за использование радиочастотного спектра, отчисления в фонд универсального обслуживания (резерв универсального обслуживания), налог за добычу (изъятие) природных ресурсов, утилизационный сбор, гербовый сбор (вексель).</v>
      </c>
      <c r="G2" s="244" t="str">
        <f>HLOOKUP(A2,ТП!$B$1:$N$7,7,FALSE)</f>
        <v>Нюансы учета по видам деятельности (оптовой, розничной торговли, общепита, производства, строительства, различных услуг) и т.п.</v>
      </c>
      <c r="H2" s="103" t="str">
        <f>IF(H5&lt;&gt;"",H5,IF(I5&lt;&gt;"",I5,IF(J5&lt;&gt;"",J5,"")))</f>
        <v/>
      </c>
      <c r="I2" s="103" t="str">
        <f>IF(AND(H5&lt;&gt;"",I5&lt;&gt;""),I5,IF(OR(H2=I5,I5&lt;&gt;""),J5,IF(H2=J5,"",IF(J5&lt;&gt;"",J5,""))))</f>
        <v/>
      </c>
      <c r="J2" s="103" t="str">
        <f>IF(OR(I2=J5,J5="",H2=J5),"",IF(J5&lt;&gt;"",J5,""))</f>
        <v/>
      </c>
      <c r="K2" s="188" t="str">
        <f>IFERROR(IF(H2&gt;0,VLOOKUP(H2,ТП!$A$10:$B$13,2,FALSE),IF(I2&gt;0,VLOOKUP(I2,ТП!$A$10:$B$13,2,FALSE),IF(J2&gt;0,VLOOKUP(I2,ТП!$A$10:$B$13,2,FALSE),""))),"")</f>
        <v/>
      </c>
      <c r="L2" s="188" t="str">
        <f>IFERROR(IF(J2&gt;0,VLOOKUP(I2,ТП!$A$10:$B$13,2,FALSE),IF(I2&gt;0,VLOOKUP(I2,ТП!$A$10:$B$13,2,FALSE),IF(H2&gt;0,VLOOKUP(H2,ТП!$A$10:$B$13,2,FALSE),""))),"")</f>
        <v/>
      </c>
      <c r="M2" s="188" t="str">
        <f>IFERROR(IF(J2&gt;0,VLOOKUP(J2,ТП!$A$10:$B$13,2,FALSE),""),"")</f>
        <v/>
      </c>
      <c r="N2" s="200" t="str">
        <f>IFERROR(HLOOKUP(($H$2&amp;$A$2),'Данные для сравнения'!$E$1:$BK$90,N5,FALSE),"")</f>
        <v/>
      </c>
      <c r="O2" s="200" t="str">
        <f>IFERROR(HLOOKUP(($H$2&amp;$A$2),'Данные для сравнения'!$E$1:$BK$90,O5,FALSE),"")</f>
        <v/>
      </c>
      <c r="P2" s="200" t="str">
        <f>IFERROR(HLOOKUP(($H$2&amp;$A$2),'Данные для сравнения'!$E$1:$BK$90,P5,FALSE),"")</f>
        <v/>
      </c>
      <c r="Q2" s="200" t="str">
        <f>IFERROR(HLOOKUP(($H$2&amp;$A$2),'Данные для сравнения'!$E$1:$BK$90,Q5,FALSE),"")</f>
        <v/>
      </c>
      <c r="R2" s="200" t="str">
        <f>IFERROR(HLOOKUP(($H$2&amp;$A$2),'Данные для сравнения'!$E$1:$BK$90,R5,FALSE),"")</f>
        <v/>
      </c>
      <c r="S2" s="200" t="str">
        <f>IFERROR(HLOOKUP(($H$2&amp;$A$2),'Данные для сравнения'!$E$1:$BK$90,S5,FALSE),"")</f>
        <v/>
      </c>
      <c r="T2" s="200" t="str">
        <f>IFERROR(HLOOKUP(($H$2&amp;$A$2),'Данные для сравнения'!$E$1:$BK$90,T5,FALSE),"")</f>
        <v/>
      </c>
      <c r="U2" s="200" t="str">
        <f>IFERROR(HLOOKUP(($H$2&amp;$A$2),'Данные для сравнения'!$E$1:$BK$90,U5,FALSE),"")</f>
        <v/>
      </c>
      <c r="V2" s="200" t="str">
        <f>IFERROR(HLOOKUP(($H$2&amp;$A$2),'Данные для сравнения'!$E$1:$BK$90,V5,FALSE),"")</f>
        <v/>
      </c>
      <c r="W2" s="200" t="str">
        <f>IFERROR(HLOOKUP(($H$2&amp;$A$2),'Данные для сравнения'!$E$1:$BK$90,W5,FALSE),"")</f>
        <v/>
      </c>
      <c r="X2" s="200" t="str">
        <f>IFERROR(HLOOKUP(($H$2&amp;$A$2),'Данные для сравнения'!$E$1:$BK$90,X5,FALSE),"")</f>
        <v/>
      </c>
      <c r="Y2" s="200" t="str">
        <f>IFERROR(HLOOKUP(($H$2&amp;$A$2),'Данные для сравнения'!$E$1:$BK$90,Y5,FALSE),"")</f>
        <v/>
      </c>
      <c r="Z2" s="200" t="str">
        <f>IFERROR(HLOOKUP(($H$2&amp;$A$2),'Данные для сравнения'!$E$1:$BK$90,Z5,FALSE),"")</f>
        <v/>
      </c>
      <c r="AA2" s="200" t="str">
        <f>IFERROR(HLOOKUP(($H$2&amp;$A$2),'Данные для сравнения'!$E$1:$BK$90,AA5,FALSE),"")</f>
        <v/>
      </c>
      <c r="AB2" s="200" t="str">
        <f>IFERROR(HLOOKUP(($H$2&amp;$A$2),'Данные для сравнения'!$E$1:$BK$90,AB5,FALSE),"")</f>
        <v/>
      </c>
      <c r="AC2" s="200" t="str">
        <f>IFERROR(HLOOKUP(($H$2&amp;$A$2),'Данные для сравнения'!$E$1:$BK$90,AC5,FALSE),"")</f>
        <v/>
      </c>
      <c r="AD2" s="200" t="str">
        <f>IFERROR(HLOOKUP(($I$2&amp;$A$2),'Данные для сравнения'!$E$1:$BK$90,AD5,FALSE),"")</f>
        <v/>
      </c>
      <c r="AE2" s="200" t="str">
        <f>IFERROR(HLOOKUP(($I$2&amp;$A$2),'Данные для сравнения'!$E$1:$BK$90,AE5,FALSE),"")</f>
        <v/>
      </c>
      <c r="AF2" s="200" t="str">
        <f>IFERROR(HLOOKUP(($I$2&amp;$A$2),'Данные для сравнения'!$E$1:$BK$90,AF5,FALSE),"")</f>
        <v/>
      </c>
      <c r="AG2" s="200" t="str">
        <f>IFERROR(HLOOKUP(($I$2&amp;$A$2),'Данные для сравнения'!$E$1:$BK$90,AG5,FALSE),"")</f>
        <v/>
      </c>
      <c r="AH2" s="200" t="str">
        <f>IFERROR(HLOOKUP(($I$2&amp;$A$2),'Данные для сравнения'!$E$1:$BK$90,AH5,FALSE),"")</f>
        <v/>
      </c>
      <c r="AI2" s="200" t="str">
        <f>IFERROR(HLOOKUP(($I$2&amp;$A$2),'Данные для сравнения'!$E$1:$BK$90,AI5,FALSE),"")</f>
        <v/>
      </c>
      <c r="AJ2" s="200" t="str">
        <f>IFERROR(HLOOKUP(($I$2&amp;$A$2),'Данные для сравнения'!$E$1:$BK$90,AJ5,FALSE),"")</f>
        <v/>
      </c>
      <c r="AK2" s="200" t="str">
        <f>IFERROR(HLOOKUP(($I$2&amp;$A$2),'Данные для сравнения'!$E$1:$BK$90,AK5,FALSE),"")</f>
        <v/>
      </c>
      <c r="AL2" s="200" t="str">
        <f>IFERROR(HLOOKUP(($I$2&amp;$A$2),'Данные для сравнения'!$E$1:$BK$90,AL5,FALSE),"")</f>
        <v/>
      </c>
      <c r="AM2" s="200" t="str">
        <f>IFERROR(HLOOKUP(($I$2&amp;$A$2),'Данные для сравнения'!$E$1:$BK$90,AM5,FALSE),"")</f>
        <v/>
      </c>
      <c r="AN2" s="200" t="str">
        <f>IFERROR(HLOOKUP(($I$2&amp;$A$2),'Данные для сравнения'!$E$1:$BK$90,AN5,FALSE),"")</f>
        <v/>
      </c>
      <c r="AO2" s="200" t="str">
        <f>IFERROR(HLOOKUP(($I$2&amp;$A$2),'Данные для сравнения'!$E$1:$BK$90,AO5,FALSE),"")</f>
        <v/>
      </c>
      <c r="AP2" s="200" t="str">
        <f>IFERROR(HLOOKUP(($I$2&amp;$A$2),'Данные для сравнения'!$E$1:$BK$90,AP5,FALSE),"")</f>
        <v/>
      </c>
      <c r="AQ2" s="200" t="str">
        <f>IFERROR(HLOOKUP(($I$2&amp;$A$2),'Данные для сравнения'!$E$1:$BK$90,AQ5,FALSE),"")</f>
        <v/>
      </c>
      <c r="AR2" s="200" t="str">
        <f>IFERROR(HLOOKUP(($I$2&amp;$A$2),'Данные для сравнения'!$E$1:$BK$90,AR5,FALSE),"")</f>
        <v/>
      </c>
      <c r="AS2" s="200" t="str">
        <f>IFERROR(HLOOKUP(($I$2&amp;$A$2),'Данные для сравнения'!$E$1:$BK$90,AS5,FALSE),"")</f>
        <v/>
      </c>
      <c r="AT2" s="200" t="str">
        <f>IFERROR(HLOOKUP(($J$2&amp;$A$2),'Данные для сравнения'!$E$1:$BK$90,AT5,FALSE),"")</f>
        <v/>
      </c>
      <c r="AU2" s="200" t="str">
        <f>IFERROR(HLOOKUP(($J$2&amp;$A$2),'Данные для сравнения'!$E$1:$BK$90,AU5,FALSE),"")</f>
        <v/>
      </c>
      <c r="AV2" s="200" t="str">
        <f>IFERROR(HLOOKUP(($J$2&amp;$A$2),'Данные для сравнения'!$E$1:$BK$90,AV5,FALSE),"")</f>
        <v/>
      </c>
      <c r="AW2" s="200" t="str">
        <f>IFERROR(HLOOKUP(($J$2&amp;$A$2),'Данные для сравнения'!$E$1:$BK$90,AW5,FALSE),"")</f>
        <v/>
      </c>
      <c r="AX2" s="200" t="str">
        <f>IFERROR(HLOOKUP(($J$2&amp;$A$2),'Данные для сравнения'!$E$1:$BK$90,AX5,FALSE),"")</f>
        <v/>
      </c>
      <c r="AY2" s="200" t="str">
        <f>IFERROR(HLOOKUP(($J$2&amp;$A$2),'Данные для сравнения'!$E$1:$BK$90,AY5,FALSE),"")</f>
        <v/>
      </c>
      <c r="AZ2" s="200" t="str">
        <f>IFERROR(HLOOKUP(($J$2&amp;$A$2),'Данные для сравнения'!$E$1:$BK$90,AZ5,FALSE),"")</f>
        <v/>
      </c>
      <c r="BA2" s="200" t="str">
        <f>IFERROR(HLOOKUP(($J$2&amp;$A$2),'Данные для сравнения'!$E$1:$BK$90,BA5,FALSE),"")</f>
        <v/>
      </c>
      <c r="BB2" s="200" t="str">
        <f>IFERROR(HLOOKUP(($J$2&amp;$A$2),'Данные для сравнения'!$E$1:$BK$90,BB5,FALSE),"")</f>
        <v/>
      </c>
      <c r="BC2" s="200" t="str">
        <f>IFERROR(HLOOKUP(($J$2&amp;$A$2),'Данные для сравнения'!$E$1:$BK$90,BC5,FALSE),"")</f>
        <v/>
      </c>
      <c r="BD2" s="200" t="str">
        <f>IFERROR(HLOOKUP(($J$2&amp;$A$2),'Данные для сравнения'!$E$1:$BK$90,BD5,FALSE),"")</f>
        <v/>
      </c>
      <c r="BE2" s="200" t="str">
        <f>IFERROR(HLOOKUP(($J$2&amp;$A$2),'Данные для сравнения'!$E$1:$BK$90,BE5,FALSE),"")</f>
        <v/>
      </c>
      <c r="BF2" s="200" t="str">
        <f>IFERROR(HLOOKUP(($J$2&amp;$A$2),'Данные для сравнения'!$E$1:$BK$90,BF5,FALSE),"")</f>
        <v/>
      </c>
      <c r="BG2" s="200" t="str">
        <f>IFERROR(HLOOKUP(($J$2&amp;$A$2),'Данные для сравнения'!$E$1:$BK$90,BG5,FALSE),"")</f>
        <v/>
      </c>
      <c r="BH2" s="200" t="str">
        <f>IFERROR(HLOOKUP(($J$2&amp;$A$2),'Данные для сравнения'!$E$1:$BK$90,BH5,FALSE),"")</f>
        <v/>
      </c>
      <c r="BI2" s="200" t="str">
        <f>IFERROR(HLOOKUP(($J$2&amp;$A$2),'Данные для сравнения'!$E$1:$BK$90,BI5,FALSE),"")</f>
        <v/>
      </c>
      <c r="BJ2" s="50" t="str">
        <f>"Предлагаемый сервис "&amp;_xlfn.IFS(AND(Калькулятор!$E$19=0,Калькулятор!$E$20=0),"",Калькулятор!$E$20&lt;&gt;0,"с учетом фиксации стоимости на период "&amp;Калькулятор!$E$20&amp;VLOOKUP(Калькулятор!$E$20,списки!$T$26:$U$36,2,FALSE),Калькулятор!$E$19&lt;&gt;0,"с учетом скидки " &amp;Калькулятор!E19*100&amp; "% на период "&amp;Калькулятор!$E$18&amp;VLOOKUP(Калькулятор!$E$18,списки!$T$26:$U$36,2,FALSE))</f>
        <v xml:space="preserve">Предлагаемый сервис </v>
      </c>
      <c r="BK2" s="49" t="str">
        <f>IFERROR(IF(Калькулятор!E7&gt;0,Калькулятор!D7,IF(Калькулятор!E8&gt;0,Калькулятор!D8,IF(Калькулятор!E9&gt;0,Калькулятор!D9,""))),"")</f>
        <v/>
      </c>
      <c r="BL2" s="49" t="b">
        <f>IFERROR(IF(BK2="ЭКСПЕРТ",IF(Калькулятор!E8&gt;0,Калькулятор!D8,IF(Калькулятор!E9&gt;0,Калькулятор!D9,"")),IF(OR(BK2="ОПТИМАЛЬНЫЙ",BK2="ОПТИМАЛЬНЫЙ ПЛЮС"),IF(Калькулятор!E9&gt;0,Калькулятор!D9,""),IF(OR(BK2="МИНИМАЛЬНЫЙ",BK2="БАЗОВЫЙ"),""))),"")</f>
        <v>0</v>
      </c>
      <c r="BM2" s="49" t="str">
        <f>IFERROR(IF(OR(BL2="МИНИМАЛЬНЫЙ",BL2="БАЗОВЫЙ"),"",IF(BL2="","",IF(Калькулятор!E9&gt;0,Калькулятор!D9,""))),"")</f>
        <v/>
      </c>
      <c r="BN2" s="48" t="str">
        <f>IFERROR(IF(Калькулятор!O7&gt;0,Калькулятор!N7,IF(Калькулятор!O8&gt;0,Калькулятор!N8,IF(Калькулятор!O9&gt;0,Калькулятор!N9,""))),"")</f>
        <v/>
      </c>
      <c r="BO2" s="49" t="str">
        <f>IFERROR(IF(BN2="","",IF(BN2="ЭКСПЕРТ",IF(Калькулятор!O8&gt;0,Калькулятор!N8,IF(Калькулятор!O9&gt;0,Калькулятор!N9,"")),IF(BN2="ОПТИМАЛЬНЫЙ",IF(Калькулятор!O9&gt;0,Калькулятор!N9,""),IF(OR(BN2="МИНИМАЛЬНЫЙ",BN2="БАЗОВЫЙ"),"")))),"")</f>
        <v/>
      </c>
      <c r="BP2" s="48" t="str">
        <f>IFERROR(IF(OR(BO2="МИНИМАЛЬНЫЙ",BO2="БАЗОВЫЙ"),"",IF(BO2="","",IF(Калькулятор!O9&gt;0,Калькулятор!N9,""))),"")</f>
        <v/>
      </c>
      <c r="BQ2" s="49" t="str">
        <f>IF(Калькулятор!Y7&gt;0,Калькулятор!X7,IF(Калькулятор!Y8&gt;0,Калькулятор!X8,IF(Калькулятор!Y9&gt;0,Калькулятор!X9,"")))</f>
        <v/>
      </c>
      <c r="BR2" s="49" t="str">
        <f>IFERROR(IF(BQ2="","",IF(BQ2="ЭКСПЕРТ",IF(Калькулятор!Y8&gt;0,Калькулятор!X8,IF(Калькулятор!Y9&gt;0,Калькулятор!X9,"")),IF(BQ2="ОПТИМАЛЬНЫЙ",IF(Калькулятор!Y9&gt;0,Калькулятор!X9,""),IF(OR(BQ2="МИНИМАЛЬНЫЙ",BQ2="БАЗОВЫЙ"),"")))),"")</f>
        <v/>
      </c>
      <c r="BS2" s="49" t="str">
        <f>IFERROR(IF(OR(BR2="МИНИМАЛЬНЫЙ",BR2="БАЗОВЫЙ"),"",IF(BR2="","",IF(Калькулятор!Y9&gt;0,Калькулятор!X9,""))),"")</f>
        <v/>
      </c>
      <c r="BT2" s="107" t="str">
        <f>Калькулятор!A9</f>
        <v>00.00.2025</v>
      </c>
      <c r="BU2" s="324" t="str">
        <f>IF(Калькулятор!E17="",IF(Калькулятор!E19="","","скидка "&amp;TEXT(Калькулятор!E19,"0%")),IF(Калькулятор!F17&lt;&gt;"","скидка "&amp;TEXT(Калькулятор!E17,"0%")&amp;" ("&amp;Калькулятор!F17&amp;")","скидка "&amp;TEXT(Калькулятор!E17,"0%")))</f>
        <v/>
      </c>
      <c r="BV2" s="51" t="str">
        <f>IF(AND(Калькулятор!E18="",BW2=""),"",IF(AND(Калькулятор!E18&gt;0,BW2=""),Калькулятор!E18,IF(AND(Калькулятор!E18&gt;0,BW2&gt;0),Калькулятор!E18 &amp;" (фиксация цены " &amp;BW2&amp; " мес.)",)))</f>
        <v/>
      </c>
      <c r="BW2" s="51" t="str">
        <f>IF(Калькулятор!E20="","",Калькулятор!E20)</f>
        <v/>
      </c>
      <c r="BX2" s="61" t="str">
        <f>CB2&amp;CHAR(10)&amp;CC2&amp;CHAR(10)&amp;CD2</f>
        <v xml:space="preserve">
</v>
      </c>
      <c r="BY2" s="51" t="str">
        <f>IFERROR(VLOOKUP(BK2,Калькулятор!$D$7:$F$9,2,FALSE),"")</f>
        <v/>
      </c>
      <c r="BZ2" s="51" t="str">
        <f>IFERROR(VLOOKUP(BL2,Калькулятор!$D$7:$F$9,2,FALSE),"")</f>
        <v/>
      </c>
      <c r="CA2" s="51" t="str">
        <f>IFERROR(VLOOKUP(BM2,Калькулятор!$D$7:$F$9,2,FALSE),"")</f>
        <v/>
      </c>
      <c r="CB2" s="51" t="str">
        <f>IF(BY2="","",IF(AND(BY2&gt;0,CA2="",BZ2=""),BY2&amp;" польз."&amp;" ("&amp;BK2&amp;")",IF(AND(BY2&gt;0,OR(CA2&gt;0,BY2&gt;0)),BY2&amp;" польз."&amp;" ("&amp;BK2&amp;") /","")))</f>
        <v/>
      </c>
      <c r="CC2" s="51" t="str">
        <f>IF(BZ2="","",IF(AND(BZ2&gt;0,CA2=""),BZ2&amp;" польз." &amp; " ("&amp;BL2&amp;")",IF(AND(BZ2&gt;0,CA2&gt;0),BZ2&amp;" польз." &amp; " ("&amp;BL2&amp;") /","")))</f>
        <v/>
      </c>
      <c r="CD2" s="51" t="str">
        <f>IF(CA2&lt;&gt;"",CA2&amp;" польз."&amp;" ("&amp;BM2&amp;")","")</f>
        <v/>
      </c>
      <c r="CE2" s="52" t="str">
        <f>IFERROR(VLOOKUP(BK2,Калькулятор!D7:G9,4,FALSE),"")</f>
        <v/>
      </c>
      <c r="CF2" s="52" t="str">
        <f>IFERROR(VLOOKUP(BL2,Калькулятор!D7:G9,4,FALSE),"")</f>
        <v/>
      </c>
      <c r="CG2" s="52" t="str">
        <f>IFERROR(VLOOKUP(BM2,Калькулятор!D7:G9,4,FALSE),"")</f>
        <v/>
      </c>
      <c r="CH2" s="52" t="str">
        <f>IF(BY2="","",IF(AND(BY2&gt;0,BZ2="",CA2=""),CE2,IF(AND(BY2&gt;0,OR(BZ2&gt;0,CA2&gt;0)),CE2&amp;" / ","")))</f>
        <v/>
      </c>
      <c r="CI2" s="52" t="str">
        <f>IF(BZ2="","",IF(AND(BZ2&gt;0,CA2=""),CF2,IF(AND(BZ2&gt;0,CA2&gt;0),CF2&amp;" / ")))</f>
        <v/>
      </c>
      <c r="CJ2" s="52" t="str">
        <f>CG2</f>
        <v/>
      </c>
      <c r="CK2" s="51" t="str">
        <f>CH2&amp;CI2&amp;CJ2</f>
        <v/>
      </c>
      <c r="CL2" s="200" t="str">
        <f>IF(Калькулятор!$F$23&lt;&gt;0,TEXT(Калькулятор!$F$23,"# ##0,00"),"")</f>
        <v/>
      </c>
      <c r="CM2" s="200" t="str">
        <f>IF(Калькулятор!E20&gt;0," ("&amp;TEXT(Калькулятор!F25,"# ##0,00")&amp;")",
IF(Калькулятор!F24&lt;&gt;0," ("&amp;TEXT(Калькулятор!F24,"# ##0,00")&amp;")",""))</f>
        <v/>
      </c>
      <c r="CN2" s="200" t="str">
        <f>IF(Калькулятор!E20&gt;0,TEXT(Калькулятор!E25,"# ##0,00"),
IF(Калькулятор!E24&lt;&gt;0,TEXT(Калькулятор!E24,"# ##0,00"),""))</f>
        <v/>
      </c>
      <c r="CO2" s="51" t="str">
        <f>IF(Калькулятор!$E$20&gt;0,Калькулятор!$E$20,"")</f>
        <v/>
      </c>
      <c r="CP2" s="200" t="str">
        <f>IF(Калькулятор!O17="",IF(Калькулятор!O19="","","скидка "&amp;TEXT(Калькулятор!O19,"0%")),IF(Калькулятор!P17&lt;&gt;"","скидка "&amp;TEXT(Калькулятор!O17,"0%")&amp;" ("&amp;Калькулятор!P17&amp;")","скидка "&amp;TEXT(Калькулятор!O17,"0%")))</f>
        <v/>
      </c>
      <c r="CQ2" s="51" t="str">
        <f>IF(AND(Калькулятор!O18="",CR2=""),"",IF(AND(Калькулятор!O18&gt;0,CR2=""),Калькулятор!O18,IF(AND(Калькулятор!O18&gt;0,CR2&gt;0),Калькулятор!O18 &amp;" (фиксация цены " &amp;CR2&amp; " мес.)",)))</f>
        <v/>
      </c>
      <c r="CR2" s="48" t="str">
        <f>IF(Калькулятор!$O$20="","",Калькулятор!$O$20)</f>
        <v/>
      </c>
      <c r="CS2" s="61" t="str">
        <f>CW2&amp;CHAR(10)&amp;CX2&amp;CHAR(10)&amp;CY2</f>
        <v xml:space="preserve">
</v>
      </c>
      <c r="CT2" s="48" t="str">
        <f>IFERROR(VLOOKUP(BN2,Калькулятор!$N$7:$P$9,2,FALSE),"")</f>
        <v/>
      </c>
      <c r="CU2" s="48" t="str">
        <f>IFERROR(VLOOKUP(BO2,Калькулятор!$N$7:$P$9,2,FALSE),"")</f>
        <v/>
      </c>
      <c r="CV2" s="48" t="str">
        <f>IFERROR(VLOOKUP(BP2,Калькулятор!$N$7:$P$9,2,FALSE),"")</f>
        <v/>
      </c>
      <c r="CW2" s="48" t="str">
        <f>IF(CT2="","",IF(AND(CT2&gt;0,CV2="",CU2=""),CT2&amp;" польз."&amp;" ("&amp;$BN$2&amp;")",IF(AND(CT2&gt;0,OR(CV2&gt;0,CT2&gt;0)),CT2&amp;" польз."&amp;" ("&amp;$BN$2&amp;") /","")))</f>
        <v/>
      </c>
      <c r="CX2" s="48" t="str">
        <f>IF(CU2="","",IF(AND(CU2&gt;0,CV2=""),CU2&amp;" польз." &amp; " ("&amp;BO2&amp;")",IF(AND(CU2&gt;0,CV2&gt;0),CU2&amp;" польз." &amp; " ("&amp;BO2&amp;") /","")))</f>
        <v/>
      </c>
      <c r="CY2" s="48" t="str">
        <f>IF(CV2&lt;&gt;"",CV2&amp;" польз."&amp;" ("&amp;BP2&amp;")","")</f>
        <v/>
      </c>
      <c r="CZ2" s="48" t="str">
        <f>IFERROR(VLOOKUP(BN2,Калькулятор!N7:Q9,4,FALSE),"")</f>
        <v/>
      </c>
      <c r="DA2" s="48" t="str">
        <f>IFERROR(VLOOKUP(BO2,Калькулятор!N7:Q9,4,FALSE),"")</f>
        <v/>
      </c>
      <c r="DB2" s="48" t="str">
        <f>IFERROR(VLOOKUP(BP2,Калькулятор!N7:Q9,4,FALSE),"")</f>
        <v/>
      </c>
      <c r="DC2" s="52" t="str">
        <f>IF(CT2="","",IF(AND(CT2&gt;0,CU2="",CV2=""),CZ2,IF(AND(CT2&gt;0,OR(CU2&gt;0,CV2&gt;0)),CZ2&amp;" / ","")))</f>
        <v/>
      </c>
      <c r="DD2" s="52" t="str">
        <f>IF(CU2="","",IF(AND(CU2&gt;0,CV2=""),DA2,IF(AND(CU2&gt;0,CV2&gt;0),DA2&amp;" / ")))</f>
        <v/>
      </c>
      <c r="DE2" s="52" t="str">
        <f>DB2</f>
        <v/>
      </c>
      <c r="DF2" s="51" t="str">
        <f>DC2&amp;DD2&amp;DE2</f>
        <v/>
      </c>
      <c r="DG2" s="200" t="str">
        <f>IF(Калькулятор!$P$23&lt;&gt;0,TEXT(Калькулятор!$P$23,"# ##0,00"),"")</f>
        <v/>
      </c>
      <c r="DH2" s="200" t="str">
        <f>IF(Калькулятор!O20&gt;0," ("&amp;TEXT(Калькулятор!P25,"# ##0,00")&amp;")",
IF(Калькулятор!P24&lt;&gt;0," ("&amp;TEXT(Калькулятор!P24,"# ##0,00")&amp;")",""))</f>
        <v/>
      </c>
      <c r="DI2" s="200" t="str">
        <f>IF(Калькулятор!O20&gt;0,TEXT(Калькулятор!O25,"# ##0,00"),
IF(Калькулятор!O24&lt;&gt;0,TEXT(Калькулятор!O24,"# ##0,00"),""))</f>
        <v/>
      </c>
      <c r="DJ2" s="51" t="str">
        <f>IF(Калькулятор!$O$20&gt;0,Калькулятор!$O$20,"")</f>
        <v/>
      </c>
      <c r="DK2" s="200" t="str">
        <f>IF(Калькулятор!Y17="",IF(Калькулятор!Y19="","","скидка "&amp;TEXT(Калькулятор!Y19,"0%")),IF(Калькулятор!Z17&lt;&gt;"","скидка "&amp;TEXT(Калькулятор!Y17,"0%")&amp;" ("&amp;Калькулятор!Z17&amp;")","скидка "&amp;TEXT(Калькулятор!Y17,"0%")))</f>
        <v/>
      </c>
      <c r="DL2" s="51" t="str">
        <f>IF(AND(Калькулятор!Y18="",DM2=""),"",IF(AND(Калькулятор!Y18&gt;0,DM2=""),Калькулятор!Y18,IF(AND(Калькулятор!Y18&gt;0,DM2&gt;0),Калькулятор!Y18 &amp;" (фиксация цены " &amp;DM2&amp; " мес.)",)))</f>
        <v/>
      </c>
      <c r="DM2" s="48" t="str">
        <f>IF(Калькулятор!$Y$20="","",Калькулятор!$Y$20)</f>
        <v/>
      </c>
      <c r="DN2" s="61" t="str">
        <f>DR2&amp;CHAR(10)&amp;DS2&amp;CHAR(10)&amp;DT2</f>
        <v xml:space="preserve">
</v>
      </c>
      <c r="DO2" s="48" t="str">
        <f>IFERROR(VLOOKUP(BQ2,Калькулятор!$X$7:$Z$9,2,FALSE),"")</f>
        <v/>
      </c>
      <c r="DP2" s="48" t="str">
        <f>IFERROR(VLOOKUP(BR2,Калькулятор!$X$7:$Z$9,2,FALSE),"")</f>
        <v/>
      </c>
      <c r="DQ2" s="48" t="str">
        <f>IFERROR(VLOOKUP(BS2,Калькулятор!$X$7:$Z$9,2,FALSE),"")</f>
        <v/>
      </c>
      <c r="DR2" s="48" t="str">
        <f>IF(DO2="","",IF(AND(DO2&gt;0,DQ2="",DP2=""),DO2&amp;" польз."&amp;" ("&amp;$BQ$2&amp;")",IF(AND(DO2&gt;0,OR(DQ2&gt;0,DO2&gt;0)),DO2&amp;" польз."&amp;" ("&amp;$BQ$2&amp;") /","")))</f>
        <v/>
      </c>
      <c r="DS2" s="48" t="str">
        <f>IF(DP2="","",IF(AND(DP2&gt;0,DQ2=""),DP2&amp;" польз." &amp; " ("&amp;BR2&amp;")",IF(AND(DP2&gt;0,DQ2&gt;0),DP2&amp;" польз." &amp; " ("&amp;BR2&amp;") /","")))</f>
        <v/>
      </c>
      <c r="DT2" s="48" t="str">
        <f>IF(DQ2&lt;&gt;"",DQ2&amp;" польз."&amp;" ("&amp;BS2&amp;")","")</f>
        <v/>
      </c>
      <c r="DU2" s="48" t="str">
        <f>IFERROR(VLOOKUP(BQ2,Калькулятор!X7:AA9,4,FALSE),"")</f>
        <v/>
      </c>
      <c r="DV2" s="48" t="str">
        <f>IFERROR(VLOOKUP(BR2,Калькулятор!X7:AA9,4,FALSE),"")</f>
        <v/>
      </c>
      <c r="DW2" s="48" t="str">
        <f>IFERROR(VLOOKUP(BS2,Калькулятор!X7:AA9,4,FALSE),"")</f>
        <v/>
      </c>
      <c r="DX2" s="52" t="str">
        <f>IF(DO2="","",IF(AND(DO2&gt;0,DP2="",DQ2=""),DU2,IF(AND(DO2&gt;0,OR(DP2&gt;0,DQ2&gt;0)),DU2&amp;" / ","")))</f>
        <v/>
      </c>
      <c r="DY2" s="52" t="str">
        <f>IF(DP2="","",IF(AND(DP2&gt;0,DQ2=""),DV2,IF(AND(DP2&gt;0,DQ2&gt;0),DV2&amp;" / ")))</f>
        <v/>
      </c>
      <c r="DZ2" s="52" t="str">
        <f>DW2</f>
        <v/>
      </c>
      <c r="EA2" s="51" t="str">
        <f>DX2&amp;DY2&amp;DZ2</f>
        <v/>
      </c>
      <c r="EB2" s="200" t="str">
        <f>IF(Калькулятор!$Z$23&lt;&gt;0,TEXT(Калькулятор!$Z$23,"# ##0,00"),"")</f>
        <v/>
      </c>
      <c r="EC2" s="188" t="str">
        <f>IF(Калькулятор!Y20&gt;0," ("&amp;TEXT(Калькулятор!Z25,"# ##0,00")&amp;")",
IF(Калькулятор!Z24&lt;&gt;0," ("&amp;TEXT(Калькулятор!Z24,"# ##0,00")&amp;")",""))</f>
        <v/>
      </c>
      <c r="ED2" s="200" t="str">
        <f>IF(Калькулятор!Y20&gt;0,TEXT(Калькулятор!Y25,"# ##0,00"),
IF(Калькулятор!Y24&lt;&gt;0,TEXT(Калькулятор!Y24,"# ##0,00"),""))</f>
        <v/>
      </c>
      <c r="EE2" s="51" t="str">
        <f>IF(Калькулятор!$Y$20&gt;0,Калькулятор!$Y$20,"")</f>
        <v/>
      </c>
      <c r="EF2" s="107" t="str">
        <f>Калькулятор!A11</f>
        <v>ФИО</v>
      </c>
      <c r="EG2" s="107" t="str">
        <f>Калькулятор!A12</f>
        <v>Ваш персональный менеджер</v>
      </c>
      <c r="EH2" s="107" t="str">
        <f>Калькулятор!A13</f>
        <v>тел.: +375 (33) 350 28 28</v>
      </c>
      <c r="EI2" s="107" t="str">
        <f>Калькулятор!A14</f>
        <v>моб.: +375 (00) 000 00 00</v>
      </c>
      <c r="EJ2" s="107" t="str">
        <f>Калькулятор!A15</f>
        <v>e-mail: ...@urspectr.info</v>
      </c>
      <c r="EK2" s="107" t="str">
        <f>Калькулятор!A16</f>
        <v>www.ilex.by</v>
      </c>
      <c r="EL2" s="124" t="str">
        <f>TEXT(списки!E29,"ДД.ММ.ГГГГ")</f>
        <v>01.09.2025</v>
      </c>
      <c r="EM2" s="161" t="str">
        <f>TEXT(списки!G29,"# ##0,00")</f>
        <v>16,08</v>
      </c>
      <c r="EN2" s="48" t="str">
        <f>IF(ISNUMBER(SEARCH("Комплекс",Калькулятор!E4))," (ИПС ilex, podpis.by, ilex.Накладные)","")</f>
        <v/>
      </c>
    </row>
    <row r="3" spans="1:144" ht="13.8" x14ac:dyDescent="0.3">
      <c r="K3" s="10"/>
      <c r="L3" s="10"/>
      <c r="M3" s="10"/>
      <c r="BN3" s="10"/>
      <c r="BO3" s="10"/>
      <c r="BP3" s="10"/>
      <c r="BQ3" s="10"/>
      <c r="BR3" s="10"/>
      <c r="BS3" s="10"/>
      <c r="CL3" s="147"/>
      <c r="CN3" s="147"/>
    </row>
    <row r="4" spans="1:144" ht="12.6" customHeight="1" x14ac:dyDescent="0.3">
      <c r="N4" t="s">
        <v>52</v>
      </c>
      <c r="O4" t="s">
        <v>254</v>
      </c>
      <c r="P4" t="s">
        <v>177</v>
      </c>
      <c r="Q4" t="s">
        <v>178</v>
      </c>
      <c r="R4" t="s">
        <v>179</v>
      </c>
      <c r="S4" t="s">
        <v>53</v>
      </c>
      <c r="T4" t="s">
        <v>180</v>
      </c>
      <c r="U4" t="s">
        <v>181</v>
      </c>
      <c r="V4" t="s">
        <v>182</v>
      </c>
      <c r="W4" t="s">
        <v>48</v>
      </c>
      <c r="X4" t="s">
        <v>75</v>
      </c>
      <c r="Y4" t="s">
        <v>47</v>
      </c>
      <c r="Z4" t="s">
        <v>46</v>
      </c>
      <c r="AA4" t="s">
        <v>255</v>
      </c>
      <c r="AB4" t="s">
        <v>265</v>
      </c>
      <c r="AC4" t="s">
        <v>183</v>
      </c>
      <c r="AD4" t="s">
        <v>52</v>
      </c>
      <c r="AE4" t="s">
        <v>254</v>
      </c>
      <c r="AF4" t="s">
        <v>177</v>
      </c>
      <c r="AG4" t="s">
        <v>178</v>
      </c>
      <c r="AH4" t="s">
        <v>179</v>
      </c>
      <c r="AI4" t="s">
        <v>53</v>
      </c>
      <c r="AJ4" t="s">
        <v>180</v>
      </c>
      <c r="AK4" t="s">
        <v>181</v>
      </c>
      <c r="AL4" t="s">
        <v>182</v>
      </c>
      <c r="AM4" t="s">
        <v>48</v>
      </c>
      <c r="AN4" t="s">
        <v>75</v>
      </c>
      <c r="AO4" t="s">
        <v>47</v>
      </c>
      <c r="AP4" t="s">
        <v>46</v>
      </c>
      <c r="AQ4" t="s">
        <v>255</v>
      </c>
      <c r="AR4" t="s">
        <v>265</v>
      </c>
      <c r="AS4" t="s">
        <v>183</v>
      </c>
      <c r="AT4" t="s">
        <v>52</v>
      </c>
      <c r="AU4" t="s">
        <v>254</v>
      </c>
      <c r="AV4" t="s">
        <v>177</v>
      </c>
      <c r="AW4" t="s">
        <v>178</v>
      </c>
      <c r="AX4" t="s">
        <v>179</v>
      </c>
      <c r="AY4" t="s">
        <v>53</v>
      </c>
      <c r="AZ4" t="s">
        <v>180</v>
      </c>
      <c r="BA4" t="s">
        <v>181</v>
      </c>
      <c r="BB4" t="s">
        <v>182</v>
      </c>
      <c r="BC4" t="s">
        <v>48</v>
      </c>
      <c r="BD4" t="s">
        <v>75</v>
      </c>
      <c r="BE4" t="s">
        <v>47</v>
      </c>
      <c r="BF4" t="s">
        <v>46</v>
      </c>
      <c r="BG4" t="s">
        <v>255</v>
      </c>
      <c r="BH4" t="s">
        <v>265</v>
      </c>
      <c r="BI4" t="s">
        <v>183</v>
      </c>
    </row>
    <row r="5" spans="1:144" ht="11.4" customHeight="1" x14ac:dyDescent="0.3">
      <c r="H5" s="6" t="str">
        <f>IFERROR(HLOOKUP(H6,BJ2:BS2,1,FALSE),"")</f>
        <v/>
      </c>
      <c r="I5" s="6" t="str">
        <f>IFERROR(HLOOKUP(I6,BK2:BS2,1,FALSE),"")</f>
        <v/>
      </c>
      <c r="J5" s="6" t="str">
        <f>IFERROR(HLOOKUP(J6,BK2:BS2,1,FALSE),"")</f>
        <v/>
      </c>
      <c r="N5" s="147">
        <f>VLOOKUP(N4,'Данные для сравнения'!$B$4:$BM$83,64,FALSE)</f>
        <v>70</v>
      </c>
      <c r="O5" s="147">
        <f>VLOOKUP(O4,'Данные для сравнения'!$B$4:$BM$83,64,FALSE)</f>
        <v>71</v>
      </c>
      <c r="P5" s="147">
        <f>VLOOKUP(P4,'Данные для сравнения'!$B$4:$BM$83,64,FALSE)</f>
        <v>72</v>
      </c>
      <c r="Q5" s="147">
        <f>VLOOKUP(Q4,'Данные для сравнения'!$B$4:$BM$83,64,FALSE)</f>
        <v>73</v>
      </c>
      <c r="R5" s="147">
        <f>VLOOKUP(R4,'Данные для сравнения'!$B$4:$BM$83,64,FALSE)</f>
        <v>74</v>
      </c>
      <c r="S5" s="147">
        <f>VLOOKUP(S4,'Данные для сравнения'!$B$4:$BM$83,64,FALSE)</f>
        <v>75</v>
      </c>
      <c r="T5" s="147">
        <f>VLOOKUP(T4,'Данные для сравнения'!$B$4:$BM$83,64,FALSE)</f>
        <v>76</v>
      </c>
      <c r="U5" s="147">
        <f>VLOOKUP(U4,'Данные для сравнения'!$B$4:$BM$83,64,FALSE)</f>
        <v>77</v>
      </c>
      <c r="V5" s="147">
        <f>VLOOKUP(V4,'Данные для сравнения'!$B$4:$BM$83,64,FALSE)</f>
        <v>78</v>
      </c>
      <c r="W5" s="147">
        <f>VLOOKUP(W4,'Данные для сравнения'!$B$4:$BM$83,64,FALSE)</f>
        <v>79</v>
      </c>
      <c r="X5" s="147">
        <f>VLOOKUP(X4,'Данные для сравнения'!$B$4:$BM$83,64,FALSE)</f>
        <v>80</v>
      </c>
      <c r="Y5" s="147">
        <f>VLOOKUP(Y4,'Данные для сравнения'!$B$4:$BM$83,64,FALSE)</f>
        <v>81</v>
      </c>
      <c r="Z5" s="147">
        <f>VLOOKUP(Z4,'Данные для сравнения'!$B$4:$BM$83,64,FALSE)</f>
        <v>82</v>
      </c>
      <c r="AA5" s="147">
        <f>VLOOKUP(AA4,'Данные для сравнения'!$B$4:$BM$83,64,FALSE)</f>
        <v>68</v>
      </c>
      <c r="AB5" s="147">
        <f>VLOOKUP(AB4,'Данные для сравнения'!$B$4:$BM$83,64,FALSE)</f>
        <v>69</v>
      </c>
      <c r="AC5" s="147">
        <f>VLOOKUP(AC4,'Данные для сравнения'!$B$4:$BM$83,64,FALSE)</f>
        <v>83</v>
      </c>
      <c r="AD5" s="147">
        <f>VLOOKUP(AD4,'Данные для сравнения'!$B$4:$BM$83,64,FALSE)</f>
        <v>70</v>
      </c>
      <c r="AE5" s="147">
        <f>VLOOKUP(AE4,'Данные для сравнения'!$B$4:$BM$83,64,FALSE)</f>
        <v>71</v>
      </c>
      <c r="AF5" s="147">
        <f>VLOOKUP(AF4,'Данные для сравнения'!$B$4:$BM$83,64,FALSE)</f>
        <v>72</v>
      </c>
      <c r="AG5" s="147">
        <f>VLOOKUP(AG4,'Данные для сравнения'!$B$4:$BM$83,64,FALSE)</f>
        <v>73</v>
      </c>
      <c r="AH5" s="147">
        <f>VLOOKUP(AH4,'Данные для сравнения'!$B$4:$BM$83,64,FALSE)</f>
        <v>74</v>
      </c>
      <c r="AI5" s="147">
        <f>VLOOKUP(AI4,'Данные для сравнения'!$B$4:$BM$83,64,FALSE)</f>
        <v>75</v>
      </c>
      <c r="AJ5" s="147">
        <f>VLOOKUP(AJ4,'Данные для сравнения'!$B$4:$BM$83,64,FALSE)</f>
        <v>76</v>
      </c>
      <c r="AK5" s="147">
        <f>VLOOKUP(AK4,'Данные для сравнения'!$B$4:$BM$83,64,FALSE)</f>
        <v>77</v>
      </c>
      <c r="AL5" s="147">
        <f>VLOOKUP(AL4,'Данные для сравнения'!$B$4:$BM$83,64,FALSE)</f>
        <v>78</v>
      </c>
      <c r="AM5" s="147">
        <f>VLOOKUP(AM4,'Данные для сравнения'!$B$4:$BM$83,64,FALSE)</f>
        <v>79</v>
      </c>
      <c r="AN5" s="147">
        <f>VLOOKUP(AN4,'Данные для сравнения'!$B$4:$BM$83,64,FALSE)</f>
        <v>80</v>
      </c>
      <c r="AO5" s="147">
        <f>VLOOKUP(AO4,'Данные для сравнения'!$B$4:$BM$83,64,FALSE)</f>
        <v>81</v>
      </c>
      <c r="AP5" s="147">
        <f>VLOOKUP(AP4,'Данные для сравнения'!$B$4:$BM$83,64,FALSE)</f>
        <v>82</v>
      </c>
      <c r="AQ5" s="147">
        <f>VLOOKUP(AQ4,'Данные для сравнения'!$B$4:$BM$83,64,FALSE)</f>
        <v>68</v>
      </c>
      <c r="AR5" s="147">
        <f>VLOOKUP(AR4,'Данные для сравнения'!$B$4:$BM$83,64,FALSE)</f>
        <v>69</v>
      </c>
      <c r="AS5" s="147">
        <f>VLOOKUP(AS4,'Данные для сравнения'!$B$4:$BM$83,64,FALSE)</f>
        <v>83</v>
      </c>
      <c r="AT5" s="147">
        <f>VLOOKUP(AT4,'Данные для сравнения'!$B$4:$BM$83,64,FALSE)</f>
        <v>70</v>
      </c>
      <c r="AU5" s="147">
        <f>VLOOKUP(AU4,'Данные для сравнения'!$B$4:$BM$83,64,FALSE)</f>
        <v>71</v>
      </c>
      <c r="AV5" s="147">
        <f>VLOOKUP(AV4,'Данные для сравнения'!$B$4:$BM$83,64,FALSE)</f>
        <v>72</v>
      </c>
      <c r="AW5" s="147">
        <f>VLOOKUP(AW4,'Данные для сравнения'!$B$4:$BM$83,64,FALSE)</f>
        <v>73</v>
      </c>
      <c r="AX5" s="147">
        <f>VLOOKUP(AX4,'Данные для сравнения'!$B$4:$BM$83,64,FALSE)</f>
        <v>74</v>
      </c>
      <c r="AY5" s="147">
        <f>VLOOKUP(AY4,'Данные для сравнения'!$B$4:$BM$83,64,FALSE)</f>
        <v>75</v>
      </c>
      <c r="AZ5" s="147">
        <f>VLOOKUP(AZ4,'Данные для сравнения'!$B$4:$BM$83,64,FALSE)</f>
        <v>76</v>
      </c>
      <c r="BA5" s="147">
        <f>VLOOKUP(BA4,'Данные для сравнения'!$B$4:$BM$83,64,FALSE)</f>
        <v>77</v>
      </c>
      <c r="BB5" s="147">
        <f>VLOOKUP(BB4,'Данные для сравнения'!$B$4:$BM$83,64,FALSE)</f>
        <v>78</v>
      </c>
      <c r="BC5" s="147">
        <f>VLOOKUP(BC4,'Данные для сравнения'!$B$4:$BM$83,64,FALSE)</f>
        <v>79</v>
      </c>
      <c r="BD5" s="147">
        <f>VLOOKUP(BD4,'Данные для сравнения'!$B$4:$BM$83,64,FALSE)</f>
        <v>80</v>
      </c>
      <c r="BE5" s="147">
        <f>VLOOKUP(BE4,'Данные для сравнения'!$B$4:$BM$83,64,FALSE)</f>
        <v>81</v>
      </c>
      <c r="BF5" s="147">
        <f>VLOOKUP(BF4,'Данные для сравнения'!$B$4:$BM$83,64,FALSE)</f>
        <v>82</v>
      </c>
      <c r="BG5" s="147">
        <f>VLOOKUP(BG4,'Данные для сравнения'!$B$4:$BM$83,64,FALSE)</f>
        <v>68</v>
      </c>
      <c r="BH5" s="147">
        <f>VLOOKUP(BH4,'Данные для сравнения'!$B$4:$BM$83,64,FALSE)</f>
        <v>69</v>
      </c>
      <c r="BI5" s="147">
        <f>VLOOKUP(BI4,'Данные для сравнения'!$B$4:$BM$83,64,FALSE)</f>
        <v>83</v>
      </c>
    </row>
    <row r="6" spans="1:144" ht="11.4" customHeight="1" x14ac:dyDescent="0.3">
      <c r="H6" t="s">
        <v>20</v>
      </c>
      <c r="I6" t="s">
        <v>213</v>
      </c>
      <c r="J6" t="str">
        <f>VLOOKUP(A2,списки!$J$27:$N$46,5,FALSE)</f>
        <v>МИНИМАЛЬНЫЙ</v>
      </c>
      <c r="BJ6" t="s">
        <v>115</v>
      </c>
    </row>
    <row r="7" spans="1:144" ht="11.4" customHeight="1" x14ac:dyDescent="0.3">
      <c r="H7">
        <v>1</v>
      </c>
      <c r="I7">
        <v>1</v>
      </c>
      <c r="J7">
        <v>1</v>
      </c>
    </row>
    <row r="8" spans="1:144" ht="11.4" customHeight="1" x14ac:dyDescent="0.3">
      <c r="H8">
        <v>1</v>
      </c>
      <c r="I8">
        <v>1</v>
      </c>
    </row>
    <row r="9" spans="1:144" ht="11.4" customHeight="1" x14ac:dyDescent="0.3">
      <c r="H9">
        <v>1</v>
      </c>
      <c r="J9">
        <v>1</v>
      </c>
    </row>
    <row r="10" spans="1:144" ht="11.4" customHeight="1" x14ac:dyDescent="0.3">
      <c r="H10">
        <v>1</v>
      </c>
    </row>
    <row r="11" spans="1:144" ht="11.4" customHeight="1" x14ac:dyDescent="0.3">
      <c r="I11">
        <v>1</v>
      </c>
      <c r="J11">
        <v>1</v>
      </c>
    </row>
    <row r="12" spans="1:144" ht="11.4" customHeight="1" x14ac:dyDescent="0.3">
      <c r="I12">
        <v>1</v>
      </c>
    </row>
    <row r="13" spans="1:144" ht="11.4" customHeight="1" x14ac:dyDescent="0.3">
      <c r="J13">
        <v>1</v>
      </c>
    </row>
    <row r="14" spans="1:144" ht="11.4" customHeight="1" x14ac:dyDescent="0.3"/>
    <row r="15" spans="1:144" ht="11.4" customHeight="1" x14ac:dyDescent="0.3">
      <c r="BW15" s="53"/>
      <c r="BY15" s="8"/>
    </row>
    <row r="16" spans="1:144" ht="11.4" customHeight="1" x14ac:dyDescent="0.3"/>
    <row r="17" ht="11.4" customHeight="1" x14ac:dyDescent="0.3"/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1DA0D-19A5-43C6-A114-84E288887CDB}">
  <sheetPr codeName="Лист4">
    <tabColor theme="0" tint="-0.34998626667073579"/>
  </sheetPr>
  <dimension ref="A2:AP1086"/>
  <sheetViews>
    <sheetView topLeftCell="A19" zoomScale="90" zoomScaleNormal="90" workbookViewId="0">
      <selection activeCell="B42" sqref="B42"/>
    </sheetView>
  </sheetViews>
  <sheetFormatPr defaultRowHeight="13.8" x14ac:dyDescent="0.3"/>
  <cols>
    <col min="1" max="1" width="6.5546875" customWidth="1"/>
    <col min="2" max="2" width="43.88671875" customWidth="1"/>
    <col min="3" max="3" width="35.33203125" customWidth="1"/>
    <col min="4" max="4" width="43.109375" customWidth="1"/>
    <col min="5" max="5" width="10.44140625" customWidth="1"/>
    <col min="6" max="6" width="19.5546875" customWidth="1"/>
    <col min="7" max="7" width="16.33203125" customWidth="1"/>
    <col min="8" max="8" width="21" customWidth="1"/>
    <col min="9" max="9" width="10.77734375" customWidth="1"/>
    <col min="10" max="10" width="36.6640625" customWidth="1"/>
    <col min="11" max="11" width="24.109375" customWidth="1"/>
    <col min="12" max="12" width="7.44140625" customWidth="1"/>
    <col min="13" max="13" width="15.33203125" customWidth="1"/>
    <col min="14" max="14" width="13.33203125" customWidth="1"/>
    <col min="15" max="15" width="5.6640625" customWidth="1"/>
    <col min="16" max="16" width="13.33203125" customWidth="1"/>
    <col min="17" max="18" width="4.33203125" customWidth="1"/>
  </cols>
  <sheetData>
    <row r="2" spans="2:16" x14ac:dyDescent="0.3">
      <c r="J2" s="147"/>
      <c r="K2" s="1"/>
      <c r="L2" s="1"/>
      <c r="M2" s="1"/>
      <c r="N2" s="1"/>
      <c r="O2" s="1"/>
      <c r="P2" s="1"/>
    </row>
    <row r="3" spans="2:16" x14ac:dyDescent="0.3">
      <c r="B3" t="s">
        <v>7</v>
      </c>
      <c r="C3" t="s">
        <v>16</v>
      </c>
      <c r="D3" t="s">
        <v>2</v>
      </c>
      <c r="E3" t="s">
        <v>1</v>
      </c>
      <c r="F3" t="s">
        <v>3</v>
      </c>
      <c r="G3" t="s">
        <v>74</v>
      </c>
      <c r="J3" s="147" t="s">
        <v>49</v>
      </c>
      <c r="K3" t="s">
        <v>10</v>
      </c>
    </row>
    <row r="4" spans="2:16" x14ac:dyDescent="0.3">
      <c r="B4" t="s">
        <v>9</v>
      </c>
      <c r="C4">
        <v>60</v>
      </c>
      <c r="D4">
        <v>400</v>
      </c>
      <c r="E4">
        <v>800</v>
      </c>
      <c r="G4" t="s">
        <v>55</v>
      </c>
      <c r="J4" s="147" t="s">
        <v>10</v>
      </c>
      <c r="K4" t="s">
        <v>10</v>
      </c>
    </row>
    <row r="5" spans="2:16" x14ac:dyDescent="0.3">
      <c r="B5" t="s">
        <v>4</v>
      </c>
      <c r="C5">
        <v>60</v>
      </c>
      <c r="D5">
        <v>400</v>
      </c>
      <c r="E5">
        <v>800</v>
      </c>
      <c r="G5" t="s">
        <v>55</v>
      </c>
      <c r="J5" s="147" t="s">
        <v>50</v>
      </c>
      <c r="K5" t="s">
        <v>4</v>
      </c>
    </row>
    <row r="6" spans="2:16" x14ac:dyDescent="0.3">
      <c r="B6" t="s">
        <v>10</v>
      </c>
      <c r="D6">
        <v>400</v>
      </c>
      <c r="E6">
        <v>800</v>
      </c>
      <c r="F6">
        <v>60</v>
      </c>
      <c r="G6" t="s">
        <v>55</v>
      </c>
      <c r="J6" s="147" t="s">
        <v>4</v>
      </c>
      <c r="K6" t="s">
        <v>4</v>
      </c>
    </row>
    <row r="7" spans="2:16" x14ac:dyDescent="0.3">
      <c r="B7" t="s">
        <v>50</v>
      </c>
      <c r="C7">
        <v>60</v>
      </c>
      <c r="D7">
        <v>400</v>
      </c>
      <c r="E7">
        <v>800</v>
      </c>
      <c r="G7" t="s">
        <v>55</v>
      </c>
      <c r="J7" s="147" t="s">
        <v>51</v>
      </c>
      <c r="K7" t="s">
        <v>9</v>
      </c>
    </row>
    <row r="8" spans="2:16" x14ac:dyDescent="0.3">
      <c r="B8" t="s">
        <v>51</v>
      </c>
      <c r="C8">
        <v>60</v>
      </c>
      <c r="D8">
        <v>400</v>
      </c>
      <c r="E8">
        <v>800</v>
      </c>
      <c r="G8" t="s">
        <v>55</v>
      </c>
      <c r="J8" s="147" t="s">
        <v>9</v>
      </c>
      <c r="K8" t="s">
        <v>9</v>
      </c>
    </row>
    <row r="9" spans="2:16" x14ac:dyDescent="0.3">
      <c r="B9" t="s">
        <v>49</v>
      </c>
      <c r="E9">
        <v>800</v>
      </c>
      <c r="G9" t="s">
        <v>55</v>
      </c>
      <c r="J9" s="169" t="s">
        <v>73</v>
      </c>
      <c r="K9" s="147" t="s">
        <v>11</v>
      </c>
      <c r="M9" s="147"/>
    </row>
    <row r="10" spans="2:16" x14ac:dyDescent="0.3">
      <c r="B10" t="s">
        <v>11</v>
      </c>
      <c r="C10">
        <v>60</v>
      </c>
      <c r="D10">
        <v>400</v>
      </c>
      <c r="E10">
        <v>800</v>
      </c>
      <c r="G10" t="s">
        <v>55</v>
      </c>
      <c r="J10" s="147" t="s">
        <v>11</v>
      </c>
      <c r="K10" t="s">
        <v>11</v>
      </c>
    </row>
    <row r="11" spans="2:16" x14ac:dyDescent="0.3">
      <c r="B11" t="s">
        <v>73</v>
      </c>
      <c r="C11">
        <v>60</v>
      </c>
      <c r="D11">
        <v>400</v>
      </c>
      <c r="E11">
        <v>800</v>
      </c>
      <c r="G11" t="s">
        <v>55</v>
      </c>
      <c r="J11" s="147" t="s">
        <v>261</v>
      </c>
      <c r="K11" t="s">
        <v>257</v>
      </c>
    </row>
    <row r="12" spans="2:16" x14ac:dyDescent="0.3">
      <c r="B12" s="147" t="s">
        <v>257</v>
      </c>
      <c r="C12" s="147"/>
      <c r="D12" s="147">
        <v>400</v>
      </c>
      <c r="E12" s="147">
        <v>800</v>
      </c>
      <c r="F12" s="147">
        <v>60</v>
      </c>
      <c r="G12" s="147"/>
      <c r="J12" s="147" t="s">
        <v>257</v>
      </c>
      <c r="K12" t="s">
        <v>257</v>
      </c>
    </row>
    <row r="13" spans="2:16" x14ac:dyDescent="0.3">
      <c r="B13" s="147" t="s">
        <v>258</v>
      </c>
      <c r="C13" s="147">
        <v>60</v>
      </c>
      <c r="D13" s="147">
        <v>400</v>
      </c>
      <c r="E13" s="147">
        <v>800</v>
      </c>
      <c r="F13" s="147"/>
      <c r="G13" s="147"/>
      <c r="J13" s="147" t="s">
        <v>262</v>
      </c>
      <c r="K13" t="s">
        <v>258</v>
      </c>
    </row>
    <row r="14" spans="2:16" s="147" customFormat="1" x14ac:dyDescent="0.3">
      <c r="B14" s="147" t="s">
        <v>259</v>
      </c>
      <c r="C14" s="147">
        <v>60</v>
      </c>
      <c r="D14" s="147">
        <v>400</v>
      </c>
      <c r="E14" s="147">
        <v>800</v>
      </c>
      <c r="J14" s="147" t="s">
        <v>258</v>
      </c>
      <c r="K14" t="s">
        <v>258</v>
      </c>
    </row>
    <row r="15" spans="2:16" s="147" customFormat="1" x14ac:dyDescent="0.3">
      <c r="B15" s="147" t="s">
        <v>260</v>
      </c>
      <c r="C15" s="147">
        <v>60</v>
      </c>
      <c r="D15" s="147">
        <v>400</v>
      </c>
      <c r="E15" s="147">
        <v>800</v>
      </c>
      <c r="J15" s="147" t="s">
        <v>263</v>
      </c>
      <c r="K15" t="s">
        <v>259</v>
      </c>
    </row>
    <row r="16" spans="2:16" s="147" customFormat="1" x14ac:dyDescent="0.3">
      <c r="B16" s="147" t="s">
        <v>261</v>
      </c>
      <c r="E16" s="147">
        <v>800</v>
      </c>
      <c r="J16" s="147" t="s">
        <v>259</v>
      </c>
      <c r="K16" t="s">
        <v>259</v>
      </c>
    </row>
    <row r="17" spans="1:42" s="147" customFormat="1" x14ac:dyDescent="0.3">
      <c r="B17" s="147" t="s">
        <v>262</v>
      </c>
      <c r="C17" s="147">
        <v>60</v>
      </c>
      <c r="D17" s="147">
        <v>400</v>
      </c>
      <c r="E17" s="147">
        <v>800</v>
      </c>
      <c r="J17" s="147" t="s">
        <v>264</v>
      </c>
      <c r="K17" s="147" t="s">
        <v>260</v>
      </c>
    </row>
    <row r="18" spans="1:42" s="147" customFormat="1" x14ac:dyDescent="0.3">
      <c r="B18" s="147" t="s">
        <v>263</v>
      </c>
      <c r="C18" s="147">
        <v>60</v>
      </c>
      <c r="D18" s="147">
        <v>400</v>
      </c>
      <c r="E18" s="147">
        <v>800</v>
      </c>
      <c r="J18" s="147" t="s">
        <v>260</v>
      </c>
      <c r="K18" t="s">
        <v>260</v>
      </c>
    </row>
    <row r="19" spans="1:42" s="147" customFormat="1" x14ac:dyDescent="0.3">
      <c r="B19" s="147" t="s">
        <v>264</v>
      </c>
      <c r="C19" s="147">
        <v>60</v>
      </c>
      <c r="D19" s="147">
        <v>400</v>
      </c>
      <c r="E19" s="147">
        <v>800</v>
      </c>
      <c r="J19" s="147" t="s">
        <v>314</v>
      </c>
      <c r="K19" s="147" t="s">
        <v>319</v>
      </c>
    </row>
    <row r="20" spans="1:42" s="147" customFormat="1" x14ac:dyDescent="0.3">
      <c r="B20" s="147" t="s">
        <v>314</v>
      </c>
      <c r="D20" s="147">
        <v>300</v>
      </c>
      <c r="E20" s="147">
        <v>600</v>
      </c>
      <c r="F20" s="147">
        <v>60</v>
      </c>
      <c r="G20" s="147" t="s">
        <v>210</v>
      </c>
      <c r="J20" s="147" t="s">
        <v>312</v>
      </c>
      <c r="K20" s="147" t="s">
        <v>320</v>
      </c>
    </row>
    <row r="21" spans="1:42" s="147" customFormat="1" x14ac:dyDescent="0.3">
      <c r="B21" s="147" t="s">
        <v>312</v>
      </c>
      <c r="D21" s="147">
        <v>300</v>
      </c>
      <c r="E21" s="147">
        <v>600</v>
      </c>
      <c r="F21" s="147">
        <v>60</v>
      </c>
      <c r="G21" s="147" t="s">
        <v>210</v>
      </c>
      <c r="J21" s="147" t="s">
        <v>315</v>
      </c>
      <c r="K21" s="147" t="s">
        <v>321</v>
      </c>
    </row>
    <row r="22" spans="1:42" s="147" customFormat="1" x14ac:dyDescent="0.3">
      <c r="B22" s="147" t="s">
        <v>315</v>
      </c>
      <c r="D22" s="147">
        <v>400</v>
      </c>
      <c r="E22" s="147">
        <v>800</v>
      </c>
      <c r="F22" s="147">
        <v>60</v>
      </c>
      <c r="G22" s="147" t="s">
        <v>211</v>
      </c>
      <c r="J22" s="147" t="s">
        <v>313</v>
      </c>
      <c r="K22" s="147" t="s">
        <v>322</v>
      </c>
    </row>
    <row r="23" spans="1:42" s="147" customFormat="1" x14ac:dyDescent="0.3">
      <c r="B23" s="147" t="s">
        <v>313</v>
      </c>
      <c r="D23" s="147">
        <v>400</v>
      </c>
      <c r="E23" s="147">
        <v>800</v>
      </c>
      <c r="F23" s="147">
        <v>60</v>
      </c>
      <c r="G23" s="147" t="s">
        <v>211</v>
      </c>
    </row>
    <row r="24" spans="1:42" x14ac:dyDescent="0.3">
      <c r="A24" s="147"/>
      <c r="H24" s="147"/>
      <c r="I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</row>
    <row r="25" spans="1:42" x14ac:dyDescent="0.3">
      <c r="A25" s="147"/>
      <c r="H25" s="147"/>
      <c r="I25" s="147"/>
      <c r="J25" s="147" t="s">
        <v>11</v>
      </c>
      <c r="K25" s="169" t="s">
        <v>73</v>
      </c>
      <c r="L25" s="147" t="s">
        <v>20</v>
      </c>
      <c r="M25" s="147" t="s">
        <v>21</v>
      </c>
      <c r="N25" s="147" t="s">
        <v>22</v>
      </c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</row>
    <row r="26" spans="1:42" x14ac:dyDescent="0.3">
      <c r="B26" s="120" t="s">
        <v>217</v>
      </c>
      <c r="C26" s="2"/>
      <c r="J26" t="s">
        <v>9</v>
      </c>
      <c r="K26" s="147" t="s">
        <v>9</v>
      </c>
      <c r="L26" t="s">
        <v>20</v>
      </c>
      <c r="M26" t="s">
        <v>21</v>
      </c>
      <c r="N26" t="s">
        <v>22</v>
      </c>
      <c r="T26">
        <v>2</v>
      </c>
      <c r="U26" t="s">
        <v>62</v>
      </c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</row>
    <row r="27" spans="1:42" x14ac:dyDescent="0.3">
      <c r="B27" s="120" t="s">
        <v>218</v>
      </c>
      <c r="C27" s="242" t="s">
        <v>317</v>
      </c>
      <c r="E27" s="174" t="s">
        <v>250</v>
      </c>
      <c r="F27" s="147"/>
      <c r="G27" s="147"/>
      <c r="J27" t="s">
        <v>4</v>
      </c>
      <c r="K27" s="147" t="s">
        <v>4</v>
      </c>
      <c r="L27" t="s">
        <v>20</v>
      </c>
      <c r="M27" t="s">
        <v>21</v>
      </c>
      <c r="N27" t="s">
        <v>22</v>
      </c>
      <c r="T27">
        <v>3</v>
      </c>
      <c r="U27" t="s">
        <v>62</v>
      </c>
    </row>
    <row r="28" spans="1:42" x14ac:dyDescent="0.3">
      <c r="B28" s="120">
        <v>2</v>
      </c>
      <c r="C28" s="138">
        <v>1.02</v>
      </c>
      <c r="E28" s="147" t="s">
        <v>247</v>
      </c>
      <c r="F28" s="147" t="s">
        <v>248</v>
      </c>
      <c r="G28" s="147" t="s">
        <v>249</v>
      </c>
      <c r="J28" t="s">
        <v>10</v>
      </c>
      <c r="K28" s="147" t="s">
        <v>10</v>
      </c>
      <c r="L28" t="s">
        <v>20</v>
      </c>
      <c r="M28" t="s">
        <v>21</v>
      </c>
      <c r="N28" t="s">
        <v>23</v>
      </c>
      <c r="T28">
        <v>4</v>
      </c>
      <c r="U28" t="s">
        <v>62</v>
      </c>
    </row>
    <row r="29" spans="1:42" x14ac:dyDescent="0.3">
      <c r="B29" s="120">
        <v>3</v>
      </c>
      <c r="C29" s="138">
        <v>1.04</v>
      </c>
      <c r="E29" s="175">
        <f>Калькулятор!E3</f>
        <v>45901</v>
      </c>
      <c r="F29" s="147" t="str">
        <f>IF(ISNUMBER(SEARCH("Podpis (1 пользователь, ЛД)",Калькулятор!E4)),"Доппакет ЛД Podpis",
IF(ISNUMBER(SEARCH("Накладные (1 пользователь, ЛД)",Калькулятор!E4)),"Доппакет ЛД Накладные",
IF(ISNUMBER(SEARCH("Комплекс коммерческий*(1 пользователь)",Калькулятор!E4)),"Доппакет ОВ Комплекс",
IF(ISNUMBER(SEARCH("(1 пользователь)",Калькулятор!E4)),"Доппакет НОВ",
IF(ISNUMBER(SEARCH("Комплекс коммерческий*",Калькулятор!E4)),"Доппакет МВ Комплекс",
"Доппакет НМВ")))))</f>
        <v>Доппакет НМВ</v>
      </c>
      <c r="G29" s="147">
        <f>SUMIFS(Таблица7[Стоимость 1 аккаунта],Таблица7[Сервис],F29,Таблица7[Период],E29)</f>
        <v>16.079999999999998</v>
      </c>
      <c r="J29" t="s">
        <v>4</v>
      </c>
      <c r="K29" s="147" t="s">
        <v>50</v>
      </c>
      <c r="L29" t="s">
        <v>20</v>
      </c>
      <c r="M29" t="s">
        <v>21</v>
      </c>
      <c r="N29" t="s">
        <v>22</v>
      </c>
      <c r="T29">
        <v>5</v>
      </c>
      <c r="U29" t="s">
        <v>63</v>
      </c>
    </row>
    <row r="30" spans="1:42" x14ac:dyDescent="0.3">
      <c r="B30" s="120">
        <v>4</v>
      </c>
      <c r="C30" s="138">
        <v>1.05</v>
      </c>
      <c r="F30" s="243"/>
      <c r="J30" t="s">
        <v>9</v>
      </c>
      <c r="K30" s="147" t="s">
        <v>51</v>
      </c>
      <c r="L30" t="s">
        <v>20</v>
      </c>
      <c r="M30" t="s">
        <v>21</v>
      </c>
      <c r="N30" t="s">
        <v>22</v>
      </c>
      <c r="T30">
        <v>6</v>
      </c>
      <c r="U30" t="s">
        <v>63</v>
      </c>
    </row>
    <row r="31" spans="1:42" x14ac:dyDescent="0.3">
      <c r="B31" s="120">
        <v>5</v>
      </c>
      <c r="C31" s="138">
        <v>1.06</v>
      </c>
      <c r="J31" t="s">
        <v>10</v>
      </c>
      <c r="K31" s="147" t="s">
        <v>49</v>
      </c>
      <c r="L31" t="s">
        <v>20</v>
      </c>
      <c r="M31" t="s">
        <v>55</v>
      </c>
      <c r="N31" t="s">
        <v>55</v>
      </c>
      <c r="T31">
        <v>7</v>
      </c>
      <c r="U31" t="s">
        <v>63</v>
      </c>
    </row>
    <row r="32" spans="1:42" x14ac:dyDescent="0.3">
      <c r="B32" s="120">
        <v>6</v>
      </c>
      <c r="C32" s="138">
        <v>1.07</v>
      </c>
      <c r="J32" t="s">
        <v>11</v>
      </c>
      <c r="K32" s="147" t="s">
        <v>11</v>
      </c>
      <c r="L32" t="s">
        <v>20</v>
      </c>
      <c r="M32" t="s">
        <v>21</v>
      </c>
      <c r="N32" t="s">
        <v>22</v>
      </c>
      <c r="T32">
        <v>8</v>
      </c>
      <c r="U32" t="s">
        <v>63</v>
      </c>
    </row>
    <row r="33" spans="2:21" x14ac:dyDescent="0.3">
      <c r="B33" s="120">
        <v>7</v>
      </c>
      <c r="C33" s="138">
        <v>1.08</v>
      </c>
      <c r="J33" t="s">
        <v>257</v>
      </c>
      <c r="K33" s="147" t="s">
        <v>257</v>
      </c>
      <c r="L33" s="147" t="s">
        <v>20</v>
      </c>
      <c r="M33" s="147" t="s">
        <v>21</v>
      </c>
      <c r="N33" s="147" t="s">
        <v>23</v>
      </c>
      <c r="T33">
        <v>9</v>
      </c>
      <c r="U33" t="s">
        <v>63</v>
      </c>
    </row>
    <row r="34" spans="2:21" x14ac:dyDescent="0.3">
      <c r="B34" s="120">
        <v>8</v>
      </c>
      <c r="C34" s="138">
        <v>1.0900000000000001</v>
      </c>
      <c r="J34" s="147" t="s">
        <v>258</v>
      </c>
      <c r="K34" s="147" t="s">
        <v>258</v>
      </c>
      <c r="L34" s="147" t="s">
        <v>20</v>
      </c>
      <c r="M34" s="147" t="s">
        <v>21</v>
      </c>
      <c r="N34" s="147" t="s">
        <v>22</v>
      </c>
      <c r="T34">
        <v>10</v>
      </c>
      <c r="U34" t="s">
        <v>63</v>
      </c>
    </row>
    <row r="35" spans="2:21" x14ac:dyDescent="0.3">
      <c r="B35" s="120">
        <v>9</v>
      </c>
      <c r="C35" s="138">
        <v>1.1100000000000001</v>
      </c>
      <c r="J35" s="147" t="s">
        <v>259</v>
      </c>
      <c r="K35" s="147" t="s">
        <v>259</v>
      </c>
      <c r="L35" s="147" t="s">
        <v>20</v>
      </c>
      <c r="M35" s="147" t="s">
        <v>21</v>
      </c>
      <c r="N35" s="147" t="s">
        <v>22</v>
      </c>
      <c r="T35">
        <v>11</v>
      </c>
      <c r="U35" t="s">
        <v>63</v>
      </c>
    </row>
    <row r="36" spans="2:21" x14ac:dyDescent="0.3">
      <c r="B36" s="120">
        <v>10</v>
      </c>
      <c r="C36" s="138">
        <v>1.1200000000000001</v>
      </c>
      <c r="J36" s="147" t="s">
        <v>260</v>
      </c>
      <c r="K36" s="147" t="s">
        <v>260</v>
      </c>
      <c r="L36" s="147" t="s">
        <v>20</v>
      </c>
      <c r="M36" s="147" t="s">
        <v>21</v>
      </c>
      <c r="N36" s="147" t="s">
        <v>22</v>
      </c>
      <c r="T36">
        <v>12</v>
      </c>
      <c r="U36" t="s">
        <v>63</v>
      </c>
    </row>
    <row r="37" spans="2:21" x14ac:dyDescent="0.3">
      <c r="B37" s="120">
        <v>11</v>
      </c>
      <c r="C37" s="138">
        <v>1.1299999999999999</v>
      </c>
      <c r="J37" s="147" t="s">
        <v>257</v>
      </c>
      <c r="K37" s="147" t="s">
        <v>261</v>
      </c>
      <c r="L37" s="147" t="s">
        <v>20</v>
      </c>
      <c r="M37" s="147" t="s">
        <v>55</v>
      </c>
      <c r="N37" s="147" t="s">
        <v>55</v>
      </c>
    </row>
    <row r="38" spans="2:21" x14ac:dyDescent="0.3">
      <c r="B38" s="120">
        <v>12</v>
      </c>
      <c r="C38" s="138">
        <v>1.1399999999999999</v>
      </c>
      <c r="J38" s="147" t="s">
        <v>258</v>
      </c>
      <c r="K38" s="147" t="s">
        <v>262</v>
      </c>
      <c r="L38" s="147" t="s">
        <v>20</v>
      </c>
      <c r="M38" s="147" t="s">
        <v>21</v>
      </c>
      <c r="N38" s="147" t="s">
        <v>22</v>
      </c>
    </row>
    <row r="39" spans="2:21" x14ac:dyDescent="0.3">
      <c r="J39" s="147" t="s">
        <v>259</v>
      </c>
      <c r="K39" s="147" t="s">
        <v>263</v>
      </c>
      <c r="L39" s="147" t="s">
        <v>20</v>
      </c>
      <c r="M39" s="147" t="s">
        <v>21</v>
      </c>
      <c r="N39" s="147" t="s">
        <v>22</v>
      </c>
    </row>
    <row r="40" spans="2:21" x14ac:dyDescent="0.3">
      <c r="B40" s="143" t="s">
        <v>173</v>
      </c>
      <c r="J40" s="147" t="s">
        <v>260</v>
      </c>
      <c r="K40" s="147" t="s">
        <v>264</v>
      </c>
      <c r="L40" s="147" t="s">
        <v>20</v>
      </c>
      <c r="M40" s="147" t="s">
        <v>21</v>
      </c>
      <c r="N40" s="147" t="s">
        <v>22</v>
      </c>
    </row>
    <row r="41" spans="2:21" x14ac:dyDescent="0.3">
      <c r="B41" s="142" t="s">
        <v>240</v>
      </c>
      <c r="J41" s="147" t="s">
        <v>319</v>
      </c>
      <c r="K41" s="147" t="s">
        <v>314</v>
      </c>
      <c r="L41" s="46" t="s">
        <v>20</v>
      </c>
      <c r="M41" s="46" t="s">
        <v>21</v>
      </c>
      <c r="N41" s="46" t="s">
        <v>23</v>
      </c>
    </row>
    <row r="42" spans="2:21" x14ac:dyDescent="0.3">
      <c r="B42" s="237" t="s">
        <v>394</v>
      </c>
      <c r="C42" s="10"/>
      <c r="J42" s="147" t="s">
        <v>320</v>
      </c>
      <c r="K42" s="147" t="s">
        <v>312</v>
      </c>
      <c r="L42" s="46" t="s">
        <v>20</v>
      </c>
      <c r="M42" s="46" t="s">
        <v>21</v>
      </c>
      <c r="N42" s="46" t="s">
        <v>23</v>
      </c>
    </row>
    <row r="43" spans="2:21" x14ac:dyDescent="0.3">
      <c r="B43" s="257"/>
      <c r="J43" s="147" t="s">
        <v>321</v>
      </c>
      <c r="K43" s="147" t="s">
        <v>315</v>
      </c>
      <c r="L43" s="46" t="s">
        <v>20</v>
      </c>
      <c r="M43" s="46" t="s">
        <v>21</v>
      </c>
      <c r="N43" s="46" t="s">
        <v>23</v>
      </c>
    </row>
    <row r="44" spans="2:21" x14ac:dyDescent="0.3">
      <c r="B44" s="2"/>
      <c r="J44" s="147" t="s">
        <v>322</v>
      </c>
      <c r="K44" s="147" t="s">
        <v>313</v>
      </c>
      <c r="L44" s="46" t="s">
        <v>20</v>
      </c>
      <c r="M44" s="46" t="s">
        <v>21</v>
      </c>
      <c r="N44" s="46" t="s">
        <v>23</v>
      </c>
    </row>
    <row r="49" spans="1:8" x14ac:dyDescent="0.3">
      <c r="A49" s="112" t="s">
        <v>233</v>
      </c>
    </row>
    <row r="50" spans="1:8" ht="13.95" customHeight="1" x14ac:dyDescent="0.3">
      <c r="A50" s="125" t="s">
        <v>227</v>
      </c>
      <c r="B50" s="126" t="s">
        <v>193</v>
      </c>
      <c r="C50" s="127" t="s">
        <v>0</v>
      </c>
      <c r="D50" s="127" t="s">
        <v>228</v>
      </c>
      <c r="E50" s="127" t="s">
        <v>229</v>
      </c>
      <c r="F50" s="127" t="s">
        <v>76</v>
      </c>
      <c r="G50" s="127" t="s">
        <v>230</v>
      </c>
      <c r="H50" s="146" t="s">
        <v>241</v>
      </c>
    </row>
    <row r="51" spans="1:8" x14ac:dyDescent="0.3">
      <c r="A51" s="234" t="s">
        <v>187</v>
      </c>
      <c r="B51" s="169" t="s">
        <v>50</v>
      </c>
      <c r="C51" s="169" t="s">
        <v>20</v>
      </c>
      <c r="D51" s="169" t="str">
        <f t="shared" ref="D51:D69" si="0">_xlfn.CONCAT(B51,C51,F51)</f>
        <v>Предприятие (1 пользователь)ЭКСПЕРТ6</v>
      </c>
      <c r="E51" s="325">
        <v>0.05</v>
      </c>
      <c r="F51" s="236">
        <v>6</v>
      </c>
      <c r="G51" s="236" t="s">
        <v>231</v>
      </c>
      <c r="H51" s="239" t="str">
        <f>$B$42</f>
        <v>Акция_Пр.88 (15мая-31июля25)</v>
      </c>
    </row>
    <row r="52" spans="1:8" x14ac:dyDescent="0.3">
      <c r="A52" s="128" t="s">
        <v>187</v>
      </c>
      <c r="B52" s="129" t="s">
        <v>51</v>
      </c>
      <c r="C52" s="129" t="s">
        <v>20</v>
      </c>
      <c r="D52" s="129" t="str">
        <f t="shared" si="0"/>
        <v>Предприятие ПРОФ (1 пользователь)ЭКСПЕРТ6</v>
      </c>
      <c r="E52" s="145">
        <v>0.05</v>
      </c>
      <c r="F52" s="144">
        <v>6</v>
      </c>
      <c r="G52" s="144" t="s">
        <v>231</v>
      </c>
      <c r="H52" s="239" t="str">
        <f t="shared" ref="H52:H124" si="1">$B$42</f>
        <v>Акция_Пр.88 (15мая-31июля25)</v>
      </c>
    </row>
    <row r="53" spans="1:8" x14ac:dyDescent="0.3">
      <c r="A53" s="128" t="s">
        <v>187</v>
      </c>
      <c r="B53" s="129" t="s">
        <v>49</v>
      </c>
      <c r="C53" s="129" t="s">
        <v>20</v>
      </c>
      <c r="D53" s="129" t="str">
        <f t="shared" si="0"/>
        <v>Главный Бухгалтер ПРОФ (1 пользователь)ЭКСПЕРТ6</v>
      </c>
      <c r="E53" s="145">
        <v>0.05</v>
      </c>
      <c r="F53" s="144">
        <v>6</v>
      </c>
      <c r="G53" s="144" t="s">
        <v>231</v>
      </c>
      <c r="H53" s="239" t="str">
        <f t="shared" si="1"/>
        <v>Акция_Пр.88 (15мая-31июля25)</v>
      </c>
    </row>
    <row r="54" spans="1:8" x14ac:dyDescent="0.3">
      <c r="A54" s="128" t="s">
        <v>187</v>
      </c>
      <c r="B54" s="129" t="s">
        <v>73</v>
      </c>
      <c r="C54" s="129" t="s">
        <v>20</v>
      </c>
      <c r="D54" s="129" t="str">
        <f t="shared" si="0"/>
        <v>VIP Предприятие (1 пользователь)ЭКСПЕРТ6</v>
      </c>
      <c r="E54" s="145">
        <v>0.05</v>
      </c>
      <c r="F54" s="144">
        <v>6</v>
      </c>
      <c r="G54" s="144" t="s">
        <v>231</v>
      </c>
      <c r="H54" s="239" t="str">
        <f t="shared" si="1"/>
        <v>Акция_Пр.88 (15мая-31июля25)</v>
      </c>
    </row>
    <row r="55" spans="1:8" x14ac:dyDescent="0.3">
      <c r="A55" s="128" t="s">
        <v>187</v>
      </c>
      <c r="B55" s="129" t="s">
        <v>314</v>
      </c>
      <c r="C55" s="129" t="s">
        <v>20</v>
      </c>
      <c r="D55" s="129" t="str">
        <f t="shared" ref="D55:D58" si="2">_xlfn.CONCAT(B55,C55,F55)</f>
        <v>Пакет Программ Главный Бухгалтер, Podpis (1 пользователь, ЛД)ЭКСПЕРТ6</v>
      </c>
      <c r="E55" s="145">
        <v>0.2</v>
      </c>
      <c r="F55" s="144">
        <v>6</v>
      </c>
      <c r="G55" s="129"/>
      <c r="H55" s="239" t="str">
        <f t="shared" si="1"/>
        <v>Акция_Пр.88 (15мая-31июля25)</v>
      </c>
    </row>
    <row r="56" spans="1:8" x14ac:dyDescent="0.3">
      <c r="A56" s="128" t="s">
        <v>187</v>
      </c>
      <c r="B56" s="129" t="s">
        <v>312</v>
      </c>
      <c r="C56" s="129" t="s">
        <v>20</v>
      </c>
      <c r="D56" s="129" t="str">
        <f t="shared" si="2"/>
        <v>Пакет Программ Главный Бухгалтер, Podpis, ilex.Накладные (1 пользователь, ЛД)ЭКСПЕРТ6</v>
      </c>
      <c r="E56" s="145">
        <v>0.2</v>
      </c>
      <c r="F56" s="144">
        <v>6</v>
      </c>
      <c r="G56" s="129"/>
      <c r="H56" s="239" t="str">
        <f t="shared" si="1"/>
        <v>Акция_Пр.88 (15мая-31июля25)</v>
      </c>
    </row>
    <row r="57" spans="1:8" x14ac:dyDescent="0.3">
      <c r="A57" s="128" t="s">
        <v>187</v>
      </c>
      <c r="B57" s="129" t="s">
        <v>315</v>
      </c>
      <c r="C57" s="129" t="s">
        <v>20</v>
      </c>
      <c r="D57" s="129" t="str">
        <f t="shared" si="2"/>
        <v>Пакет Программ Главный Бухгалтер ПРОФ, Podpis (1 пользователь, ЛД)ЭКСПЕРТ6</v>
      </c>
      <c r="E57" s="145">
        <v>0.2</v>
      </c>
      <c r="F57" s="144">
        <v>6</v>
      </c>
      <c r="G57" s="129"/>
      <c r="H57" s="239" t="str">
        <f t="shared" si="1"/>
        <v>Акция_Пр.88 (15мая-31июля25)</v>
      </c>
    </row>
    <row r="58" spans="1:8" x14ac:dyDescent="0.3">
      <c r="A58" s="128" t="s">
        <v>187</v>
      </c>
      <c r="B58" s="129" t="s">
        <v>313</v>
      </c>
      <c r="C58" s="129" t="s">
        <v>20</v>
      </c>
      <c r="D58" s="129" t="str">
        <f t="shared" si="2"/>
        <v>Пакет Программ Главный Бухгалтер ПРОФ, Podpis, ilex.Накладные (1 пользователь, ЛД)ЭКСПЕРТ6</v>
      </c>
      <c r="E58" s="145">
        <v>0.2</v>
      </c>
      <c r="F58" s="144">
        <v>6</v>
      </c>
      <c r="G58" s="129"/>
      <c r="H58" s="239" t="str">
        <f t="shared" si="1"/>
        <v>Акция_Пр.88 (15мая-31июля25)</v>
      </c>
    </row>
    <row r="59" spans="1:8" x14ac:dyDescent="0.3">
      <c r="A59" s="128" t="s">
        <v>187</v>
      </c>
      <c r="B59" s="129" t="s">
        <v>314</v>
      </c>
      <c r="C59" s="129" t="s">
        <v>188</v>
      </c>
      <c r="D59" s="129" t="str">
        <f t="shared" si="0"/>
        <v>Пакет Программ Главный Бухгалтер, Podpis (1 пользователь, ЛД)ОПТИМАЛЬНЫЙ ПЛЮС6</v>
      </c>
      <c r="E59" s="145">
        <v>0.15</v>
      </c>
      <c r="F59" s="144">
        <v>6</v>
      </c>
      <c r="G59" s="129"/>
      <c r="H59" s="239" t="str">
        <f t="shared" si="1"/>
        <v>Акция_Пр.88 (15мая-31июля25)</v>
      </c>
    </row>
    <row r="60" spans="1:8" x14ac:dyDescent="0.3">
      <c r="A60" s="128" t="s">
        <v>187</v>
      </c>
      <c r="B60" s="129" t="s">
        <v>312</v>
      </c>
      <c r="C60" s="129" t="s">
        <v>188</v>
      </c>
      <c r="D60" s="129" t="str">
        <f t="shared" si="0"/>
        <v>Пакет Программ Главный Бухгалтер, Podpis, ilex.Накладные (1 пользователь, ЛД)ОПТИМАЛЬНЫЙ ПЛЮС6</v>
      </c>
      <c r="E60" s="145">
        <v>0.15</v>
      </c>
      <c r="F60" s="144">
        <v>6</v>
      </c>
      <c r="G60" s="129"/>
      <c r="H60" s="239" t="str">
        <f t="shared" si="1"/>
        <v>Акция_Пр.88 (15мая-31июля25)</v>
      </c>
    </row>
    <row r="61" spans="1:8" x14ac:dyDescent="0.3">
      <c r="A61" s="128" t="s">
        <v>187</v>
      </c>
      <c r="B61" s="129" t="s">
        <v>315</v>
      </c>
      <c r="C61" s="129" t="s">
        <v>188</v>
      </c>
      <c r="D61" s="129" t="str">
        <f t="shared" si="0"/>
        <v>Пакет Программ Главный Бухгалтер ПРОФ, Podpis (1 пользователь, ЛД)ОПТИМАЛЬНЫЙ ПЛЮС6</v>
      </c>
      <c r="E61" s="145">
        <v>0.15</v>
      </c>
      <c r="F61" s="144">
        <v>6</v>
      </c>
      <c r="G61" s="129"/>
      <c r="H61" s="239" t="str">
        <f t="shared" si="1"/>
        <v>Акция_Пр.88 (15мая-31июля25)</v>
      </c>
    </row>
    <row r="62" spans="1:8" x14ac:dyDescent="0.3">
      <c r="A62" s="128" t="s">
        <v>187</v>
      </c>
      <c r="B62" s="129" t="s">
        <v>313</v>
      </c>
      <c r="C62" s="129" t="s">
        <v>188</v>
      </c>
      <c r="D62" s="129" t="str">
        <f t="shared" si="0"/>
        <v>Пакет Программ Главный Бухгалтер ПРОФ, Podpis, ilex.Накладные (1 пользователь, ЛД)ОПТИМАЛЬНЫЙ ПЛЮС6</v>
      </c>
      <c r="E62" s="145">
        <v>0.15</v>
      </c>
      <c r="F62" s="144">
        <v>6</v>
      </c>
      <c r="G62" s="129"/>
      <c r="H62" s="239" t="str">
        <f t="shared" si="1"/>
        <v>Акция_Пр.88 (15мая-31июля25)</v>
      </c>
    </row>
    <row r="63" spans="1:8" x14ac:dyDescent="0.3">
      <c r="A63" s="128" t="s">
        <v>187</v>
      </c>
      <c r="B63" s="129" t="s">
        <v>50</v>
      </c>
      <c r="C63" s="129" t="s">
        <v>21</v>
      </c>
      <c r="D63" s="129" t="str">
        <f t="shared" si="0"/>
        <v>Предприятие (1 пользователь)ОПТИМАЛЬНЫЙ6</v>
      </c>
      <c r="E63" s="325">
        <v>0.05</v>
      </c>
      <c r="F63" s="144">
        <v>6</v>
      </c>
      <c r="G63" s="144" t="s">
        <v>231</v>
      </c>
      <c r="H63" s="239" t="str">
        <f t="shared" si="1"/>
        <v>Акция_Пр.88 (15мая-31июля25)</v>
      </c>
    </row>
    <row r="64" spans="1:8" x14ac:dyDescent="0.3">
      <c r="A64" s="128" t="s">
        <v>187</v>
      </c>
      <c r="B64" s="129" t="s">
        <v>51</v>
      </c>
      <c r="C64" s="129" t="s">
        <v>21</v>
      </c>
      <c r="D64" s="129" t="str">
        <f t="shared" si="0"/>
        <v>Предприятие ПРОФ (1 пользователь)ОПТИМАЛЬНЫЙ6</v>
      </c>
      <c r="E64" s="145">
        <v>0.05</v>
      </c>
      <c r="F64" s="144">
        <v>6</v>
      </c>
      <c r="G64" s="144" t="s">
        <v>231</v>
      </c>
      <c r="H64" s="239" t="str">
        <f t="shared" si="1"/>
        <v>Акция_Пр.88 (15мая-31июля25)</v>
      </c>
    </row>
    <row r="65" spans="1:8" x14ac:dyDescent="0.3">
      <c r="A65" s="128" t="s">
        <v>187</v>
      </c>
      <c r="B65" s="129" t="s">
        <v>73</v>
      </c>
      <c r="C65" s="129" t="s">
        <v>21</v>
      </c>
      <c r="D65" s="129" t="str">
        <f t="shared" si="0"/>
        <v>VIP Предприятие (1 пользователь)ОПТИМАЛЬНЫЙ6</v>
      </c>
      <c r="E65" s="145">
        <v>0.05</v>
      </c>
      <c r="F65" s="144">
        <v>6</v>
      </c>
      <c r="G65" s="144" t="s">
        <v>231</v>
      </c>
      <c r="H65" s="239" t="str">
        <f t="shared" si="1"/>
        <v>Акция_Пр.88 (15мая-31июля25)</v>
      </c>
    </row>
    <row r="66" spans="1:8" x14ac:dyDescent="0.3">
      <c r="A66" s="128" t="s">
        <v>187</v>
      </c>
      <c r="B66" s="129" t="s">
        <v>314</v>
      </c>
      <c r="C66" s="129" t="s">
        <v>21</v>
      </c>
      <c r="D66" s="129" t="str">
        <f t="shared" si="0"/>
        <v>Пакет Программ Главный Бухгалтер, Podpis (1 пользователь, ЛД)ОПТИМАЛЬНЫЙ6</v>
      </c>
      <c r="E66" s="130"/>
      <c r="F66" s="129">
        <v>6</v>
      </c>
      <c r="G66" s="129"/>
      <c r="H66" s="138"/>
    </row>
    <row r="67" spans="1:8" x14ac:dyDescent="0.3">
      <c r="A67" s="128" t="s">
        <v>187</v>
      </c>
      <c r="B67" s="129" t="s">
        <v>312</v>
      </c>
      <c r="C67" s="129" t="s">
        <v>21</v>
      </c>
      <c r="D67" s="129" t="str">
        <f t="shared" si="0"/>
        <v>Пакет Программ Главный Бухгалтер, Podpis, ilex.Накладные (1 пользователь, ЛД)ОПТИМАЛЬНЫЙ6</v>
      </c>
      <c r="E67" s="130"/>
      <c r="F67" s="129">
        <v>6</v>
      </c>
      <c r="G67" s="129"/>
      <c r="H67" s="138"/>
    </row>
    <row r="68" spans="1:8" x14ac:dyDescent="0.3">
      <c r="A68" s="128" t="s">
        <v>187</v>
      </c>
      <c r="B68" s="129" t="s">
        <v>315</v>
      </c>
      <c r="C68" s="129" t="s">
        <v>21</v>
      </c>
      <c r="D68" s="129" t="str">
        <f t="shared" si="0"/>
        <v>Пакет Программ Главный Бухгалтер ПРОФ, Podpis (1 пользователь, ЛД)ОПТИМАЛЬНЫЙ6</v>
      </c>
      <c r="E68" s="145">
        <v>0.15</v>
      </c>
      <c r="F68" s="144">
        <v>6</v>
      </c>
      <c r="G68" s="129"/>
      <c r="H68" s="239" t="str">
        <f t="shared" si="1"/>
        <v>Акция_Пр.88 (15мая-31июля25)</v>
      </c>
    </row>
    <row r="69" spans="1:8" x14ac:dyDescent="0.3">
      <c r="A69" s="128" t="s">
        <v>187</v>
      </c>
      <c r="B69" s="129" t="s">
        <v>313</v>
      </c>
      <c r="C69" s="129" t="s">
        <v>21</v>
      </c>
      <c r="D69" s="129" t="str">
        <f t="shared" si="0"/>
        <v>Пакет Программ Главный Бухгалтер ПРОФ, Podpis, ilex.Накладные (1 пользователь, ЛД)ОПТИМАЛЬНЫЙ6</v>
      </c>
      <c r="E69" s="145">
        <v>0.15</v>
      </c>
      <c r="F69" s="144">
        <v>6</v>
      </c>
      <c r="G69" s="129"/>
      <c r="H69" s="239" t="str">
        <f t="shared" si="1"/>
        <v>Акция_Пр.88 (15мая-31июля25)</v>
      </c>
    </row>
    <row r="70" spans="1:8" x14ac:dyDescent="0.3">
      <c r="A70" s="128" t="s">
        <v>186</v>
      </c>
      <c r="B70" s="129" t="s">
        <v>9</v>
      </c>
      <c r="C70" s="129" t="s">
        <v>20</v>
      </c>
      <c r="D70" s="129" t="str">
        <f t="shared" ref="D70:D93" si="3">CONCATENATE(B70,C70,F70)</f>
        <v>Предприятие ПРОФЭКСПЕРТ6</v>
      </c>
      <c r="E70" s="145">
        <v>0.05</v>
      </c>
      <c r="F70" s="144">
        <v>6</v>
      </c>
      <c r="G70" s="144" t="s">
        <v>231</v>
      </c>
      <c r="H70" s="239" t="str">
        <f t="shared" si="1"/>
        <v>Акция_Пр.88 (15мая-31июля25)</v>
      </c>
    </row>
    <row r="71" spans="1:8" x14ac:dyDescent="0.3">
      <c r="A71" s="128" t="s">
        <v>186</v>
      </c>
      <c r="B71" s="129" t="s">
        <v>4</v>
      </c>
      <c r="C71" s="129" t="s">
        <v>20</v>
      </c>
      <c r="D71" s="129" t="str">
        <f t="shared" si="3"/>
        <v>ПредприятиеЭКСПЕРТ6</v>
      </c>
      <c r="E71" s="145">
        <v>0.05</v>
      </c>
      <c r="F71" s="144">
        <v>6</v>
      </c>
      <c r="G71" s="144" t="s">
        <v>231</v>
      </c>
      <c r="H71" s="239" t="str">
        <f t="shared" si="1"/>
        <v>Акция_Пр.88 (15мая-31июля25)</v>
      </c>
    </row>
    <row r="72" spans="1:8" x14ac:dyDescent="0.3">
      <c r="A72" s="128" t="s">
        <v>186</v>
      </c>
      <c r="B72" s="129" t="s">
        <v>10</v>
      </c>
      <c r="C72" s="129" t="s">
        <v>20</v>
      </c>
      <c r="D72" s="129" t="str">
        <f t="shared" si="3"/>
        <v>Главный Бухгалтер ПРОФЭКСПЕРТ6</v>
      </c>
      <c r="E72" s="145">
        <v>0.05</v>
      </c>
      <c r="F72" s="144">
        <v>6</v>
      </c>
      <c r="G72" s="144" t="s">
        <v>231</v>
      </c>
      <c r="H72" s="239" t="str">
        <f t="shared" si="1"/>
        <v>Акция_Пр.88 (15мая-31июля25)</v>
      </c>
    </row>
    <row r="73" spans="1:8" x14ac:dyDescent="0.3">
      <c r="A73" s="128" t="s">
        <v>186</v>
      </c>
      <c r="B73" s="129" t="s">
        <v>11</v>
      </c>
      <c r="C73" s="129" t="s">
        <v>20</v>
      </c>
      <c r="D73" s="129" t="str">
        <f t="shared" si="3"/>
        <v>VIP ПредприятиеЭКСПЕРТ6</v>
      </c>
      <c r="E73" s="145">
        <v>0.05</v>
      </c>
      <c r="F73" s="144">
        <v>6</v>
      </c>
      <c r="G73" s="144" t="s">
        <v>231</v>
      </c>
      <c r="H73" s="239" t="str">
        <f t="shared" si="1"/>
        <v>Акция_Пр.88 (15мая-31июля25)</v>
      </c>
    </row>
    <row r="74" spans="1:8" x14ac:dyDescent="0.3">
      <c r="A74" s="128" t="s">
        <v>186</v>
      </c>
      <c r="B74" s="129" t="s">
        <v>9</v>
      </c>
      <c r="C74" s="129" t="s">
        <v>21</v>
      </c>
      <c r="D74" s="129" t="str">
        <f t="shared" si="3"/>
        <v>Предприятие ПРОФОПТИМАЛЬНЫЙ6</v>
      </c>
      <c r="E74" s="145">
        <v>0.05</v>
      </c>
      <c r="F74" s="144">
        <v>6</v>
      </c>
      <c r="G74" s="144" t="s">
        <v>231</v>
      </c>
      <c r="H74" s="239" t="str">
        <f t="shared" si="1"/>
        <v>Акция_Пр.88 (15мая-31июля25)</v>
      </c>
    </row>
    <row r="75" spans="1:8" x14ac:dyDescent="0.3">
      <c r="A75" s="128" t="s">
        <v>186</v>
      </c>
      <c r="B75" s="129" t="s">
        <v>4</v>
      </c>
      <c r="C75" s="129" t="s">
        <v>21</v>
      </c>
      <c r="D75" s="129" t="str">
        <f t="shared" si="3"/>
        <v>ПредприятиеОПТИМАЛЬНЫЙ6</v>
      </c>
      <c r="E75" s="145">
        <v>0.05</v>
      </c>
      <c r="F75" s="144">
        <v>6</v>
      </c>
      <c r="G75" s="144" t="s">
        <v>231</v>
      </c>
      <c r="H75" s="239" t="str">
        <f t="shared" si="1"/>
        <v>Акция_Пр.88 (15мая-31июля25)</v>
      </c>
    </row>
    <row r="76" spans="1:8" x14ac:dyDescent="0.3">
      <c r="A76" s="128" t="s">
        <v>186</v>
      </c>
      <c r="B76" s="129" t="s">
        <v>10</v>
      </c>
      <c r="C76" s="129" t="s">
        <v>21</v>
      </c>
      <c r="D76" s="129" t="str">
        <f t="shared" si="3"/>
        <v>Главный Бухгалтер ПРОФОПТИМАЛЬНЫЙ6</v>
      </c>
      <c r="E76" s="145">
        <v>0.05</v>
      </c>
      <c r="F76" s="144">
        <v>6</v>
      </c>
      <c r="G76" s="144" t="s">
        <v>231</v>
      </c>
      <c r="H76" s="239" t="str">
        <f t="shared" si="1"/>
        <v>Акция_Пр.88 (15мая-31июля25)</v>
      </c>
    </row>
    <row r="77" spans="1:8" x14ac:dyDescent="0.3">
      <c r="A77" s="128" t="s">
        <v>186</v>
      </c>
      <c r="B77" s="129" t="s">
        <v>11</v>
      </c>
      <c r="C77" s="129" t="s">
        <v>21</v>
      </c>
      <c r="D77" s="129" t="str">
        <f t="shared" si="3"/>
        <v>VIP ПредприятиеОПТИМАЛЬНЫЙ6</v>
      </c>
      <c r="E77" s="145">
        <v>0.05</v>
      </c>
      <c r="F77" s="144">
        <v>6</v>
      </c>
      <c r="G77" s="144" t="s">
        <v>231</v>
      </c>
      <c r="H77" s="239" t="str">
        <f t="shared" si="1"/>
        <v>Акция_Пр.88 (15мая-31июля25)</v>
      </c>
    </row>
    <row r="78" spans="1:8" x14ac:dyDescent="0.3">
      <c r="A78" s="128" t="s">
        <v>186</v>
      </c>
      <c r="B78" s="129" t="s">
        <v>9</v>
      </c>
      <c r="C78" s="129" t="s">
        <v>189</v>
      </c>
      <c r="D78" s="129" t="str">
        <f t="shared" si="3"/>
        <v>Предприятие ПРОФЭКСПЕРТОПТИМАЛЬНЫЙ6</v>
      </c>
      <c r="E78" s="145">
        <v>0.05</v>
      </c>
      <c r="F78" s="144">
        <v>6</v>
      </c>
      <c r="G78" s="144" t="s">
        <v>231</v>
      </c>
      <c r="H78" s="239" t="str">
        <f t="shared" si="1"/>
        <v>Акция_Пр.88 (15мая-31июля25)</v>
      </c>
    </row>
    <row r="79" spans="1:8" x14ac:dyDescent="0.3">
      <c r="A79" s="128" t="s">
        <v>186</v>
      </c>
      <c r="B79" s="129" t="s">
        <v>4</v>
      </c>
      <c r="C79" s="129" t="s">
        <v>189</v>
      </c>
      <c r="D79" s="129" t="str">
        <f t="shared" si="3"/>
        <v>ПредприятиеЭКСПЕРТОПТИМАЛЬНЫЙ6</v>
      </c>
      <c r="E79" s="145">
        <v>0.05</v>
      </c>
      <c r="F79" s="144">
        <v>6</v>
      </c>
      <c r="G79" s="144" t="s">
        <v>231</v>
      </c>
      <c r="H79" s="239" t="str">
        <f t="shared" si="1"/>
        <v>Акция_Пр.88 (15мая-31июля25)</v>
      </c>
    </row>
    <row r="80" spans="1:8" x14ac:dyDescent="0.3">
      <c r="A80" s="128" t="s">
        <v>186</v>
      </c>
      <c r="B80" s="129" t="s">
        <v>10</v>
      </c>
      <c r="C80" s="129" t="s">
        <v>189</v>
      </c>
      <c r="D80" s="129" t="str">
        <f t="shared" si="3"/>
        <v>Главный Бухгалтер ПРОФЭКСПЕРТОПТИМАЛЬНЫЙ6</v>
      </c>
      <c r="E80" s="145">
        <v>0.05</v>
      </c>
      <c r="F80" s="144">
        <v>6</v>
      </c>
      <c r="G80" s="144" t="s">
        <v>231</v>
      </c>
      <c r="H80" s="239" t="str">
        <f t="shared" si="1"/>
        <v>Акция_Пр.88 (15мая-31июля25)</v>
      </c>
    </row>
    <row r="81" spans="1:8" x14ac:dyDescent="0.3">
      <c r="A81" s="128" t="s">
        <v>186</v>
      </c>
      <c r="B81" s="129" t="s">
        <v>11</v>
      </c>
      <c r="C81" s="129" t="s">
        <v>189</v>
      </c>
      <c r="D81" s="129" t="str">
        <f t="shared" si="3"/>
        <v>VIP ПредприятиеЭКСПЕРТОПТИМАЛЬНЫЙ6</v>
      </c>
      <c r="E81" s="145">
        <v>0.05</v>
      </c>
      <c r="F81" s="144">
        <v>6</v>
      </c>
      <c r="G81" s="144" t="s">
        <v>231</v>
      </c>
      <c r="H81" s="239" t="str">
        <f t="shared" si="1"/>
        <v>Акция_Пр.88 (15мая-31июля25)</v>
      </c>
    </row>
    <row r="82" spans="1:8" x14ac:dyDescent="0.3">
      <c r="A82" s="128" t="s">
        <v>186</v>
      </c>
      <c r="B82" s="129" t="s">
        <v>9</v>
      </c>
      <c r="C82" s="129" t="s">
        <v>190</v>
      </c>
      <c r="D82" s="129" t="str">
        <f t="shared" si="3"/>
        <v>Предприятие ПРОФЭКСПЕРТМИНИМАЛЬНЫЙ6</v>
      </c>
      <c r="E82" s="145">
        <v>0.05</v>
      </c>
      <c r="F82" s="144">
        <v>6</v>
      </c>
      <c r="G82" s="144" t="s">
        <v>231</v>
      </c>
      <c r="H82" s="239" t="str">
        <f t="shared" si="1"/>
        <v>Акция_Пр.88 (15мая-31июля25)</v>
      </c>
    </row>
    <row r="83" spans="1:8" x14ac:dyDescent="0.3">
      <c r="A83" s="128" t="s">
        <v>186</v>
      </c>
      <c r="B83" s="129" t="s">
        <v>4</v>
      </c>
      <c r="C83" s="129" t="s">
        <v>190</v>
      </c>
      <c r="D83" s="129" t="str">
        <f t="shared" si="3"/>
        <v>ПредприятиеЭКСПЕРТМИНИМАЛЬНЫЙ6</v>
      </c>
      <c r="E83" s="145">
        <v>0.05</v>
      </c>
      <c r="F83" s="144">
        <v>6</v>
      </c>
      <c r="G83" s="144" t="s">
        <v>231</v>
      </c>
      <c r="H83" s="239" t="str">
        <f t="shared" si="1"/>
        <v>Акция_Пр.88 (15мая-31июля25)</v>
      </c>
    </row>
    <row r="84" spans="1:8" x14ac:dyDescent="0.3">
      <c r="A84" s="128" t="s">
        <v>186</v>
      </c>
      <c r="B84" s="129" t="s">
        <v>10</v>
      </c>
      <c r="C84" s="129" t="s">
        <v>192</v>
      </c>
      <c r="D84" s="129" t="str">
        <f t="shared" si="3"/>
        <v>Главный Бухгалтер ПРОФЭКСПЕРТБАЗОВЫЙ6</v>
      </c>
      <c r="E84" s="145">
        <v>0.05</v>
      </c>
      <c r="F84" s="144">
        <v>6</v>
      </c>
      <c r="G84" s="144" t="s">
        <v>231</v>
      </c>
      <c r="H84" s="239" t="str">
        <f t="shared" si="1"/>
        <v>Акция_Пр.88 (15мая-31июля25)</v>
      </c>
    </row>
    <row r="85" spans="1:8" x14ac:dyDescent="0.3">
      <c r="A85" s="128" t="s">
        <v>186</v>
      </c>
      <c r="B85" s="129" t="s">
        <v>11</v>
      </c>
      <c r="C85" s="129" t="s">
        <v>190</v>
      </c>
      <c r="D85" s="129" t="str">
        <f t="shared" si="3"/>
        <v>VIP ПредприятиеЭКСПЕРТМИНИМАЛЬНЫЙ6</v>
      </c>
      <c r="E85" s="145">
        <v>0.05</v>
      </c>
      <c r="F85" s="144">
        <v>6</v>
      </c>
      <c r="G85" s="144" t="s">
        <v>231</v>
      </c>
      <c r="H85" s="239" t="str">
        <f t="shared" si="1"/>
        <v>Акция_Пр.88 (15мая-31июля25)</v>
      </c>
    </row>
    <row r="86" spans="1:8" x14ac:dyDescent="0.3">
      <c r="A86" s="128" t="s">
        <v>186</v>
      </c>
      <c r="B86" s="129" t="s">
        <v>9</v>
      </c>
      <c r="C86" s="129" t="s">
        <v>191</v>
      </c>
      <c r="D86" s="129" t="str">
        <f t="shared" si="3"/>
        <v>Предприятие ПРОФОПТИМАЛЬНЫЙМИНИМАЛЬНЫЙ</v>
      </c>
      <c r="E86" s="130"/>
      <c r="F86" s="129"/>
      <c r="G86" s="129"/>
      <c r="H86" s="138"/>
    </row>
    <row r="87" spans="1:8" x14ac:dyDescent="0.3">
      <c r="A87" s="128" t="s">
        <v>186</v>
      </c>
      <c r="B87" s="129" t="s">
        <v>4</v>
      </c>
      <c r="C87" s="129" t="s">
        <v>191</v>
      </c>
      <c r="D87" s="129" t="str">
        <f t="shared" si="3"/>
        <v>ПредприятиеОПТИМАЛЬНЫЙМИНИМАЛЬНЫЙ</v>
      </c>
      <c r="E87" s="130"/>
      <c r="F87" s="129"/>
      <c r="G87" s="129"/>
      <c r="H87" s="138"/>
    </row>
    <row r="88" spans="1:8" x14ac:dyDescent="0.3">
      <c r="A88" s="128" t="s">
        <v>186</v>
      </c>
      <c r="B88" s="129" t="s">
        <v>10</v>
      </c>
      <c r="C88" s="129" t="s">
        <v>234</v>
      </c>
      <c r="D88" s="129" t="str">
        <f t="shared" si="3"/>
        <v>Главный Бухгалтер ПРОФОПТИМАЛЬНЫЙБАЗОВЫЙ</v>
      </c>
      <c r="E88" s="130"/>
      <c r="F88" s="129"/>
      <c r="G88" s="129"/>
      <c r="H88" s="138"/>
    </row>
    <row r="89" spans="1:8" x14ac:dyDescent="0.3">
      <c r="A89" s="128" t="s">
        <v>186</v>
      </c>
      <c r="B89" s="129" t="s">
        <v>11</v>
      </c>
      <c r="C89" s="129" t="s">
        <v>191</v>
      </c>
      <c r="D89" s="129" t="str">
        <f t="shared" si="3"/>
        <v>VIP ПредприятиеОПТИМАЛЬНЫЙМИНИМАЛЬНЫЙ</v>
      </c>
      <c r="E89" s="130"/>
      <c r="F89" s="129"/>
      <c r="G89" s="129"/>
      <c r="H89" s="138"/>
    </row>
    <row r="90" spans="1:8" x14ac:dyDescent="0.3">
      <c r="A90" s="128" t="s">
        <v>186</v>
      </c>
      <c r="B90" s="129" t="s">
        <v>9</v>
      </c>
      <c r="C90" s="129" t="s">
        <v>194</v>
      </c>
      <c r="D90" s="129" t="str">
        <f t="shared" si="3"/>
        <v>Предприятие ПРОФЭКСПЕРТОПТИМАЛЬНЫЙМИНИМАЛЬНЫЙ6</v>
      </c>
      <c r="E90" s="151">
        <v>0.05</v>
      </c>
      <c r="F90" s="152">
        <v>6</v>
      </c>
      <c r="G90" s="152" t="s">
        <v>231</v>
      </c>
      <c r="H90" s="239" t="str">
        <f t="shared" si="1"/>
        <v>Акция_Пр.88 (15мая-31июля25)</v>
      </c>
    </row>
    <row r="91" spans="1:8" x14ac:dyDescent="0.3">
      <c r="A91" s="128" t="s">
        <v>186</v>
      </c>
      <c r="B91" s="129" t="s">
        <v>4</v>
      </c>
      <c r="C91" s="129" t="s">
        <v>194</v>
      </c>
      <c r="D91" s="129" t="str">
        <f t="shared" si="3"/>
        <v>ПредприятиеЭКСПЕРТОПТИМАЛЬНЫЙМИНИМАЛЬНЫЙ6</v>
      </c>
      <c r="E91" s="151">
        <v>0.05</v>
      </c>
      <c r="F91" s="152">
        <v>6</v>
      </c>
      <c r="G91" s="152" t="s">
        <v>231</v>
      </c>
      <c r="H91" s="239" t="str">
        <f t="shared" si="1"/>
        <v>Акция_Пр.88 (15мая-31июля25)</v>
      </c>
    </row>
    <row r="92" spans="1:8" x14ac:dyDescent="0.3">
      <c r="A92" s="128" t="s">
        <v>186</v>
      </c>
      <c r="B92" s="129" t="s">
        <v>10</v>
      </c>
      <c r="C92" s="129" t="s">
        <v>195</v>
      </c>
      <c r="D92" s="129" t="str">
        <f t="shared" si="3"/>
        <v>Главный Бухгалтер ПРОФЭКСПЕРТОПТИМАЛЬНЫЙБАЗОВЫЙ6</v>
      </c>
      <c r="E92" s="151">
        <v>0.05</v>
      </c>
      <c r="F92" s="152">
        <v>6</v>
      </c>
      <c r="G92" s="152" t="s">
        <v>231</v>
      </c>
      <c r="H92" s="239" t="str">
        <f t="shared" si="1"/>
        <v>Акция_Пр.88 (15мая-31июля25)</v>
      </c>
    </row>
    <row r="93" spans="1:8" x14ac:dyDescent="0.3">
      <c r="A93" s="128" t="s">
        <v>186</v>
      </c>
      <c r="B93" s="129" t="s">
        <v>11</v>
      </c>
      <c r="C93" s="129" t="s">
        <v>194</v>
      </c>
      <c r="D93" s="129" t="str">
        <f t="shared" si="3"/>
        <v>VIP ПредприятиеЭКСПЕРТОПТИМАЛЬНЫЙМИНИМАЛЬНЫЙ6</v>
      </c>
      <c r="E93" s="151">
        <v>0.05</v>
      </c>
      <c r="F93" s="152">
        <v>6</v>
      </c>
      <c r="G93" s="152" t="s">
        <v>231</v>
      </c>
      <c r="H93" s="239" t="str">
        <f t="shared" si="1"/>
        <v>Акция_Пр.88 (15мая-31июля25)</v>
      </c>
    </row>
    <row r="94" spans="1:8" x14ac:dyDescent="0.3">
      <c r="A94" s="128" t="s">
        <v>187</v>
      </c>
      <c r="B94" s="129" t="s">
        <v>50</v>
      </c>
      <c r="C94" s="129" t="s">
        <v>20</v>
      </c>
      <c r="D94" s="129" t="str">
        <f t="shared" ref="D94:D112" si="4">_xlfn.CONCAT(B94,C94,F94)</f>
        <v>Предприятие (1 пользователь)ЭКСПЕРТ7</v>
      </c>
      <c r="E94" s="325">
        <v>0.05</v>
      </c>
      <c r="F94" s="144">
        <v>7</v>
      </c>
      <c r="G94" s="144" t="s">
        <v>231</v>
      </c>
      <c r="H94" s="239" t="str">
        <f t="shared" si="1"/>
        <v>Акция_Пр.88 (15мая-31июля25)</v>
      </c>
    </row>
    <row r="95" spans="1:8" x14ac:dyDescent="0.3">
      <c r="A95" s="128" t="s">
        <v>187</v>
      </c>
      <c r="B95" s="129" t="s">
        <v>51</v>
      </c>
      <c r="C95" s="129" t="s">
        <v>20</v>
      </c>
      <c r="D95" s="129" t="str">
        <f t="shared" si="4"/>
        <v>Предприятие ПРОФ (1 пользователь)ЭКСПЕРТ7</v>
      </c>
      <c r="E95" s="145">
        <v>0.05</v>
      </c>
      <c r="F95" s="144">
        <v>7</v>
      </c>
      <c r="G95" s="144" t="s">
        <v>231</v>
      </c>
      <c r="H95" s="239" t="str">
        <f t="shared" si="1"/>
        <v>Акция_Пр.88 (15мая-31июля25)</v>
      </c>
    </row>
    <row r="96" spans="1:8" x14ac:dyDescent="0.3">
      <c r="A96" s="128" t="s">
        <v>187</v>
      </c>
      <c r="B96" s="129" t="s">
        <v>49</v>
      </c>
      <c r="C96" s="129" t="s">
        <v>20</v>
      </c>
      <c r="D96" s="129" t="str">
        <f t="shared" si="4"/>
        <v>Главный Бухгалтер ПРОФ (1 пользователь)ЭКСПЕРТ7</v>
      </c>
      <c r="E96" s="145">
        <v>0.05</v>
      </c>
      <c r="F96" s="144">
        <v>7</v>
      </c>
      <c r="G96" s="144" t="s">
        <v>231</v>
      </c>
      <c r="H96" s="239" t="str">
        <f t="shared" si="1"/>
        <v>Акция_Пр.88 (15мая-31июля25)</v>
      </c>
    </row>
    <row r="97" spans="1:8" x14ac:dyDescent="0.3">
      <c r="A97" s="128" t="s">
        <v>187</v>
      </c>
      <c r="B97" s="129" t="s">
        <v>73</v>
      </c>
      <c r="C97" s="129" t="s">
        <v>20</v>
      </c>
      <c r="D97" s="129" t="str">
        <f t="shared" si="4"/>
        <v>VIP Предприятие (1 пользователь)ЭКСПЕРТ7</v>
      </c>
      <c r="E97" s="145">
        <v>0.05</v>
      </c>
      <c r="F97" s="144">
        <v>7</v>
      </c>
      <c r="G97" s="144" t="s">
        <v>231</v>
      </c>
      <c r="H97" s="239" t="str">
        <f t="shared" si="1"/>
        <v>Акция_Пр.88 (15мая-31июля25)</v>
      </c>
    </row>
    <row r="98" spans="1:8" x14ac:dyDescent="0.3">
      <c r="A98" s="128" t="s">
        <v>187</v>
      </c>
      <c r="B98" s="129" t="s">
        <v>314</v>
      </c>
      <c r="C98" s="129" t="s">
        <v>20</v>
      </c>
      <c r="D98" s="129" t="str">
        <f t="shared" si="4"/>
        <v>Пакет Программ Главный Бухгалтер, Podpis (1 пользователь, ЛД)ЭКСПЕРТ7</v>
      </c>
      <c r="E98" s="145">
        <v>0.2</v>
      </c>
      <c r="F98" s="144">
        <v>7</v>
      </c>
      <c r="G98" s="129"/>
      <c r="H98" s="239" t="str">
        <f t="shared" si="1"/>
        <v>Акция_Пр.88 (15мая-31июля25)</v>
      </c>
    </row>
    <row r="99" spans="1:8" x14ac:dyDescent="0.3">
      <c r="A99" s="128" t="s">
        <v>187</v>
      </c>
      <c r="B99" s="129" t="s">
        <v>312</v>
      </c>
      <c r="C99" s="129" t="s">
        <v>20</v>
      </c>
      <c r="D99" s="129" t="str">
        <f t="shared" si="4"/>
        <v>Пакет Программ Главный Бухгалтер, Podpis, ilex.Накладные (1 пользователь, ЛД)ЭКСПЕРТ7</v>
      </c>
      <c r="E99" s="145">
        <v>0.2</v>
      </c>
      <c r="F99" s="144">
        <v>7</v>
      </c>
      <c r="G99" s="129"/>
      <c r="H99" s="239" t="str">
        <f t="shared" si="1"/>
        <v>Акция_Пр.88 (15мая-31июля25)</v>
      </c>
    </row>
    <row r="100" spans="1:8" x14ac:dyDescent="0.3">
      <c r="A100" s="128" t="s">
        <v>187</v>
      </c>
      <c r="B100" s="129" t="s">
        <v>315</v>
      </c>
      <c r="C100" s="129" t="s">
        <v>20</v>
      </c>
      <c r="D100" s="129" t="str">
        <f t="shared" si="4"/>
        <v>Пакет Программ Главный Бухгалтер ПРОФ, Podpis (1 пользователь, ЛД)ЭКСПЕРТ7</v>
      </c>
      <c r="E100" s="145">
        <v>0.2</v>
      </c>
      <c r="F100" s="144">
        <v>7</v>
      </c>
      <c r="G100" s="129"/>
      <c r="H100" s="239" t="str">
        <f t="shared" si="1"/>
        <v>Акция_Пр.88 (15мая-31июля25)</v>
      </c>
    </row>
    <row r="101" spans="1:8" x14ac:dyDescent="0.3">
      <c r="A101" s="128" t="s">
        <v>187</v>
      </c>
      <c r="B101" s="129" t="s">
        <v>313</v>
      </c>
      <c r="C101" s="129" t="s">
        <v>20</v>
      </c>
      <c r="D101" s="129" t="str">
        <f t="shared" si="4"/>
        <v>Пакет Программ Главный Бухгалтер ПРОФ, Podpis, ilex.Накладные (1 пользователь, ЛД)ЭКСПЕРТ7</v>
      </c>
      <c r="E101" s="145">
        <v>0.2</v>
      </c>
      <c r="F101" s="144">
        <v>7</v>
      </c>
      <c r="G101" s="129"/>
      <c r="H101" s="239" t="str">
        <f t="shared" si="1"/>
        <v>Акция_Пр.88 (15мая-31июля25)</v>
      </c>
    </row>
    <row r="102" spans="1:8" x14ac:dyDescent="0.3">
      <c r="A102" s="128" t="s">
        <v>187</v>
      </c>
      <c r="B102" s="129" t="s">
        <v>314</v>
      </c>
      <c r="C102" s="129" t="s">
        <v>188</v>
      </c>
      <c r="D102" s="129" t="str">
        <f t="shared" si="4"/>
        <v>Пакет Программ Главный Бухгалтер, Podpis (1 пользователь, ЛД)ОПТИМАЛЬНЫЙ ПЛЮС7</v>
      </c>
      <c r="E102" s="145">
        <v>0.15</v>
      </c>
      <c r="F102" s="144">
        <v>7</v>
      </c>
      <c r="G102" s="129"/>
      <c r="H102" s="239" t="str">
        <f t="shared" si="1"/>
        <v>Акция_Пр.88 (15мая-31июля25)</v>
      </c>
    </row>
    <row r="103" spans="1:8" x14ac:dyDescent="0.3">
      <c r="A103" s="128" t="s">
        <v>187</v>
      </c>
      <c r="B103" s="129" t="s">
        <v>312</v>
      </c>
      <c r="C103" s="129" t="s">
        <v>188</v>
      </c>
      <c r="D103" s="129" t="str">
        <f t="shared" si="4"/>
        <v>Пакет Программ Главный Бухгалтер, Podpis, ilex.Накладные (1 пользователь, ЛД)ОПТИМАЛЬНЫЙ ПЛЮС7</v>
      </c>
      <c r="E103" s="145">
        <v>0.15</v>
      </c>
      <c r="F103" s="144">
        <v>7</v>
      </c>
      <c r="G103" s="129"/>
      <c r="H103" s="239" t="str">
        <f t="shared" si="1"/>
        <v>Акция_Пр.88 (15мая-31июля25)</v>
      </c>
    </row>
    <row r="104" spans="1:8" x14ac:dyDescent="0.3">
      <c r="A104" s="128" t="s">
        <v>187</v>
      </c>
      <c r="B104" s="129" t="s">
        <v>315</v>
      </c>
      <c r="C104" s="129" t="s">
        <v>188</v>
      </c>
      <c r="D104" s="129" t="str">
        <f t="shared" si="4"/>
        <v>Пакет Программ Главный Бухгалтер ПРОФ, Podpis (1 пользователь, ЛД)ОПТИМАЛЬНЫЙ ПЛЮС7</v>
      </c>
      <c r="E104" s="145">
        <v>0.15</v>
      </c>
      <c r="F104" s="144">
        <v>7</v>
      </c>
      <c r="G104" s="129"/>
      <c r="H104" s="239" t="str">
        <f t="shared" si="1"/>
        <v>Акция_Пр.88 (15мая-31июля25)</v>
      </c>
    </row>
    <row r="105" spans="1:8" x14ac:dyDescent="0.3">
      <c r="A105" s="128" t="s">
        <v>187</v>
      </c>
      <c r="B105" s="129" t="s">
        <v>313</v>
      </c>
      <c r="C105" s="129" t="s">
        <v>188</v>
      </c>
      <c r="D105" s="129" t="str">
        <f t="shared" si="4"/>
        <v>Пакет Программ Главный Бухгалтер ПРОФ, Podpis, ilex.Накладные (1 пользователь, ЛД)ОПТИМАЛЬНЫЙ ПЛЮС7</v>
      </c>
      <c r="E105" s="145">
        <v>0.15</v>
      </c>
      <c r="F105" s="144">
        <v>7</v>
      </c>
      <c r="G105" s="129"/>
      <c r="H105" s="239" t="str">
        <f t="shared" si="1"/>
        <v>Акция_Пр.88 (15мая-31июля25)</v>
      </c>
    </row>
    <row r="106" spans="1:8" x14ac:dyDescent="0.3">
      <c r="A106" s="128" t="s">
        <v>187</v>
      </c>
      <c r="B106" s="129" t="s">
        <v>50</v>
      </c>
      <c r="C106" s="129" t="s">
        <v>21</v>
      </c>
      <c r="D106" s="129" t="str">
        <f t="shared" si="4"/>
        <v>Предприятие (1 пользователь)ОПТИМАЛЬНЫЙ7</v>
      </c>
      <c r="E106" s="325">
        <v>0.05</v>
      </c>
      <c r="F106" s="144">
        <v>7</v>
      </c>
      <c r="G106" s="144" t="s">
        <v>231</v>
      </c>
      <c r="H106" s="239" t="str">
        <f t="shared" si="1"/>
        <v>Акция_Пр.88 (15мая-31июля25)</v>
      </c>
    </row>
    <row r="107" spans="1:8" x14ac:dyDescent="0.3">
      <c r="A107" s="128" t="s">
        <v>187</v>
      </c>
      <c r="B107" s="129" t="s">
        <v>51</v>
      </c>
      <c r="C107" s="129" t="s">
        <v>21</v>
      </c>
      <c r="D107" s="129" t="str">
        <f t="shared" si="4"/>
        <v>Предприятие ПРОФ (1 пользователь)ОПТИМАЛЬНЫЙ7</v>
      </c>
      <c r="E107" s="145">
        <v>0.05</v>
      </c>
      <c r="F107" s="144">
        <v>7</v>
      </c>
      <c r="G107" s="144" t="s">
        <v>231</v>
      </c>
      <c r="H107" s="239" t="str">
        <f t="shared" si="1"/>
        <v>Акция_Пр.88 (15мая-31июля25)</v>
      </c>
    </row>
    <row r="108" spans="1:8" x14ac:dyDescent="0.3">
      <c r="A108" s="128" t="s">
        <v>187</v>
      </c>
      <c r="B108" s="129" t="s">
        <v>73</v>
      </c>
      <c r="C108" s="129" t="s">
        <v>21</v>
      </c>
      <c r="D108" s="129" t="str">
        <f t="shared" si="4"/>
        <v>VIP Предприятие (1 пользователь)ОПТИМАЛЬНЫЙ7</v>
      </c>
      <c r="E108" s="145">
        <v>0.05</v>
      </c>
      <c r="F108" s="144">
        <v>7</v>
      </c>
      <c r="G108" s="144" t="s">
        <v>231</v>
      </c>
      <c r="H108" s="239" t="str">
        <f t="shared" si="1"/>
        <v>Акция_Пр.88 (15мая-31июля25)</v>
      </c>
    </row>
    <row r="109" spans="1:8" x14ac:dyDescent="0.3">
      <c r="A109" s="128" t="s">
        <v>187</v>
      </c>
      <c r="B109" s="129" t="s">
        <v>314</v>
      </c>
      <c r="C109" s="129" t="s">
        <v>21</v>
      </c>
      <c r="D109" s="129" t="str">
        <f t="shared" si="4"/>
        <v>Пакет Программ Главный Бухгалтер, Podpis (1 пользователь, ЛД)ОПТИМАЛЬНЫЙ7</v>
      </c>
      <c r="E109" s="130"/>
      <c r="F109" s="129">
        <v>7</v>
      </c>
      <c r="G109" s="129"/>
      <c r="H109" s="138"/>
    </row>
    <row r="110" spans="1:8" x14ac:dyDescent="0.3">
      <c r="A110" s="128" t="s">
        <v>187</v>
      </c>
      <c r="B110" s="129" t="s">
        <v>312</v>
      </c>
      <c r="C110" s="129" t="s">
        <v>21</v>
      </c>
      <c r="D110" s="129" t="str">
        <f t="shared" si="4"/>
        <v>Пакет Программ Главный Бухгалтер, Podpis, ilex.Накладные (1 пользователь, ЛД)ОПТИМАЛЬНЫЙ7</v>
      </c>
      <c r="E110" s="130"/>
      <c r="F110" s="129">
        <v>7</v>
      </c>
      <c r="G110" s="129"/>
      <c r="H110" s="138"/>
    </row>
    <row r="111" spans="1:8" x14ac:dyDescent="0.3">
      <c r="A111" s="128" t="s">
        <v>187</v>
      </c>
      <c r="B111" s="129" t="s">
        <v>315</v>
      </c>
      <c r="C111" s="129" t="s">
        <v>21</v>
      </c>
      <c r="D111" s="129" t="str">
        <f t="shared" si="4"/>
        <v>Пакет Программ Главный Бухгалтер ПРОФ, Podpis (1 пользователь, ЛД)ОПТИМАЛЬНЫЙ7</v>
      </c>
      <c r="E111" s="145">
        <v>0.15</v>
      </c>
      <c r="F111" s="144">
        <v>7</v>
      </c>
      <c r="G111" s="129"/>
      <c r="H111" s="239" t="str">
        <f t="shared" si="1"/>
        <v>Акция_Пр.88 (15мая-31июля25)</v>
      </c>
    </row>
    <row r="112" spans="1:8" x14ac:dyDescent="0.3">
      <c r="A112" s="128" t="s">
        <v>187</v>
      </c>
      <c r="B112" s="129" t="s">
        <v>313</v>
      </c>
      <c r="C112" s="129" t="s">
        <v>21</v>
      </c>
      <c r="D112" s="129" t="str">
        <f t="shared" si="4"/>
        <v>Пакет Программ Главный Бухгалтер ПРОФ, Podpis, ilex.Накладные (1 пользователь, ЛД)ОПТИМАЛЬНЫЙ7</v>
      </c>
      <c r="E112" s="145">
        <v>0.15</v>
      </c>
      <c r="F112" s="144">
        <v>7</v>
      </c>
      <c r="G112" s="129"/>
      <c r="H112" s="239" t="str">
        <f t="shared" si="1"/>
        <v>Акция_Пр.88 (15мая-31июля25)</v>
      </c>
    </row>
    <row r="113" spans="1:8" x14ac:dyDescent="0.3">
      <c r="A113" s="128" t="s">
        <v>186</v>
      </c>
      <c r="B113" s="129" t="s">
        <v>9</v>
      </c>
      <c r="C113" s="129" t="s">
        <v>20</v>
      </c>
      <c r="D113" s="129" t="str">
        <f t="shared" ref="D113:D136" si="5">CONCATENATE(B113,C113,F113)</f>
        <v>Предприятие ПРОФЭКСПЕРТ7</v>
      </c>
      <c r="E113" s="145">
        <v>0.05</v>
      </c>
      <c r="F113" s="144">
        <v>7</v>
      </c>
      <c r="G113" s="144" t="s">
        <v>231</v>
      </c>
      <c r="H113" s="239" t="str">
        <f t="shared" si="1"/>
        <v>Акция_Пр.88 (15мая-31июля25)</v>
      </c>
    </row>
    <row r="114" spans="1:8" x14ac:dyDescent="0.3">
      <c r="A114" s="128" t="s">
        <v>186</v>
      </c>
      <c r="B114" s="129" t="s">
        <v>4</v>
      </c>
      <c r="C114" s="129" t="s">
        <v>20</v>
      </c>
      <c r="D114" s="129" t="str">
        <f t="shared" si="5"/>
        <v>ПредприятиеЭКСПЕРТ7</v>
      </c>
      <c r="E114" s="145">
        <v>0.05</v>
      </c>
      <c r="F114" s="144">
        <v>7</v>
      </c>
      <c r="G114" s="144" t="s">
        <v>231</v>
      </c>
      <c r="H114" s="239" t="str">
        <f t="shared" si="1"/>
        <v>Акция_Пр.88 (15мая-31июля25)</v>
      </c>
    </row>
    <row r="115" spans="1:8" x14ac:dyDescent="0.3">
      <c r="A115" s="128" t="s">
        <v>186</v>
      </c>
      <c r="B115" s="129" t="s">
        <v>10</v>
      </c>
      <c r="C115" s="129" t="s">
        <v>20</v>
      </c>
      <c r="D115" s="129" t="str">
        <f t="shared" si="5"/>
        <v>Главный Бухгалтер ПРОФЭКСПЕРТ7</v>
      </c>
      <c r="E115" s="145">
        <v>0.05</v>
      </c>
      <c r="F115" s="144">
        <v>7</v>
      </c>
      <c r="G115" s="144" t="s">
        <v>231</v>
      </c>
      <c r="H115" s="239" t="str">
        <f t="shared" si="1"/>
        <v>Акция_Пр.88 (15мая-31июля25)</v>
      </c>
    </row>
    <row r="116" spans="1:8" x14ac:dyDescent="0.3">
      <c r="A116" s="128" t="s">
        <v>186</v>
      </c>
      <c r="B116" s="129" t="s">
        <v>11</v>
      </c>
      <c r="C116" s="129" t="s">
        <v>20</v>
      </c>
      <c r="D116" s="129" t="str">
        <f t="shared" si="5"/>
        <v>VIP ПредприятиеЭКСПЕРТ7</v>
      </c>
      <c r="E116" s="145">
        <v>0.05</v>
      </c>
      <c r="F116" s="144">
        <v>7</v>
      </c>
      <c r="G116" s="144" t="s">
        <v>231</v>
      </c>
      <c r="H116" s="239" t="str">
        <f t="shared" si="1"/>
        <v>Акция_Пр.88 (15мая-31июля25)</v>
      </c>
    </row>
    <row r="117" spans="1:8" x14ac:dyDescent="0.3">
      <c r="A117" s="128" t="s">
        <v>186</v>
      </c>
      <c r="B117" s="129" t="s">
        <v>9</v>
      </c>
      <c r="C117" s="129" t="s">
        <v>21</v>
      </c>
      <c r="D117" s="129" t="str">
        <f t="shared" si="5"/>
        <v>Предприятие ПРОФОПТИМАЛЬНЫЙ7</v>
      </c>
      <c r="E117" s="145">
        <v>0.05</v>
      </c>
      <c r="F117" s="144">
        <v>7</v>
      </c>
      <c r="G117" s="144" t="s">
        <v>231</v>
      </c>
      <c r="H117" s="239" t="str">
        <f t="shared" si="1"/>
        <v>Акция_Пр.88 (15мая-31июля25)</v>
      </c>
    </row>
    <row r="118" spans="1:8" x14ac:dyDescent="0.3">
      <c r="A118" s="128" t="s">
        <v>186</v>
      </c>
      <c r="B118" s="129" t="s">
        <v>4</v>
      </c>
      <c r="C118" s="129" t="s">
        <v>21</v>
      </c>
      <c r="D118" s="129" t="str">
        <f t="shared" si="5"/>
        <v>ПредприятиеОПТИМАЛЬНЫЙ7</v>
      </c>
      <c r="E118" s="145">
        <v>0.05</v>
      </c>
      <c r="F118" s="144">
        <v>7</v>
      </c>
      <c r="G118" s="144" t="s">
        <v>231</v>
      </c>
      <c r="H118" s="239" t="str">
        <f t="shared" si="1"/>
        <v>Акция_Пр.88 (15мая-31июля25)</v>
      </c>
    </row>
    <row r="119" spans="1:8" x14ac:dyDescent="0.3">
      <c r="A119" s="128" t="s">
        <v>186</v>
      </c>
      <c r="B119" s="129" t="s">
        <v>10</v>
      </c>
      <c r="C119" s="129" t="s">
        <v>21</v>
      </c>
      <c r="D119" s="129" t="str">
        <f t="shared" si="5"/>
        <v>Главный Бухгалтер ПРОФОПТИМАЛЬНЫЙ7</v>
      </c>
      <c r="E119" s="145">
        <v>0.05</v>
      </c>
      <c r="F119" s="144">
        <v>7</v>
      </c>
      <c r="G119" s="144" t="s">
        <v>231</v>
      </c>
      <c r="H119" s="239" t="str">
        <f t="shared" si="1"/>
        <v>Акция_Пр.88 (15мая-31июля25)</v>
      </c>
    </row>
    <row r="120" spans="1:8" x14ac:dyDescent="0.3">
      <c r="A120" s="128" t="s">
        <v>186</v>
      </c>
      <c r="B120" s="129" t="s">
        <v>11</v>
      </c>
      <c r="C120" s="129" t="s">
        <v>21</v>
      </c>
      <c r="D120" s="129" t="str">
        <f t="shared" si="5"/>
        <v>VIP ПредприятиеОПТИМАЛЬНЫЙ7</v>
      </c>
      <c r="E120" s="145">
        <v>0.05</v>
      </c>
      <c r="F120" s="144">
        <v>7</v>
      </c>
      <c r="G120" s="144" t="s">
        <v>231</v>
      </c>
      <c r="H120" s="239" t="str">
        <f t="shared" si="1"/>
        <v>Акция_Пр.88 (15мая-31июля25)</v>
      </c>
    </row>
    <row r="121" spans="1:8" x14ac:dyDescent="0.3">
      <c r="A121" s="128" t="s">
        <v>186</v>
      </c>
      <c r="B121" s="129" t="s">
        <v>9</v>
      </c>
      <c r="C121" s="129" t="s">
        <v>189</v>
      </c>
      <c r="D121" s="129" t="str">
        <f t="shared" si="5"/>
        <v>Предприятие ПРОФЭКСПЕРТОПТИМАЛЬНЫЙ7</v>
      </c>
      <c r="E121" s="145">
        <v>0.05</v>
      </c>
      <c r="F121" s="144">
        <v>7</v>
      </c>
      <c r="G121" s="144" t="s">
        <v>231</v>
      </c>
      <c r="H121" s="239" t="str">
        <f t="shared" si="1"/>
        <v>Акция_Пр.88 (15мая-31июля25)</v>
      </c>
    </row>
    <row r="122" spans="1:8" x14ac:dyDescent="0.3">
      <c r="A122" s="128" t="s">
        <v>186</v>
      </c>
      <c r="B122" s="129" t="s">
        <v>4</v>
      </c>
      <c r="C122" s="129" t="s">
        <v>189</v>
      </c>
      <c r="D122" s="129" t="str">
        <f t="shared" si="5"/>
        <v>ПредприятиеЭКСПЕРТОПТИМАЛЬНЫЙ7</v>
      </c>
      <c r="E122" s="145">
        <v>0.05</v>
      </c>
      <c r="F122" s="144">
        <v>7</v>
      </c>
      <c r="G122" s="144" t="s">
        <v>231</v>
      </c>
      <c r="H122" s="239" t="str">
        <f t="shared" si="1"/>
        <v>Акция_Пр.88 (15мая-31июля25)</v>
      </c>
    </row>
    <row r="123" spans="1:8" x14ac:dyDescent="0.3">
      <c r="A123" s="128" t="s">
        <v>186</v>
      </c>
      <c r="B123" s="129" t="s">
        <v>10</v>
      </c>
      <c r="C123" s="129" t="s">
        <v>189</v>
      </c>
      <c r="D123" s="129" t="str">
        <f t="shared" si="5"/>
        <v>Главный Бухгалтер ПРОФЭКСПЕРТОПТИМАЛЬНЫЙ7</v>
      </c>
      <c r="E123" s="145">
        <v>0.05</v>
      </c>
      <c r="F123" s="144">
        <v>7</v>
      </c>
      <c r="G123" s="144" t="s">
        <v>231</v>
      </c>
      <c r="H123" s="239" t="str">
        <f t="shared" si="1"/>
        <v>Акция_Пр.88 (15мая-31июля25)</v>
      </c>
    </row>
    <row r="124" spans="1:8" x14ac:dyDescent="0.3">
      <c r="A124" s="128" t="s">
        <v>186</v>
      </c>
      <c r="B124" s="129" t="s">
        <v>11</v>
      </c>
      <c r="C124" s="129" t="s">
        <v>189</v>
      </c>
      <c r="D124" s="129" t="str">
        <f t="shared" si="5"/>
        <v>VIP ПредприятиеЭКСПЕРТОПТИМАЛЬНЫЙ7</v>
      </c>
      <c r="E124" s="145">
        <v>0.05</v>
      </c>
      <c r="F124" s="144">
        <v>7</v>
      </c>
      <c r="G124" s="144" t="s">
        <v>231</v>
      </c>
      <c r="H124" s="239" t="str">
        <f t="shared" si="1"/>
        <v>Акция_Пр.88 (15мая-31июля25)</v>
      </c>
    </row>
    <row r="125" spans="1:8" x14ac:dyDescent="0.3">
      <c r="A125" s="128" t="s">
        <v>186</v>
      </c>
      <c r="B125" s="129" t="s">
        <v>9</v>
      </c>
      <c r="C125" s="129" t="s">
        <v>190</v>
      </c>
      <c r="D125" s="129" t="str">
        <f t="shared" si="5"/>
        <v>Предприятие ПРОФЭКСПЕРТМИНИМАЛЬНЫЙ7</v>
      </c>
      <c r="E125" s="145">
        <v>0.05</v>
      </c>
      <c r="F125" s="144">
        <v>7</v>
      </c>
      <c r="G125" s="144" t="s">
        <v>231</v>
      </c>
      <c r="H125" s="239" t="str">
        <f t="shared" ref="H125:H194" si="6">$B$42</f>
        <v>Акция_Пр.88 (15мая-31июля25)</v>
      </c>
    </row>
    <row r="126" spans="1:8" x14ac:dyDescent="0.3">
      <c r="A126" s="128" t="s">
        <v>186</v>
      </c>
      <c r="B126" s="129" t="s">
        <v>4</v>
      </c>
      <c r="C126" s="129" t="s">
        <v>190</v>
      </c>
      <c r="D126" s="129" t="str">
        <f t="shared" si="5"/>
        <v>ПредприятиеЭКСПЕРТМИНИМАЛЬНЫЙ7</v>
      </c>
      <c r="E126" s="145">
        <v>0.05</v>
      </c>
      <c r="F126" s="144">
        <v>7</v>
      </c>
      <c r="G126" s="144" t="s">
        <v>231</v>
      </c>
      <c r="H126" s="239" t="str">
        <f t="shared" si="6"/>
        <v>Акция_Пр.88 (15мая-31июля25)</v>
      </c>
    </row>
    <row r="127" spans="1:8" x14ac:dyDescent="0.3">
      <c r="A127" s="128" t="s">
        <v>186</v>
      </c>
      <c r="B127" s="129" t="s">
        <v>10</v>
      </c>
      <c r="C127" s="129" t="s">
        <v>192</v>
      </c>
      <c r="D127" s="129" t="str">
        <f t="shared" si="5"/>
        <v>Главный Бухгалтер ПРОФЭКСПЕРТБАЗОВЫЙ7</v>
      </c>
      <c r="E127" s="145">
        <v>0.05</v>
      </c>
      <c r="F127" s="144">
        <v>7</v>
      </c>
      <c r="G127" s="144" t="s">
        <v>231</v>
      </c>
      <c r="H127" s="239" t="str">
        <f t="shared" si="6"/>
        <v>Акция_Пр.88 (15мая-31июля25)</v>
      </c>
    </row>
    <row r="128" spans="1:8" x14ac:dyDescent="0.3">
      <c r="A128" s="128" t="s">
        <v>186</v>
      </c>
      <c r="B128" s="129" t="s">
        <v>11</v>
      </c>
      <c r="C128" s="129" t="s">
        <v>190</v>
      </c>
      <c r="D128" s="129" t="str">
        <f t="shared" si="5"/>
        <v>VIP ПредприятиеЭКСПЕРТМИНИМАЛЬНЫЙ7</v>
      </c>
      <c r="E128" s="145">
        <v>0.05</v>
      </c>
      <c r="F128" s="144">
        <v>7</v>
      </c>
      <c r="G128" s="144" t="s">
        <v>231</v>
      </c>
      <c r="H128" s="239" t="str">
        <f t="shared" si="6"/>
        <v>Акция_Пр.88 (15мая-31июля25)</v>
      </c>
    </row>
    <row r="129" spans="1:8" x14ac:dyDescent="0.3">
      <c r="A129" s="128" t="s">
        <v>186</v>
      </c>
      <c r="B129" s="129" t="s">
        <v>9</v>
      </c>
      <c r="C129" s="129" t="s">
        <v>191</v>
      </c>
      <c r="D129" s="129" t="str">
        <f t="shared" si="5"/>
        <v>Предприятие ПРОФОПТИМАЛЬНЫЙМИНИМАЛЬНЫЙ</v>
      </c>
      <c r="E129" s="130"/>
      <c r="F129" s="129"/>
      <c r="G129" s="129"/>
      <c r="H129" s="138"/>
    </row>
    <row r="130" spans="1:8" x14ac:dyDescent="0.3">
      <c r="A130" s="128" t="s">
        <v>186</v>
      </c>
      <c r="B130" s="129" t="s">
        <v>4</v>
      </c>
      <c r="C130" s="129" t="s">
        <v>191</v>
      </c>
      <c r="D130" s="129" t="str">
        <f t="shared" si="5"/>
        <v>ПредприятиеОПТИМАЛЬНЫЙМИНИМАЛЬНЫЙ</v>
      </c>
      <c r="E130" s="130"/>
      <c r="F130" s="129"/>
      <c r="G130" s="129"/>
      <c r="H130" s="138"/>
    </row>
    <row r="131" spans="1:8" x14ac:dyDescent="0.3">
      <c r="A131" s="128" t="s">
        <v>186</v>
      </c>
      <c r="B131" s="129" t="s">
        <v>10</v>
      </c>
      <c r="C131" s="129" t="s">
        <v>234</v>
      </c>
      <c r="D131" s="129" t="str">
        <f t="shared" si="5"/>
        <v>Главный Бухгалтер ПРОФОПТИМАЛЬНЫЙБАЗОВЫЙ</v>
      </c>
      <c r="E131" s="130"/>
      <c r="F131" s="129"/>
      <c r="G131" s="129"/>
      <c r="H131" s="138"/>
    </row>
    <row r="132" spans="1:8" x14ac:dyDescent="0.3">
      <c r="A132" s="128" t="s">
        <v>186</v>
      </c>
      <c r="B132" s="129" t="s">
        <v>11</v>
      </c>
      <c r="C132" s="129" t="s">
        <v>191</v>
      </c>
      <c r="D132" s="129" t="str">
        <f t="shared" si="5"/>
        <v>VIP ПредприятиеОПТИМАЛЬНЫЙМИНИМАЛЬНЫЙ</v>
      </c>
      <c r="E132" s="130"/>
      <c r="F132" s="129"/>
      <c r="G132" s="129"/>
      <c r="H132" s="138"/>
    </row>
    <row r="133" spans="1:8" x14ac:dyDescent="0.3">
      <c r="A133" s="128" t="s">
        <v>186</v>
      </c>
      <c r="B133" s="129" t="s">
        <v>9</v>
      </c>
      <c r="C133" s="129" t="s">
        <v>194</v>
      </c>
      <c r="D133" s="129" t="str">
        <f t="shared" si="5"/>
        <v>Предприятие ПРОФЭКСПЕРТОПТИМАЛЬНЫЙМИНИМАЛЬНЫЙ7</v>
      </c>
      <c r="E133" s="151">
        <v>0.05</v>
      </c>
      <c r="F133" s="152">
        <v>7</v>
      </c>
      <c r="G133" s="152" t="s">
        <v>231</v>
      </c>
      <c r="H133" s="239" t="str">
        <f t="shared" si="6"/>
        <v>Акция_Пр.88 (15мая-31июля25)</v>
      </c>
    </row>
    <row r="134" spans="1:8" x14ac:dyDescent="0.3">
      <c r="A134" s="128" t="s">
        <v>186</v>
      </c>
      <c r="B134" s="129" t="s">
        <v>4</v>
      </c>
      <c r="C134" s="129" t="s">
        <v>194</v>
      </c>
      <c r="D134" s="129" t="str">
        <f t="shared" si="5"/>
        <v>ПредприятиеЭКСПЕРТОПТИМАЛЬНЫЙМИНИМАЛЬНЫЙ7</v>
      </c>
      <c r="E134" s="151">
        <v>0.05</v>
      </c>
      <c r="F134" s="152">
        <v>7</v>
      </c>
      <c r="G134" s="152" t="s">
        <v>231</v>
      </c>
      <c r="H134" s="239" t="str">
        <f t="shared" si="6"/>
        <v>Акция_Пр.88 (15мая-31июля25)</v>
      </c>
    </row>
    <row r="135" spans="1:8" x14ac:dyDescent="0.3">
      <c r="A135" s="128" t="s">
        <v>186</v>
      </c>
      <c r="B135" s="129" t="s">
        <v>10</v>
      </c>
      <c r="C135" s="129" t="s">
        <v>195</v>
      </c>
      <c r="D135" s="129" t="str">
        <f t="shared" si="5"/>
        <v>Главный Бухгалтер ПРОФЭКСПЕРТОПТИМАЛЬНЫЙБАЗОВЫЙ7</v>
      </c>
      <c r="E135" s="151">
        <v>0.05</v>
      </c>
      <c r="F135" s="152">
        <v>7</v>
      </c>
      <c r="G135" s="152" t="s">
        <v>231</v>
      </c>
      <c r="H135" s="239" t="str">
        <f t="shared" si="6"/>
        <v>Акция_Пр.88 (15мая-31июля25)</v>
      </c>
    </row>
    <row r="136" spans="1:8" x14ac:dyDescent="0.3">
      <c r="A136" s="128" t="s">
        <v>186</v>
      </c>
      <c r="B136" s="129" t="s">
        <v>11</v>
      </c>
      <c r="C136" s="129" t="s">
        <v>194</v>
      </c>
      <c r="D136" s="129" t="str">
        <f t="shared" si="5"/>
        <v>VIP ПредприятиеЭКСПЕРТОПТИМАЛЬНЫЙМИНИМАЛЬНЫЙ7</v>
      </c>
      <c r="E136" s="151">
        <v>0.05</v>
      </c>
      <c r="F136" s="152">
        <v>7</v>
      </c>
      <c r="G136" s="152" t="s">
        <v>231</v>
      </c>
      <c r="H136" s="239" t="str">
        <f t="shared" si="6"/>
        <v>Акция_Пр.88 (15мая-31июля25)</v>
      </c>
    </row>
    <row r="137" spans="1:8" x14ac:dyDescent="0.3">
      <c r="A137" s="128" t="s">
        <v>187</v>
      </c>
      <c r="B137" s="129" t="s">
        <v>50</v>
      </c>
      <c r="C137" s="129" t="s">
        <v>20</v>
      </c>
      <c r="D137" s="129" t="str">
        <f t="shared" ref="D137:D155" si="7">_xlfn.CONCAT(B137,C137,F137)</f>
        <v>Предприятие (1 пользователь)ЭКСПЕРТ8</v>
      </c>
      <c r="E137" s="325">
        <v>0.05</v>
      </c>
      <c r="F137" s="144">
        <v>8</v>
      </c>
      <c r="G137" s="144" t="s">
        <v>231</v>
      </c>
      <c r="H137" s="239" t="str">
        <f t="shared" si="6"/>
        <v>Акция_Пр.88 (15мая-31июля25)</v>
      </c>
    </row>
    <row r="138" spans="1:8" x14ac:dyDescent="0.3">
      <c r="A138" s="128" t="s">
        <v>187</v>
      </c>
      <c r="B138" s="129" t="s">
        <v>51</v>
      </c>
      <c r="C138" s="129" t="s">
        <v>20</v>
      </c>
      <c r="D138" s="129" t="str">
        <f t="shared" si="7"/>
        <v>Предприятие ПРОФ (1 пользователь)ЭКСПЕРТ8</v>
      </c>
      <c r="E138" s="145">
        <v>0.05</v>
      </c>
      <c r="F138" s="144">
        <v>8</v>
      </c>
      <c r="G138" s="144" t="s">
        <v>231</v>
      </c>
      <c r="H138" s="239" t="str">
        <f t="shared" si="6"/>
        <v>Акция_Пр.88 (15мая-31июля25)</v>
      </c>
    </row>
    <row r="139" spans="1:8" x14ac:dyDescent="0.3">
      <c r="A139" s="128" t="s">
        <v>187</v>
      </c>
      <c r="B139" s="129" t="s">
        <v>49</v>
      </c>
      <c r="C139" s="129" t="s">
        <v>20</v>
      </c>
      <c r="D139" s="129" t="str">
        <f t="shared" si="7"/>
        <v>Главный Бухгалтер ПРОФ (1 пользователь)ЭКСПЕРТ8</v>
      </c>
      <c r="E139" s="145">
        <v>0.05</v>
      </c>
      <c r="F139" s="144">
        <v>8</v>
      </c>
      <c r="G139" s="144" t="s">
        <v>231</v>
      </c>
      <c r="H139" s="239" t="str">
        <f t="shared" si="6"/>
        <v>Акция_Пр.88 (15мая-31июля25)</v>
      </c>
    </row>
    <row r="140" spans="1:8" x14ac:dyDescent="0.3">
      <c r="A140" s="128" t="s">
        <v>187</v>
      </c>
      <c r="B140" s="129" t="s">
        <v>73</v>
      </c>
      <c r="C140" s="129" t="s">
        <v>20</v>
      </c>
      <c r="D140" s="129" t="str">
        <f t="shared" si="7"/>
        <v>VIP Предприятие (1 пользователь)ЭКСПЕРТ8</v>
      </c>
      <c r="E140" s="145">
        <v>0.05</v>
      </c>
      <c r="F140" s="144">
        <v>8</v>
      </c>
      <c r="G140" s="144" t="s">
        <v>231</v>
      </c>
      <c r="H140" s="239" t="str">
        <f t="shared" si="6"/>
        <v>Акция_Пр.88 (15мая-31июля25)</v>
      </c>
    </row>
    <row r="141" spans="1:8" x14ac:dyDescent="0.3">
      <c r="A141" s="128" t="s">
        <v>187</v>
      </c>
      <c r="B141" s="129" t="s">
        <v>314</v>
      </c>
      <c r="C141" s="129" t="s">
        <v>20</v>
      </c>
      <c r="D141" s="129" t="str">
        <f t="shared" si="7"/>
        <v>Пакет Программ Главный Бухгалтер, Podpis (1 пользователь, ЛД)ЭКСПЕРТ8</v>
      </c>
      <c r="E141" s="145">
        <v>0.2</v>
      </c>
      <c r="F141" s="144">
        <v>8</v>
      </c>
      <c r="G141" s="129"/>
      <c r="H141" s="239" t="str">
        <f t="shared" si="6"/>
        <v>Акция_Пр.88 (15мая-31июля25)</v>
      </c>
    </row>
    <row r="142" spans="1:8" x14ac:dyDescent="0.3">
      <c r="A142" s="128" t="s">
        <v>187</v>
      </c>
      <c r="B142" s="129" t="s">
        <v>312</v>
      </c>
      <c r="C142" s="129" t="s">
        <v>20</v>
      </c>
      <c r="D142" s="129" t="str">
        <f t="shared" si="7"/>
        <v>Пакет Программ Главный Бухгалтер, Podpis, ilex.Накладные (1 пользователь, ЛД)ЭКСПЕРТ8</v>
      </c>
      <c r="E142" s="145">
        <v>0.2</v>
      </c>
      <c r="F142" s="144">
        <v>8</v>
      </c>
      <c r="G142" s="129"/>
      <c r="H142" s="239" t="str">
        <f t="shared" si="6"/>
        <v>Акция_Пр.88 (15мая-31июля25)</v>
      </c>
    </row>
    <row r="143" spans="1:8" x14ac:dyDescent="0.3">
      <c r="A143" s="128" t="s">
        <v>187</v>
      </c>
      <c r="B143" s="129" t="s">
        <v>315</v>
      </c>
      <c r="C143" s="129" t="s">
        <v>20</v>
      </c>
      <c r="D143" s="129" t="str">
        <f t="shared" si="7"/>
        <v>Пакет Программ Главный Бухгалтер ПРОФ, Podpis (1 пользователь, ЛД)ЭКСПЕРТ8</v>
      </c>
      <c r="E143" s="145">
        <v>0.2</v>
      </c>
      <c r="F143" s="144">
        <v>8</v>
      </c>
      <c r="G143" s="129"/>
      <c r="H143" s="239" t="str">
        <f t="shared" si="6"/>
        <v>Акция_Пр.88 (15мая-31июля25)</v>
      </c>
    </row>
    <row r="144" spans="1:8" x14ac:dyDescent="0.3">
      <c r="A144" s="128" t="s">
        <v>187</v>
      </c>
      <c r="B144" s="129" t="s">
        <v>313</v>
      </c>
      <c r="C144" s="129" t="s">
        <v>20</v>
      </c>
      <c r="D144" s="129" t="str">
        <f t="shared" si="7"/>
        <v>Пакет Программ Главный Бухгалтер ПРОФ, Podpis, ilex.Накладные (1 пользователь, ЛД)ЭКСПЕРТ8</v>
      </c>
      <c r="E144" s="145">
        <v>0.2</v>
      </c>
      <c r="F144" s="144">
        <v>8</v>
      </c>
      <c r="G144" s="129"/>
      <c r="H144" s="239" t="str">
        <f t="shared" si="6"/>
        <v>Акция_Пр.88 (15мая-31июля25)</v>
      </c>
    </row>
    <row r="145" spans="1:8" x14ac:dyDescent="0.3">
      <c r="A145" s="128" t="s">
        <v>187</v>
      </c>
      <c r="B145" s="129" t="s">
        <v>314</v>
      </c>
      <c r="C145" s="129" t="s">
        <v>188</v>
      </c>
      <c r="D145" s="129" t="str">
        <f t="shared" si="7"/>
        <v>Пакет Программ Главный Бухгалтер, Podpis (1 пользователь, ЛД)ОПТИМАЛЬНЫЙ ПЛЮС8</v>
      </c>
      <c r="E145" s="145">
        <v>0.15</v>
      </c>
      <c r="F145" s="144">
        <v>8</v>
      </c>
      <c r="G145" s="129"/>
      <c r="H145" s="239" t="str">
        <f t="shared" si="6"/>
        <v>Акция_Пр.88 (15мая-31июля25)</v>
      </c>
    </row>
    <row r="146" spans="1:8" x14ac:dyDescent="0.3">
      <c r="A146" s="128" t="s">
        <v>187</v>
      </c>
      <c r="B146" s="129" t="s">
        <v>312</v>
      </c>
      <c r="C146" s="129" t="s">
        <v>188</v>
      </c>
      <c r="D146" s="129" t="str">
        <f t="shared" si="7"/>
        <v>Пакет Программ Главный Бухгалтер, Podpis, ilex.Накладные (1 пользователь, ЛД)ОПТИМАЛЬНЫЙ ПЛЮС8</v>
      </c>
      <c r="E146" s="145">
        <v>0.15</v>
      </c>
      <c r="F146" s="144">
        <v>8</v>
      </c>
      <c r="G146" s="129"/>
      <c r="H146" s="239" t="str">
        <f t="shared" si="6"/>
        <v>Акция_Пр.88 (15мая-31июля25)</v>
      </c>
    </row>
    <row r="147" spans="1:8" x14ac:dyDescent="0.3">
      <c r="A147" s="128" t="s">
        <v>187</v>
      </c>
      <c r="B147" s="129" t="s">
        <v>315</v>
      </c>
      <c r="C147" s="129" t="s">
        <v>188</v>
      </c>
      <c r="D147" s="129" t="str">
        <f t="shared" si="7"/>
        <v>Пакет Программ Главный Бухгалтер ПРОФ, Podpis (1 пользователь, ЛД)ОПТИМАЛЬНЫЙ ПЛЮС8</v>
      </c>
      <c r="E147" s="145">
        <v>0.15</v>
      </c>
      <c r="F147" s="144">
        <v>8</v>
      </c>
      <c r="G147" s="129"/>
      <c r="H147" s="239" t="str">
        <f t="shared" si="6"/>
        <v>Акция_Пр.88 (15мая-31июля25)</v>
      </c>
    </row>
    <row r="148" spans="1:8" x14ac:dyDescent="0.3">
      <c r="A148" s="128" t="s">
        <v>187</v>
      </c>
      <c r="B148" s="129" t="s">
        <v>313</v>
      </c>
      <c r="C148" s="129" t="s">
        <v>188</v>
      </c>
      <c r="D148" s="129" t="str">
        <f t="shared" si="7"/>
        <v>Пакет Программ Главный Бухгалтер ПРОФ, Podpis, ilex.Накладные (1 пользователь, ЛД)ОПТИМАЛЬНЫЙ ПЛЮС8</v>
      </c>
      <c r="E148" s="145">
        <v>0.15</v>
      </c>
      <c r="F148" s="144">
        <v>8</v>
      </c>
      <c r="G148" s="129"/>
      <c r="H148" s="239" t="str">
        <f t="shared" si="6"/>
        <v>Акция_Пр.88 (15мая-31июля25)</v>
      </c>
    </row>
    <row r="149" spans="1:8" x14ac:dyDescent="0.3">
      <c r="A149" s="128" t="s">
        <v>187</v>
      </c>
      <c r="B149" s="129" t="s">
        <v>50</v>
      </c>
      <c r="C149" s="129" t="s">
        <v>21</v>
      </c>
      <c r="D149" s="129" t="str">
        <f t="shared" si="7"/>
        <v>Предприятие (1 пользователь)ОПТИМАЛЬНЫЙ8</v>
      </c>
      <c r="E149" s="325">
        <v>0.05</v>
      </c>
      <c r="F149" s="144">
        <v>8</v>
      </c>
      <c r="G149" s="144" t="s">
        <v>231</v>
      </c>
      <c r="H149" s="239" t="str">
        <f t="shared" si="6"/>
        <v>Акция_Пр.88 (15мая-31июля25)</v>
      </c>
    </row>
    <row r="150" spans="1:8" x14ac:dyDescent="0.3">
      <c r="A150" s="128" t="s">
        <v>187</v>
      </c>
      <c r="B150" s="129" t="s">
        <v>51</v>
      </c>
      <c r="C150" s="129" t="s">
        <v>21</v>
      </c>
      <c r="D150" s="129" t="str">
        <f t="shared" si="7"/>
        <v>Предприятие ПРОФ (1 пользователь)ОПТИМАЛЬНЫЙ8</v>
      </c>
      <c r="E150" s="145">
        <v>0.05</v>
      </c>
      <c r="F150" s="144">
        <v>8</v>
      </c>
      <c r="G150" s="144" t="s">
        <v>231</v>
      </c>
      <c r="H150" s="239" t="str">
        <f t="shared" si="6"/>
        <v>Акция_Пр.88 (15мая-31июля25)</v>
      </c>
    </row>
    <row r="151" spans="1:8" x14ac:dyDescent="0.3">
      <c r="A151" s="128" t="s">
        <v>187</v>
      </c>
      <c r="B151" s="129" t="s">
        <v>73</v>
      </c>
      <c r="C151" s="129" t="s">
        <v>21</v>
      </c>
      <c r="D151" s="129" t="str">
        <f t="shared" si="7"/>
        <v>VIP Предприятие (1 пользователь)ОПТИМАЛЬНЫЙ8</v>
      </c>
      <c r="E151" s="145">
        <v>0.05</v>
      </c>
      <c r="F151" s="144">
        <v>8</v>
      </c>
      <c r="G151" s="144" t="s">
        <v>231</v>
      </c>
      <c r="H151" s="239" t="str">
        <f t="shared" si="6"/>
        <v>Акция_Пр.88 (15мая-31июля25)</v>
      </c>
    </row>
    <row r="152" spans="1:8" x14ac:dyDescent="0.3">
      <c r="A152" s="128" t="s">
        <v>187</v>
      </c>
      <c r="B152" s="129" t="s">
        <v>314</v>
      </c>
      <c r="C152" s="129" t="s">
        <v>21</v>
      </c>
      <c r="D152" s="129" t="str">
        <f t="shared" si="7"/>
        <v>Пакет Программ Главный Бухгалтер, Podpis (1 пользователь, ЛД)ОПТИМАЛЬНЫЙ8</v>
      </c>
      <c r="E152" s="130"/>
      <c r="F152" s="129">
        <v>8</v>
      </c>
      <c r="G152" s="129"/>
      <c r="H152" s="138"/>
    </row>
    <row r="153" spans="1:8" x14ac:dyDescent="0.3">
      <c r="A153" s="128" t="s">
        <v>187</v>
      </c>
      <c r="B153" s="129" t="s">
        <v>312</v>
      </c>
      <c r="C153" s="129" t="s">
        <v>21</v>
      </c>
      <c r="D153" s="129" t="str">
        <f t="shared" si="7"/>
        <v>Пакет Программ Главный Бухгалтер, Podpis, ilex.Накладные (1 пользователь, ЛД)ОПТИМАЛЬНЫЙ8</v>
      </c>
      <c r="E153" s="130"/>
      <c r="F153" s="129">
        <v>8</v>
      </c>
      <c r="G153" s="129"/>
      <c r="H153" s="138"/>
    </row>
    <row r="154" spans="1:8" x14ac:dyDescent="0.3">
      <c r="A154" s="128" t="s">
        <v>187</v>
      </c>
      <c r="B154" s="129" t="s">
        <v>315</v>
      </c>
      <c r="C154" s="129" t="s">
        <v>21</v>
      </c>
      <c r="D154" s="129" t="str">
        <f t="shared" si="7"/>
        <v>Пакет Программ Главный Бухгалтер ПРОФ, Podpis (1 пользователь, ЛД)ОПТИМАЛЬНЫЙ8</v>
      </c>
      <c r="E154" s="145">
        <v>0.15</v>
      </c>
      <c r="F154" s="144">
        <v>8</v>
      </c>
      <c r="G154" s="129"/>
      <c r="H154" s="239" t="str">
        <f t="shared" ref="H154:H155" si="8">$B$42</f>
        <v>Акция_Пр.88 (15мая-31июля25)</v>
      </c>
    </row>
    <row r="155" spans="1:8" x14ac:dyDescent="0.3">
      <c r="A155" s="128" t="s">
        <v>187</v>
      </c>
      <c r="B155" s="129" t="s">
        <v>313</v>
      </c>
      <c r="C155" s="129" t="s">
        <v>21</v>
      </c>
      <c r="D155" s="129" t="str">
        <f t="shared" si="7"/>
        <v>Пакет Программ Главный Бухгалтер ПРОФ, Podpis, ilex.Накладные (1 пользователь, ЛД)ОПТИМАЛЬНЫЙ8</v>
      </c>
      <c r="E155" s="145">
        <v>0.15</v>
      </c>
      <c r="F155" s="144">
        <v>8</v>
      </c>
      <c r="G155" s="129"/>
      <c r="H155" s="239" t="str">
        <f t="shared" si="8"/>
        <v>Акция_Пр.88 (15мая-31июля25)</v>
      </c>
    </row>
    <row r="156" spans="1:8" x14ac:dyDescent="0.3">
      <c r="A156" s="128" t="s">
        <v>186</v>
      </c>
      <c r="B156" s="129" t="s">
        <v>9</v>
      </c>
      <c r="C156" s="129" t="s">
        <v>20</v>
      </c>
      <c r="D156" s="129" t="str">
        <f t="shared" ref="D156:D179" si="9">CONCATENATE(B156,C156,F156)</f>
        <v>Предприятие ПРОФЭКСПЕРТ8</v>
      </c>
      <c r="E156" s="145">
        <v>0.05</v>
      </c>
      <c r="F156" s="144">
        <v>8</v>
      </c>
      <c r="G156" s="144" t="s">
        <v>231</v>
      </c>
      <c r="H156" s="239" t="str">
        <f t="shared" si="6"/>
        <v>Акция_Пр.88 (15мая-31июля25)</v>
      </c>
    </row>
    <row r="157" spans="1:8" x14ac:dyDescent="0.3">
      <c r="A157" s="128" t="s">
        <v>186</v>
      </c>
      <c r="B157" s="129" t="s">
        <v>4</v>
      </c>
      <c r="C157" s="129" t="s">
        <v>20</v>
      </c>
      <c r="D157" s="129" t="str">
        <f t="shared" si="9"/>
        <v>ПредприятиеЭКСПЕРТ8</v>
      </c>
      <c r="E157" s="145">
        <v>0.05</v>
      </c>
      <c r="F157" s="144">
        <v>8</v>
      </c>
      <c r="G157" s="144" t="s">
        <v>231</v>
      </c>
      <c r="H157" s="239" t="str">
        <f t="shared" si="6"/>
        <v>Акция_Пр.88 (15мая-31июля25)</v>
      </c>
    </row>
    <row r="158" spans="1:8" x14ac:dyDescent="0.3">
      <c r="A158" s="128" t="s">
        <v>186</v>
      </c>
      <c r="B158" s="129" t="s">
        <v>10</v>
      </c>
      <c r="C158" s="129" t="s">
        <v>20</v>
      </c>
      <c r="D158" s="129" t="str">
        <f t="shared" si="9"/>
        <v>Главный Бухгалтер ПРОФЭКСПЕРТ8</v>
      </c>
      <c r="E158" s="145">
        <v>0.05</v>
      </c>
      <c r="F158" s="144">
        <v>8</v>
      </c>
      <c r="G158" s="144" t="s">
        <v>231</v>
      </c>
      <c r="H158" s="239" t="str">
        <f t="shared" si="6"/>
        <v>Акция_Пр.88 (15мая-31июля25)</v>
      </c>
    </row>
    <row r="159" spans="1:8" x14ac:dyDescent="0.3">
      <c r="A159" s="128" t="s">
        <v>186</v>
      </c>
      <c r="B159" s="129" t="s">
        <v>11</v>
      </c>
      <c r="C159" s="129" t="s">
        <v>20</v>
      </c>
      <c r="D159" s="129" t="str">
        <f t="shared" si="9"/>
        <v>VIP ПредприятиеЭКСПЕРТ8</v>
      </c>
      <c r="E159" s="145">
        <v>0.05</v>
      </c>
      <c r="F159" s="144">
        <v>8</v>
      </c>
      <c r="G159" s="144" t="s">
        <v>231</v>
      </c>
      <c r="H159" s="239" t="str">
        <f t="shared" si="6"/>
        <v>Акция_Пр.88 (15мая-31июля25)</v>
      </c>
    </row>
    <row r="160" spans="1:8" x14ac:dyDescent="0.3">
      <c r="A160" s="128" t="s">
        <v>186</v>
      </c>
      <c r="B160" s="129" t="s">
        <v>9</v>
      </c>
      <c r="C160" s="129" t="s">
        <v>21</v>
      </c>
      <c r="D160" s="129" t="str">
        <f t="shared" si="9"/>
        <v>Предприятие ПРОФОПТИМАЛЬНЫЙ8</v>
      </c>
      <c r="E160" s="145">
        <v>0.05</v>
      </c>
      <c r="F160" s="144">
        <v>8</v>
      </c>
      <c r="G160" s="144" t="s">
        <v>231</v>
      </c>
      <c r="H160" s="239" t="str">
        <f t="shared" si="6"/>
        <v>Акция_Пр.88 (15мая-31июля25)</v>
      </c>
    </row>
    <row r="161" spans="1:8" x14ac:dyDescent="0.3">
      <c r="A161" s="128" t="s">
        <v>186</v>
      </c>
      <c r="B161" s="129" t="s">
        <v>4</v>
      </c>
      <c r="C161" s="129" t="s">
        <v>21</v>
      </c>
      <c r="D161" s="129" t="str">
        <f t="shared" si="9"/>
        <v>ПредприятиеОПТИМАЛЬНЫЙ8</v>
      </c>
      <c r="E161" s="145">
        <v>0.05</v>
      </c>
      <c r="F161" s="144">
        <v>8</v>
      </c>
      <c r="G161" s="144" t="s">
        <v>231</v>
      </c>
      <c r="H161" s="239" t="str">
        <f t="shared" si="6"/>
        <v>Акция_Пр.88 (15мая-31июля25)</v>
      </c>
    </row>
    <row r="162" spans="1:8" x14ac:dyDescent="0.3">
      <c r="A162" s="128" t="s">
        <v>186</v>
      </c>
      <c r="B162" s="129" t="s">
        <v>10</v>
      </c>
      <c r="C162" s="129" t="s">
        <v>21</v>
      </c>
      <c r="D162" s="129" t="str">
        <f t="shared" si="9"/>
        <v>Главный Бухгалтер ПРОФОПТИМАЛЬНЫЙ8</v>
      </c>
      <c r="E162" s="145">
        <v>0.05</v>
      </c>
      <c r="F162" s="144">
        <v>8</v>
      </c>
      <c r="G162" s="144" t="s">
        <v>231</v>
      </c>
      <c r="H162" s="239" t="str">
        <f t="shared" si="6"/>
        <v>Акция_Пр.88 (15мая-31июля25)</v>
      </c>
    </row>
    <row r="163" spans="1:8" x14ac:dyDescent="0.3">
      <c r="A163" s="128" t="s">
        <v>186</v>
      </c>
      <c r="B163" s="129" t="s">
        <v>11</v>
      </c>
      <c r="C163" s="129" t="s">
        <v>21</v>
      </c>
      <c r="D163" s="129" t="str">
        <f t="shared" si="9"/>
        <v>VIP ПредприятиеОПТИМАЛЬНЫЙ8</v>
      </c>
      <c r="E163" s="145">
        <v>0.05</v>
      </c>
      <c r="F163" s="144">
        <v>8</v>
      </c>
      <c r="G163" s="144" t="s">
        <v>231</v>
      </c>
      <c r="H163" s="239" t="str">
        <f t="shared" si="6"/>
        <v>Акция_Пр.88 (15мая-31июля25)</v>
      </c>
    </row>
    <row r="164" spans="1:8" x14ac:dyDescent="0.3">
      <c r="A164" s="128" t="s">
        <v>186</v>
      </c>
      <c r="B164" s="129" t="s">
        <v>9</v>
      </c>
      <c r="C164" s="129" t="s">
        <v>189</v>
      </c>
      <c r="D164" s="129" t="str">
        <f t="shared" si="9"/>
        <v>Предприятие ПРОФЭКСПЕРТОПТИМАЛЬНЫЙ8</v>
      </c>
      <c r="E164" s="145">
        <v>0.05</v>
      </c>
      <c r="F164" s="144">
        <v>8</v>
      </c>
      <c r="G164" s="144" t="s">
        <v>231</v>
      </c>
      <c r="H164" s="239" t="str">
        <f t="shared" si="6"/>
        <v>Акция_Пр.88 (15мая-31июля25)</v>
      </c>
    </row>
    <row r="165" spans="1:8" x14ac:dyDescent="0.3">
      <c r="A165" s="128" t="s">
        <v>186</v>
      </c>
      <c r="B165" s="129" t="s">
        <v>4</v>
      </c>
      <c r="C165" s="129" t="s">
        <v>189</v>
      </c>
      <c r="D165" s="129" t="str">
        <f t="shared" si="9"/>
        <v>ПредприятиеЭКСПЕРТОПТИМАЛЬНЫЙ8</v>
      </c>
      <c r="E165" s="145">
        <v>0.05</v>
      </c>
      <c r="F165" s="144">
        <v>8</v>
      </c>
      <c r="G165" s="144" t="s">
        <v>231</v>
      </c>
      <c r="H165" s="239" t="str">
        <f t="shared" si="6"/>
        <v>Акция_Пр.88 (15мая-31июля25)</v>
      </c>
    </row>
    <row r="166" spans="1:8" x14ac:dyDescent="0.3">
      <c r="A166" s="128" t="s">
        <v>186</v>
      </c>
      <c r="B166" s="129" t="s">
        <v>10</v>
      </c>
      <c r="C166" s="129" t="s">
        <v>189</v>
      </c>
      <c r="D166" s="129" t="str">
        <f t="shared" si="9"/>
        <v>Главный Бухгалтер ПРОФЭКСПЕРТОПТИМАЛЬНЫЙ8</v>
      </c>
      <c r="E166" s="145">
        <v>0.05</v>
      </c>
      <c r="F166" s="144">
        <v>8</v>
      </c>
      <c r="G166" s="144" t="s">
        <v>231</v>
      </c>
      <c r="H166" s="239" t="str">
        <f t="shared" si="6"/>
        <v>Акция_Пр.88 (15мая-31июля25)</v>
      </c>
    </row>
    <row r="167" spans="1:8" x14ac:dyDescent="0.3">
      <c r="A167" s="128" t="s">
        <v>186</v>
      </c>
      <c r="B167" s="129" t="s">
        <v>11</v>
      </c>
      <c r="C167" s="129" t="s">
        <v>189</v>
      </c>
      <c r="D167" s="129" t="str">
        <f t="shared" si="9"/>
        <v>VIP ПредприятиеЭКСПЕРТОПТИМАЛЬНЫЙ8</v>
      </c>
      <c r="E167" s="145">
        <v>0.05</v>
      </c>
      <c r="F167" s="144">
        <v>8</v>
      </c>
      <c r="G167" s="144" t="s">
        <v>231</v>
      </c>
      <c r="H167" s="239" t="str">
        <f t="shared" si="6"/>
        <v>Акция_Пр.88 (15мая-31июля25)</v>
      </c>
    </row>
    <row r="168" spans="1:8" x14ac:dyDescent="0.3">
      <c r="A168" s="128" t="s">
        <v>186</v>
      </c>
      <c r="B168" s="129" t="s">
        <v>9</v>
      </c>
      <c r="C168" s="129" t="s">
        <v>190</v>
      </c>
      <c r="D168" s="129" t="str">
        <f t="shared" si="9"/>
        <v>Предприятие ПРОФЭКСПЕРТМИНИМАЛЬНЫЙ8</v>
      </c>
      <c r="E168" s="145">
        <v>0.05</v>
      </c>
      <c r="F168" s="144">
        <v>8</v>
      </c>
      <c r="G168" s="144" t="s">
        <v>231</v>
      </c>
      <c r="H168" s="239" t="str">
        <f t="shared" si="6"/>
        <v>Акция_Пр.88 (15мая-31июля25)</v>
      </c>
    </row>
    <row r="169" spans="1:8" x14ac:dyDescent="0.3">
      <c r="A169" s="128" t="s">
        <v>186</v>
      </c>
      <c r="B169" s="129" t="s">
        <v>4</v>
      </c>
      <c r="C169" s="129" t="s">
        <v>190</v>
      </c>
      <c r="D169" s="129" t="str">
        <f t="shared" si="9"/>
        <v>ПредприятиеЭКСПЕРТМИНИМАЛЬНЫЙ8</v>
      </c>
      <c r="E169" s="145">
        <v>0.05</v>
      </c>
      <c r="F169" s="144">
        <v>8</v>
      </c>
      <c r="G169" s="144" t="s">
        <v>231</v>
      </c>
      <c r="H169" s="239" t="str">
        <f t="shared" si="6"/>
        <v>Акция_Пр.88 (15мая-31июля25)</v>
      </c>
    </row>
    <row r="170" spans="1:8" x14ac:dyDescent="0.3">
      <c r="A170" s="128" t="s">
        <v>186</v>
      </c>
      <c r="B170" s="129" t="s">
        <v>10</v>
      </c>
      <c r="C170" s="129" t="s">
        <v>192</v>
      </c>
      <c r="D170" s="129" t="str">
        <f t="shared" si="9"/>
        <v>Главный Бухгалтер ПРОФЭКСПЕРТБАЗОВЫЙ8</v>
      </c>
      <c r="E170" s="145">
        <v>0.05</v>
      </c>
      <c r="F170" s="144">
        <v>8</v>
      </c>
      <c r="G170" s="144" t="s">
        <v>231</v>
      </c>
      <c r="H170" s="239" t="str">
        <f t="shared" si="6"/>
        <v>Акция_Пр.88 (15мая-31июля25)</v>
      </c>
    </row>
    <row r="171" spans="1:8" x14ac:dyDescent="0.3">
      <c r="A171" s="128" t="s">
        <v>186</v>
      </c>
      <c r="B171" s="129" t="s">
        <v>11</v>
      </c>
      <c r="C171" s="129" t="s">
        <v>190</v>
      </c>
      <c r="D171" s="129" t="str">
        <f t="shared" si="9"/>
        <v>VIP ПредприятиеЭКСПЕРТМИНИМАЛЬНЫЙ8</v>
      </c>
      <c r="E171" s="145">
        <v>0.05</v>
      </c>
      <c r="F171" s="144">
        <v>8</v>
      </c>
      <c r="G171" s="144" t="s">
        <v>231</v>
      </c>
      <c r="H171" s="239" t="str">
        <f t="shared" si="6"/>
        <v>Акция_Пр.88 (15мая-31июля25)</v>
      </c>
    </row>
    <row r="172" spans="1:8" x14ac:dyDescent="0.3">
      <c r="A172" s="128" t="s">
        <v>186</v>
      </c>
      <c r="B172" s="129" t="s">
        <v>9</v>
      </c>
      <c r="C172" s="129" t="s">
        <v>191</v>
      </c>
      <c r="D172" s="129" t="str">
        <f t="shared" si="9"/>
        <v>Предприятие ПРОФОПТИМАЛЬНЫЙМИНИМАЛЬНЫЙ</v>
      </c>
      <c r="E172" s="130"/>
      <c r="F172" s="129"/>
      <c r="G172" s="129"/>
      <c r="H172" s="138"/>
    </row>
    <row r="173" spans="1:8" x14ac:dyDescent="0.3">
      <c r="A173" s="128" t="s">
        <v>186</v>
      </c>
      <c r="B173" s="129" t="s">
        <v>4</v>
      </c>
      <c r="C173" s="129" t="s">
        <v>191</v>
      </c>
      <c r="D173" s="129" t="str">
        <f t="shared" si="9"/>
        <v>ПредприятиеОПТИМАЛЬНЫЙМИНИМАЛЬНЫЙ</v>
      </c>
      <c r="E173" s="130"/>
      <c r="F173" s="129"/>
      <c r="G173" s="129"/>
      <c r="H173" s="138"/>
    </row>
    <row r="174" spans="1:8" x14ac:dyDescent="0.3">
      <c r="A174" s="128" t="s">
        <v>186</v>
      </c>
      <c r="B174" s="129" t="s">
        <v>10</v>
      </c>
      <c r="C174" s="129" t="s">
        <v>234</v>
      </c>
      <c r="D174" s="129" t="str">
        <f t="shared" si="9"/>
        <v>Главный Бухгалтер ПРОФОПТИМАЛЬНЫЙБАЗОВЫЙ</v>
      </c>
      <c r="E174" s="130"/>
      <c r="F174" s="129"/>
      <c r="G174" s="129"/>
      <c r="H174" s="138"/>
    </row>
    <row r="175" spans="1:8" x14ac:dyDescent="0.3">
      <c r="A175" s="128" t="s">
        <v>186</v>
      </c>
      <c r="B175" s="129" t="s">
        <v>11</v>
      </c>
      <c r="C175" s="129" t="s">
        <v>191</v>
      </c>
      <c r="D175" s="129" t="str">
        <f t="shared" si="9"/>
        <v>VIP ПредприятиеОПТИМАЛЬНЫЙМИНИМАЛЬНЫЙ</v>
      </c>
      <c r="E175" s="130"/>
      <c r="F175" s="129"/>
      <c r="G175" s="129"/>
      <c r="H175" s="138"/>
    </row>
    <row r="176" spans="1:8" x14ac:dyDescent="0.3">
      <c r="A176" s="128" t="s">
        <v>186</v>
      </c>
      <c r="B176" s="129" t="s">
        <v>9</v>
      </c>
      <c r="C176" s="129" t="s">
        <v>194</v>
      </c>
      <c r="D176" s="129" t="str">
        <f t="shared" si="9"/>
        <v>Предприятие ПРОФЭКСПЕРТОПТИМАЛЬНЫЙМИНИМАЛЬНЫЙ8</v>
      </c>
      <c r="E176" s="151">
        <v>0.05</v>
      </c>
      <c r="F176" s="152">
        <v>8</v>
      </c>
      <c r="G176" s="152" t="s">
        <v>231</v>
      </c>
      <c r="H176" s="239" t="str">
        <f t="shared" si="6"/>
        <v>Акция_Пр.88 (15мая-31июля25)</v>
      </c>
    </row>
    <row r="177" spans="1:8" x14ac:dyDescent="0.3">
      <c r="A177" s="128" t="s">
        <v>186</v>
      </c>
      <c r="B177" s="129" t="s">
        <v>4</v>
      </c>
      <c r="C177" s="129" t="s">
        <v>194</v>
      </c>
      <c r="D177" s="129" t="str">
        <f t="shared" si="9"/>
        <v>ПредприятиеЭКСПЕРТОПТИМАЛЬНЫЙМИНИМАЛЬНЫЙ8</v>
      </c>
      <c r="E177" s="151">
        <v>0.05</v>
      </c>
      <c r="F177" s="152">
        <v>8</v>
      </c>
      <c r="G177" s="152" t="s">
        <v>231</v>
      </c>
      <c r="H177" s="239" t="str">
        <f t="shared" si="6"/>
        <v>Акция_Пр.88 (15мая-31июля25)</v>
      </c>
    </row>
    <row r="178" spans="1:8" x14ac:dyDescent="0.3">
      <c r="A178" s="128" t="s">
        <v>186</v>
      </c>
      <c r="B178" s="129" t="s">
        <v>10</v>
      </c>
      <c r="C178" s="129" t="s">
        <v>195</v>
      </c>
      <c r="D178" s="129" t="str">
        <f t="shared" si="9"/>
        <v>Главный Бухгалтер ПРОФЭКСПЕРТОПТИМАЛЬНЫЙБАЗОВЫЙ8</v>
      </c>
      <c r="E178" s="151">
        <v>0.05</v>
      </c>
      <c r="F178" s="152">
        <v>8</v>
      </c>
      <c r="G178" s="152" t="s">
        <v>231</v>
      </c>
      <c r="H178" s="239" t="str">
        <f t="shared" si="6"/>
        <v>Акция_Пр.88 (15мая-31июля25)</v>
      </c>
    </row>
    <row r="179" spans="1:8" x14ac:dyDescent="0.3">
      <c r="A179" s="128" t="s">
        <v>186</v>
      </c>
      <c r="B179" s="129" t="s">
        <v>11</v>
      </c>
      <c r="C179" s="129" t="s">
        <v>194</v>
      </c>
      <c r="D179" s="129" t="str">
        <f t="shared" si="9"/>
        <v>VIP ПредприятиеЭКСПЕРТОПТИМАЛЬНЫЙМИНИМАЛЬНЫЙ8</v>
      </c>
      <c r="E179" s="151">
        <v>0.05</v>
      </c>
      <c r="F179" s="152">
        <v>8</v>
      </c>
      <c r="G179" s="152" t="s">
        <v>231</v>
      </c>
      <c r="H179" s="239" t="str">
        <f t="shared" si="6"/>
        <v>Акция_Пр.88 (15мая-31июля25)</v>
      </c>
    </row>
    <row r="180" spans="1:8" x14ac:dyDescent="0.3">
      <c r="A180" s="128" t="s">
        <v>187</v>
      </c>
      <c r="B180" s="129" t="s">
        <v>50</v>
      </c>
      <c r="C180" s="129" t="s">
        <v>20</v>
      </c>
      <c r="D180" s="129" t="str">
        <f t="shared" ref="D180:D198" si="10">_xlfn.CONCAT(B180,C180,F180)</f>
        <v>Предприятие (1 пользователь)ЭКСПЕРТ9</v>
      </c>
      <c r="E180" s="325">
        <v>0.05</v>
      </c>
      <c r="F180" s="144">
        <v>9</v>
      </c>
      <c r="G180" s="144" t="s">
        <v>231</v>
      </c>
      <c r="H180" s="239" t="str">
        <f t="shared" si="6"/>
        <v>Акция_Пр.88 (15мая-31июля25)</v>
      </c>
    </row>
    <row r="181" spans="1:8" x14ac:dyDescent="0.3">
      <c r="A181" s="128" t="s">
        <v>187</v>
      </c>
      <c r="B181" s="129" t="s">
        <v>51</v>
      </c>
      <c r="C181" s="129" t="s">
        <v>20</v>
      </c>
      <c r="D181" s="129" t="str">
        <f t="shared" si="10"/>
        <v>Предприятие ПРОФ (1 пользователь)ЭКСПЕРТ9</v>
      </c>
      <c r="E181" s="145">
        <v>0.05</v>
      </c>
      <c r="F181" s="144">
        <v>9</v>
      </c>
      <c r="G181" s="144" t="s">
        <v>231</v>
      </c>
      <c r="H181" s="239" t="str">
        <f t="shared" si="6"/>
        <v>Акция_Пр.88 (15мая-31июля25)</v>
      </c>
    </row>
    <row r="182" spans="1:8" x14ac:dyDescent="0.3">
      <c r="A182" s="128" t="s">
        <v>187</v>
      </c>
      <c r="B182" s="129" t="s">
        <v>49</v>
      </c>
      <c r="C182" s="129" t="s">
        <v>20</v>
      </c>
      <c r="D182" s="129" t="str">
        <f t="shared" si="10"/>
        <v>Главный Бухгалтер ПРОФ (1 пользователь)ЭКСПЕРТ9</v>
      </c>
      <c r="E182" s="145">
        <v>0.05</v>
      </c>
      <c r="F182" s="144">
        <v>9</v>
      </c>
      <c r="G182" s="144" t="s">
        <v>231</v>
      </c>
      <c r="H182" s="239" t="str">
        <f t="shared" si="6"/>
        <v>Акция_Пр.88 (15мая-31июля25)</v>
      </c>
    </row>
    <row r="183" spans="1:8" x14ac:dyDescent="0.3">
      <c r="A183" s="128" t="s">
        <v>187</v>
      </c>
      <c r="B183" s="129" t="s">
        <v>73</v>
      </c>
      <c r="C183" s="129" t="s">
        <v>20</v>
      </c>
      <c r="D183" s="129" t="str">
        <f t="shared" si="10"/>
        <v>VIP Предприятие (1 пользователь)ЭКСПЕРТ9</v>
      </c>
      <c r="E183" s="145">
        <v>0.05</v>
      </c>
      <c r="F183" s="144">
        <v>9</v>
      </c>
      <c r="G183" s="144" t="s">
        <v>231</v>
      </c>
      <c r="H183" s="239" t="str">
        <f t="shared" si="6"/>
        <v>Акция_Пр.88 (15мая-31июля25)</v>
      </c>
    </row>
    <row r="184" spans="1:8" x14ac:dyDescent="0.3">
      <c r="A184" s="128" t="s">
        <v>187</v>
      </c>
      <c r="B184" s="129" t="s">
        <v>314</v>
      </c>
      <c r="C184" s="129" t="s">
        <v>20</v>
      </c>
      <c r="D184" s="129" t="str">
        <f t="shared" si="10"/>
        <v>Пакет Программ Главный Бухгалтер, Podpis (1 пользователь, ЛД)ЭКСПЕРТ9</v>
      </c>
      <c r="E184" s="145">
        <v>0.2</v>
      </c>
      <c r="F184" s="144">
        <v>9</v>
      </c>
      <c r="G184" s="129"/>
      <c r="H184" s="239" t="str">
        <f t="shared" si="6"/>
        <v>Акция_Пр.88 (15мая-31июля25)</v>
      </c>
    </row>
    <row r="185" spans="1:8" x14ac:dyDescent="0.3">
      <c r="A185" s="128" t="s">
        <v>187</v>
      </c>
      <c r="B185" s="129" t="s">
        <v>312</v>
      </c>
      <c r="C185" s="129" t="s">
        <v>20</v>
      </c>
      <c r="D185" s="129" t="str">
        <f t="shared" si="10"/>
        <v>Пакет Программ Главный Бухгалтер, Podpis, ilex.Накладные (1 пользователь, ЛД)ЭКСПЕРТ9</v>
      </c>
      <c r="E185" s="145">
        <v>0.2</v>
      </c>
      <c r="F185" s="144">
        <v>9</v>
      </c>
      <c r="G185" s="129"/>
      <c r="H185" s="239" t="str">
        <f t="shared" si="6"/>
        <v>Акция_Пр.88 (15мая-31июля25)</v>
      </c>
    </row>
    <row r="186" spans="1:8" x14ac:dyDescent="0.3">
      <c r="A186" s="128" t="s">
        <v>187</v>
      </c>
      <c r="B186" s="129" t="s">
        <v>315</v>
      </c>
      <c r="C186" s="129" t="s">
        <v>20</v>
      </c>
      <c r="D186" s="129" t="str">
        <f t="shared" si="10"/>
        <v>Пакет Программ Главный Бухгалтер ПРОФ, Podpis (1 пользователь, ЛД)ЭКСПЕРТ9</v>
      </c>
      <c r="E186" s="145">
        <v>0.2</v>
      </c>
      <c r="F186" s="144">
        <v>9</v>
      </c>
      <c r="G186" s="129"/>
      <c r="H186" s="239" t="str">
        <f t="shared" si="6"/>
        <v>Акция_Пр.88 (15мая-31июля25)</v>
      </c>
    </row>
    <row r="187" spans="1:8" x14ac:dyDescent="0.3">
      <c r="A187" s="128" t="s">
        <v>187</v>
      </c>
      <c r="B187" s="129" t="s">
        <v>313</v>
      </c>
      <c r="C187" s="129" t="s">
        <v>20</v>
      </c>
      <c r="D187" s="129" t="str">
        <f t="shared" si="10"/>
        <v>Пакет Программ Главный Бухгалтер ПРОФ, Podpis, ilex.Накладные (1 пользователь, ЛД)ЭКСПЕРТ9</v>
      </c>
      <c r="E187" s="145">
        <v>0.2</v>
      </c>
      <c r="F187" s="144">
        <v>9</v>
      </c>
      <c r="G187" s="129"/>
      <c r="H187" s="239" t="str">
        <f t="shared" si="6"/>
        <v>Акция_Пр.88 (15мая-31июля25)</v>
      </c>
    </row>
    <row r="188" spans="1:8" x14ac:dyDescent="0.3">
      <c r="A188" s="128" t="s">
        <v>187</v>
      </c>
      <c r="B188" s="129" t="s">
        <v>314</v>
      </c>
      <c r="C188" s="129" t="s">
        <v>188</v>
      </c>
      <c r="D188" s="129" t="str">
        <f t="shared" si="10"/>
        <v>Пакет Программ Главный Бухгалтер, Podpis (1 пользователь, ЛД)ОПТИМАЛЬНЫЙ ПЛЮС9</v>
      </c>
      <c r="E188" s="145">
        <v>0.15</v>
      </c>
      <c r="F188" s="144">
        <v>9</v>
      </c>
      <c r="G188" s="129"/>
      <c r="H188" s="239" t="str">
        <f t="shared" si="6"/>
        <v>Акция_Пр.88 (15мая-31июля25)</v>
      </c>
    </row>
    <row r="189" spans="1:8" x14ac:dyDescent="0.3">
      <c r="A189" s="128" t="s">
        <v>187</v>
      </c>
      <c r="B189" s="129" t="s">
        <v>312</v>
      </c>
      <c r="C189" s="129" t="s">
        <v>188</v>
      </c>
      <c r="D189" s="129" t="str">
        <f t="shared" si="10"/>
        <v>Пакет Программ Главный Бухгалтер, Podpis, ilex.Накладные (1 пользователь, ЛД)ОПТИМАЛЬНЫЙ ПЛЮС9</v>
      </c>
      <c r="E189" s="145">
        <v>0.15</v>
      </c>
      <c r="F189" s="144">
        <v>9</v>
      </c>
      <c r="G189" s="129"/>
      <c r="H189" s="239" t="str">
        <f t="shared" si="6"/>
        <v>Акция_Пр.88 (15мая-31июля25)</v>
      </c>
    </row>
    <row r="190" spans="1:8" x14ac:dyDescent="0.3">
      <c r="A190" s="128" t="s">
        <v>187</v>
      </c>
      <c r="B190" s="129" t="s">
        <v>315</v>
      </c>
      <c r="C190" s="129" t="s">
        <v>188</v>
      </c>
      <c r="D190" s="129" t="str">
        <f t="shared" si="10"/>
        <v>Пакет Программ Главный Бухгалтер ПРОФ, Podpis (1 пользователь, ЛД)ОПТИМАЛЬНЫЙ ПЛЮС9</v>
      </c>
      <c r="E190" s="145">
        <v>0.15</v>
      </c>
      <c r="F190" s="144">
        <v>9</v>
      </c>
      <c r="G190" s="129"/>
      <c r="H190" s="239" t="str">
        <f t="shared" si="6"/>
        <v>Акция_Пр.88 (15мая-31июля25)</v>
      </c>
    </row>
    <row r="191" spans="1:8" x14ac:dyDescent="0.3">
      <c r="A191" s="128" t="s">
        <v>187</v>
      </c>
      <c r="B191" s="129" t="s">
        <v>313</v>
      </c>
      <c r="C191" s="129" t="s">
        <v>188</v>
      </c>
      <c r="D191" s="129" t="str">
        <f t="shared" si="10"/>
        <v>Пакет Программ Главный Бухгалтер ПРОФ, Podpis, ilex.Накладные (1 пользователь, ЛД)ОПТИМАЛЬНЫЙ ПЛЮС9</v>
      </c>
      <c r="E191" s="145">
        <v>0.15</v>
      </c>
      <c r="F191" s="144">
        <v>9</v>
      </c>
      <c r="G191" s="129"/>
      <c r="H191" s="239" t="str">
        <f t="shared" si="6"/>
        <v>Акция_Пр.88 (15мая-31июля25)</v>
      </c>
    </row>
    <row r="192" spans="1:8" x14ac:dyDescent="0.3">
      <c r="A192" s="128" t="s">
        <v>187</v>
      </c>
      <c r="B192" s="129" t="s">
        <v>50</v>
      </c>
      <c r="C192" s="129" t="s">
        <v>21</v>
      </c>
      <c r="D192" s="129" t="str">
        <f t="shared" si="10"/>
        <v>Предприятие (1 пользователь)ОПТИМАЛЬНЫЙ9</v>
      </c>
      <c r="E192" s="325">
        <v>0.05</v>
      </c>
      <c r="F192" s="144">
        <v>9</v>
      </c>
      <c r="G192" s="144" t="s">
        <v>231</v>
      </c>
      <c r="H192" s="239" t="str">
        <f t="shared" si="6"/>
        <v>Акция_Пр.88 (15мая-31июля25)</v>
      </c>
    </row>
    <row r="193" spans="1:8" x14ac:dyDescent="0.3">
      <c r="A193" s="128" t="s">
        <v>187</v>
      </c>
      <c r="B193" s="129" t="s">
        <v>51</v>
      </c>
      <c r="C193" s="129" t="s">
        <v>21</v>
      </c>
      <c r="D193" s="129" t="str">
        <f t="shared" si="10"/>
        <v>Предприятие ПРОФ (1 пользователь)ОПТИМАЛЬНЫЙ9</v>
      </c>
      <c r="E193" s="145">
        <v>0.05</v>
      </c>
      <c r="F193" s="144">
        <v>9</v>
      </c>
      <c r="G193" s="144" t="s">
        <v>231</v>
      </c>
      <c r="H193" s="239" t="str">
        <f t="shared" si="6"/>
        <v>Акция_Пр.88 (15мая-31июля25)</v>
      </c>
    </row>
    <row r="194" spans="1:8" x14ac:dyDescent="0.3">
      <c r="A194" s="128" t="s">
        <v>187</v>
      </c>
      <c r="B194" s="129" t="s">
        <v>73</v>
      </c>
      <c r="C194" s="129" t="s">
        <v>21</v>
      </c>
      <c r="D194" s="129" t="str">
        <f t="shared" si="10"/>
        <v>VIP Предприятие (1 пользователь)ОПТИМАЛЬНЫЙ9</v>
      </c>
      <c r="E194" s="145">
        <v>0.05</v>
      </c>
      <c r="F194" s="144">
        <v>9</v>
      </c>
      <c r="G194" s="144" t="s">
        <v>231</v>
      </c>
      <c r="H194" s="239" t="str">
        <f t="shared" si="6"/>
        <v>Акция_Пр.88 (15мая-31июля25)</v>
      </c>
    </row>
    <row r="195" spans="1:8" x14ac:dyDescent="0.3">
      <c r="A195" s="128" t="s">
        <v>187</v>
      </c>
      <c r="B195" s="129" t="s">
        <v>314</v>
      </c>
      <c r="C195" s="129" t="s">
        <v>21</v>
      </c>
      <c r="D195" s="129" t="str">
        <f t="shared" si="10"/>
        <v>Пакет Программ Главный Бухгалтер, Podpis (1 пользователь, ЛД)ОПТИМАЛЬНЫЙ9</v>
      </c>
      <c r="E195" s="130"/>
      <c r="F195" s="129">
        <v>9</v>
      </c>
      <c r="G195" s="129"/>
      <c r="H195" s="138"/>
    </row>
    <row r="196" spans="1:8" x14ac:dyDescent="0.3">
      <c r="A196" s="128" t="s">
        <v>187</v>
      </c>
      <c r="B196" s="129" t="s">
        <v>312</v>
      </c>
      <c r="C196" s="129" t="s">
        <v>21</v>
      </c>
      <c r="D196" s="129" t="str">
        <f t="shared" si="10"/>
        <v>Пакет Программ Главный Бухгалтер, Podpis, ilex.Накладные (1 пользователь, ЛД)ОПТИМАЛЬНЫЙ9</v>
      </c>
      <c r="E196" s="130"/>
      <c r="F196" s="129">
        <v>9</v>
      </c>
      <c r="G196" s="129"/>
      <c r="H196" s="138"/>
    </row>
    <row r="197" spans="1:8" x14ac:dyDescent="0.3">
      <c r="A197" s="128" t="s">
        <v>187</v>
      </c>
      <c r="B197" s="129" t="s">
        <v>315</v>
      </c>
      <c r="C197" s="129" t="s">
        <v>21</v>
      </c>
      <c r="D197" s="129" t="str">
        <f t="shared" si="10"/>
        <v>Пакет Программ Главный Бухгалтер ПРОФ, Podpis (1 пользователь, ЛД)ОПТИМАЛЬНЫЙ9</v>
      </c>
      <c r="E197" s="145">
        <v>0.15</v>
      </c>
      <c r="F197" s="144">
        <v>9</v>
      </c>
      <c r="G197" s="129"/>
      <c r="H197" s="239" t="str">
        <f t="shared" ref="H197:H198" si="11">$B$42</f>
        <v>Акция_Пр.88 (15мая-31июля25)</v>
      </c>
    </row>
    <row r="198" spans="1:8" x14ac:dyDescent="0.3">
      <c r="A198" s="128" t="s">
        <v>187</v>
      </c>
      <c r="B198" s="129" t="s">
        <v>313</v>
      </c>
      <c r="C198" s="129" t="s">
        <v>21</v>
      </c>
      <c r="D198" s="129" t="str">
        <f t="shared" si="10"/>
        <v>Пакет Программ Главный Бухгалтер ПРОФ, Podpis, ilex.Накладные (1 пользователь, ЛД)ОПТИМАЛЬНЫЙ9</v>
      </c>
      <c r="E198" s="145">
        <v>0.15</v>
      </c>
      <c r="F198" s="144">
        <v>9</v>
      </c>
      <c r="G198" s="129"/>
      <c r="H198" s="239" t="str">
        <f t="shared" si="11"/>
        <v>Акция_Пр.88 (15мая-31июля25)</v>
      </c>
    </row>
    <row r="199" spans="1:8" x14ac:dyDescent="0.3">
      <c r="A199" s="128" t="s">
        <v>186</v>
      </c>
      <c r="B199" s="129" t="s">
        <v>9</v>
      </c>
      <c r="C199" s="129" t="s">
        <v>20</v>
      </c>
      <c r="D199" s="129" t="str">
        <f t="shared" ref="D199:D206" si="12">CONCATENATE(B199,C199,F199)</f>
        <v>Предприятие ПРОФЭКСПЕРТ9</v>
      </c>
      <c r="E199" s="145">
        <v>0.05</v>
      </c>
      <c r="F199" s="144">
        <v>9</v>
      </c>
      <c r="G199" s="144" t="s">
        <v>231</v>
      </c>
      <c r="H199" s="239" t="str">
        <f t="shared" ref="H199:H206" si="13">$B$42</f>
        <v>Акция_Пр.88 (15мая-31июля25)</v>
      </c>
    </row>
    <row r="200" spans="1:8" x14ac:dyDescent="0.3">
      <c r="A200" s="128" t="s">
        <v>186</v>
      </c>
      <c r="B200" s="129" t="s">
        <v>4</v>
      </c>
      <c r="C200" s="129" t="s">
        <v>20</v>
      </c>
      <c r="D200" s="129" t="str">
        <f t="shared" si="12"/>
        <v>ПредприятиеЭКСПЕРТ9</v>
      </c>
      <c r="E200" s="145">
        <v>0.05</v>
      </c>
      <c r="F200" s="144">
        <v>9</v>
      </c>
      <c r="G200" s="144" t="s">
        <v>231</v>
      </c>
      <c r="H200" s="239" t="str">
        <f t="shared" si="13"/>
        <v>Акция_Пр.88 (15мая-31июля25)</v>
      </c>
    </row>
    <row r="201" spans="1:8" x14ac:dyDescent="0.3">
      <c r="A201" s="128" t="s">
        <v>186</v>
      </c>
      <c r="B201" s="129" t="s">
        <v>10</v>
      </c>
      <c r="C201" s="129" t="s">
        <v>20</v>
      </c>
      <c r="D201" s="129" t="str">
        <f t="shared" si="12"/>
        <v>Главный Бухгалтер ПРОФЭКСПЕРТ9</v>
      </c>
      <c r="E201" s="145">
        <v>0.05</v>
      </c>
      <c r="F201" s="144">
        <v>9</v>
      </c>
      <c r="G201" s="144" t="s">
        <v>231</v>
      </c>
      <c r="H201" s="239" t="str">
        <f t="shared" si="13"/>
        <v>Акция_Пр.88 (15мая-31июля25)</v>
      </c>
    </row>
    <row r="202" spans="1:8" x14ac:dyDescent="0.3">
      <c r="A202" s="128" t="s">
        <v>186</v>
      </c>
      <c r="B202" s="129" t="s">
        <v>11</v>
      </c>
      <c r="C202" s="129" t="s">
        <v>20</v>
      </c>
      <c r="D202" s="129" t="str">
        <f t="shared" si="12"/>
        <v>VIP ПредприятиеЭКСПЕРТ9</v>
      </c>
      <c r="E202" s="145">
        <v>0.05</v>
      </c>
      <c r="F202" s="144">
        <v>9</v>
      </c>
      <c r="G202" s="144" t="s">
        <v>231</v>
      </c>
      <c r="H202" s="239" t="str">
        <f t="shared" si="13"/>
        <v>Акция_Пр.88 (15мая-31июля25)</v>
      </c>
    </row>
    <row r="203" spans="1:8" x14ac:dyDescent="0.3">
      <c r="A203" s="128" t="s">
        <v>186</v>
      </c>
      <c r="B203" s="129" t="s">
        <v>9</v>
      </c>
      <c r="C203" s="129" t="s">
        <v>21</v>
      </c>
      <c r="D203" s="129" t="str">
        <f t="shared" si="12"/>
        <v>Предприятие ПРОФОПТИМАЛЬНЫЙ9</v>
      </c>
      <c r="E203" s="145">
        <v>0.05</v>
      </c>
      <c r="F203" s="144">
        <v>9</v>
      </c>
      <c r="G203" s="144" t="s">
        <v>231</v>
      </c>
      <c r="H203" s="239" t="str">
        <f t="shared" si="13"/>
        <v>Акция_Пр.88 (15мая-31июля25)</v>
      </c>
    </row>
    <row r="204" spans="1:8" x14ac:dyDescent="0.3">
      <c r="A204" s="128" t="s">
        <v>186</v>
      </c>
      <c r="B204" s="129" t="s">
        <v>4</v>
      </c>
      <c r="C204" s="129" t="s">
        <v>21</v>
      </c>
      <c r="D204" s="129" t="str">
        <f t="shared" si="12"/>
        <v>ПредприятиеОПТИМАЛЬНЫЙ9</v>
      </c>
      <c r="E204" s="145">
        <v>0.05</v>
      </c>
      <c r="F204" s="144">
        <v>9</v>
      </c>
      <c r="G204" s="144" t="s">
        <v>231</v>
      </c>
      <c r="H204" s="239" t="str">
        <f t="shared" si="13"/>
        <v>Акция_Пр.88 (15мая-31июля25)</v>
      </c>
    </row>
    <row r="205" spans="1:8" x14ac:dyDescent="0.3">
      <c r="A205" s="128" t="s">
        <v>186</v>
      </c>
      <c r="B205" s="129" t="s">
        <v>10</v>
      </c>
      <c r="C205" s="129" t="s">
        <v>21</v>
      </c>
      <c r="D205" s="129" t="str">
        <f t="shared" si="12"/>
        <v>Главный Бухгалтер ПРОФОПТИМАЛЬНЫЙ9</v>
      </c>
      <c r="E205" s="145">
        <v>0.05</v>
      </c>
      <c r="F205" s="144">
        <v>9</v>
      </c>
      <c r="G205" s="144" t="s">
        <v>231</v>
      </c>
      <c r="H205" s="239" t="str">
        <f t="shared" si="13"/>
        <v>Акция_Пр.88 (15мая-31июля25)</v>
      </c>
    </row>
    <row r="206" spans="1:8" x14ac:dyDescent="0.3">
      <c r="A206" s="128" t="s">
        <v>186</v>
      </c>
      <c r="B206" s="129" t="s">
        <v>11</v>
      </c>
      <c r="C206" s="129" t="s">
        <v>21</v>
      </c>
      <c r="D206" s="129" t="str">
        <f t="shared" si="12"/>
        <v>VIP ПредприятиеОПТИМАЛЬНЫЙ9</v>
      </c>
      <c r="E206" s="145">
        <v>0.05</v>
      </c>
      <c r="F206" s="144">
        <v>9</v>
      </c>
      <c r="G206" s="144" t="s">
        <v>231</v>
      </c>
      <c r="H206" s="239" t="str">
        <f t="shared" si="13"/>
        <v>Акция_Пр.88 (15мая-31июля25)</v>
      </c>
    </row>
    <row r="207" spans="1:8" x14ac:dyDescent="0.3">
      <c r="A207" s="128" t="s">
        <v>186</v>
      </c>
      <c r="B207" s="129" t="s">
        <v>9</v>
      </c>
      <c r="C207" s="129" t="s">
        <v>189</v>
      </c>
      <c r="D207" s="129" t="str">
        <f t="shared" ref="D207:D222" si="14">CONCATENATE(B207,C207,F207)</f>
        <v>Предприятие ПРОФЭКСПЕРТОПТИМАЛЬНЫЙ9</v>
      </c>
      <c r="E207" s="145">
        <v>0.05</v>
      </c>
      <c r="F207" s="144">
        <v>9</v>
      </c>
      <c r="G207" s="144" t="s">
        <v>231</v>
      </c>
      <c r="H207" s="239" t="str">
        <f t="shared" ref="H207:H237" si="15">$B$42</f>
        <v>Акция_Пр.88 (15мая-31июля25)</v>
      </c>
    </row>
    <row r="208" spans="1:8" x14ac:dyDescent="0.3">
      <c r="A208" s="128" t="s">
        <v>186</v>
      </c>
      <c r="B208" s="129" t="s">
        <v>4</v>
      </c>
      <c r="C208" s="129" t="s">
        <v>189</v>
      </c>
      <c r="D208" s="129" t="str">
        <f t="shared" si="14"/>
        <v>ПредприятиеЭКСПЕРТОПТИМАЛЬНЫЙ9</v>
      </c>
      <c r="E208" s="145">
        <v>0.05</v>
      </c>
      <c r="F208" s="144">
        <v>9</v>
      </c>
      <c r="G208" s="144" t="s">
        <v>231</v>
      </c>
      <c r="H208" s="239" t="str">
        <f t="shared" si="15"/>
        <v>Акция_Пр.88 (15мая-31июля25)</v>
      </c>
    </row>
    <row r="209" spans="1:8" x14ac:dyDescent="0.3">
      <c r="A209" s="128" t="s">
        <v>186</v>
      </c>
      <c r="B209" s="129" t="s">
        <v>10</v>
      </c>
      <c r="C209" s="129" t="s">
        <v>189</v>
      </c>
      <c r="D209" s="129" t="str">
        <f t="shared" si="14"/>
        <v>Главный Бухгалтер ПРОФЭКСПЕРТОПТИМАЛЬНЫЙ9</v>
      </c>
      <c r="E209" s="145">
        <v>0.05</v>
      </c>
      <c r="F209" s="144">
        <v>9</v>
      </c>
      <c r="G209" s="144" t="s">
        <v>231</v>
      </c>
      <c r="H209" s="239" t="str">
        <f t="shared" si="15"/>
        <v>Акция_Пр.88 (15мая-31июля25)</v>
      </c>
    </row>
    <row r="210" spans="1:8" x14ac:dyDescent="0.3">
      <c r="A210" s="128" t="s">
        <v>186</v>
      </c>
      <c r="B210" s="129" t="s">
        <v>11</v>
      </c>
      <c r="C210" s="129" t="s">
        <v>189</v>
      </c>
      <c r="D210" s="129" t="str">
        <f t="shared" si="14"/>
        <v>VIP ПредприятиеЭКСПЕРТОПТИМАЛЬНЫЙ9</v>
      </c>
      <c r="E210" s="145">
        <v>0.05</v>
      </c>
      <c r="F210" s="144">
        <v>9</v>
      </c>
      <c r="G210" s="144" t="s">
        <v>231</v>
      </c>
      <c r="H210" s="239" t="str">
        <f t="shared" si="15"/>
        <v>Акция_Пр.88 (15мая-31июля25)</v>
      </c>
    </row>
    <row r="211" spans="1:8" x14ac:dyDescent="0.3">
      <c r="A211" s="128" t="s">
        <v>186</v>
      </c>
      <c r="B211" s="129" t="s">
        <v>9</v>
      </c>
      <c r="C211" s="129" t="s">
        <v>190</v>
      </c>
      <c r="D211" s="129" t="str">
        <f t="shared" si="14"/>
        <v>Предприятие ПРОФЭКСПЕРТМИНИМАЛЬНЫЙ9</v>
      </c>
      <c r="E211" s="145">
        <v>0.05</v>
      </c>
      <c r="F211" s="144">
        <v>9</v>
      </c>
      <c r="G211" s="144" t="s">
        <v>231</v>
      </c>
      <c r="H211" s="239" t="str">
        <f t="shared" si="15"/>
        <v>Акция_Пр.88 (15мая-31июля25)</v>
      </c>
    </row>
    <row r="212" spans="1:8" x14ac:dyDescent="0.3">
      <c r="A212" s="128" t="s">
        <v>186</v>
      </c>
      <c r="B212" s="129" t="s">
        <v>4</v>
      </c>
      <c r="C212" s="129" t="s">
        <v>190</v>
      </c>
      <c r="D212" s="129" t="str">
        <f t="shared" si="14"/>
        <v>ПредприятиеЭКСПЕРТМИНИМАЛЬНЫЙ9</v>
      </c>
      <c r="E212" s="145">
        <v>0.05</v>
      </c>
      <c r="F212" s="144">
        <v>9</v>
      </c>
      <c r="G212" s="144" t="s">
        <v>231</v>
      </c>
      <c r="H212" s="239" t="str">
        <f t="shared" si="15"/>
        <v>Акция_Пр.88 (15мая-31июля25)</v>
      </c>
    </row>
    <row r="213" spans="1:8" x14ac:dyDescent="0.3">
      <c r="A213" s="128" t="s">
        <v>186</v>
      </c>
      <c r="B213" s="129" t="s">
        <v>10</v>
      </c>
      <c r="C213" s="129" t="s">
        <v>192</v>
      </c>
      <c r="D213" s="129" t="str">
        <f t="shared" si="14"/>
        <v>Главный Бухгалтер ПРОФЭКСПЕРТБАЗОВЫЙ9</v>
      </c>
      <c r="E213" s="145">
        <v>0.05</v>
      </c>
      <c r="F213" s="144">
        <v>9</v>
      </c>
      <c r="G213" s="144" t="s">
        <v>231</v>
      </c>
      <c r="H213" s="239" t="str">
        <f t="shared" si="15"/>
        <v>Акция_Пр.88 (15мая-31июля25)</v>
      </c>
    </row>
    <row r="214" spans="1:8" x14ac:dyDescent="0.3">
      <c r="A214" s="128" t="s">
        <v>186</v>
      </c>
      <c r="B214" s="129" t="s">
        <v>11</v>
      </c>
      <c r="C214" s="129" t="s">
        <v>190</v>
      </c>
      <c r="D214" s="129" t="str">
        <f t="shared" si="14"/>
        <v>VIP ПредприятиеЭКСПЕРТМИНИМАЛЬНЫЙ9</v>
      </c>
      <c r="E214" s="145">
        <v>0.05</v>
      </c>
      <c r="F214" s="144">
        <v>9</v>
      </c>
      <c r="G214" s="144" t="s">
        <v>231</v>
      </c>
      <c r="H214" s="239" t="str">
        <f t="shared" si="15"/>
        <v>Акция_Пр.88 (15мая-31июля25)</v>
      </c>
    </row>
    <row r="215" spans="1:8" x14ac:dyDescent="0.3">
      <c r="A215" s="128" t="s">
        <v>186</v>
      </c>
      <c r="B215" s="129" t="s">
        <v>9</v>
      </c>
      <c r="C215" s="129" t="s">
        <v>191</v>
      </c>
      <c r="D215" s="129" t="str">
        <f t="shared" si="14"/>
        <v>Предприятие ПРОФОПТИМАЛЬНЫЙМИНИМАЛЬНЫЙ</v>
      </c>
      <c r="E215" s="130"/>
      <c r="F215" s="129"/>
      <c r="G215" s="129"/>
      <c r="H215" s="138"/>
    </row>
    <row r="216" spans="1:8" x14ac:dyDescent="0.3">
      <c r="A216" s="128" t="s">
        <v>186</v>
      </c>
      <c r="B216" s="129" t="s">
        <v>4</v>
      </c>
      <c r="C216" s="129" t="s">
        <v>191</v>
      </c>
      <c r="D216" s="129" t="str">
        <f t="shared" si="14"/>
        <v>ПредприятиеОПТИМАЛЬНЫЙМИНИМАЛЬНЫЙ</v>
      </c>
      <c r="E216" s="130"/>
      <c r="F216" s="129"/>
      <c r="G216" s="129"/>
      <c r="H216" s="138"/>
    </row>
    <row r="217" spans="1:8" x14ac:dyDescent="0.3">
      <c r="A217" s="128" t="s">
        <v>186</v>
      </c>
      <c r="B217" s="129" t="s">
        <v>10</v>
      </c>
      <c r="C217" s="129" t="s">
        <v>234</v>
      </c>
      <c r="D217" s="129" t="str">
        <f t="shared" si="14"/>
        <v>Главный Бухгалтер ПРОФОПТИМАЛЬНЫЙБАЗОВЫЙ</v>
      </c>
      <c r="E217" s="130"/>
      <c r="F217" s="129"/>
      <c r="G217" s="129"/>
      <c r="H217" s="138"/>
    </row>
    <row r="218" spans="1:8" x14ac:dyDescent="0.3">
      <c r="A218" s="128" t="s">
        <v>186</v>
      </c>
      <c r="B218" s="129" t="s">
        <v>11</v>
      </c>
      <c r="C218" s="129" t="s">
        <v>191</v>
      </c>
      <c r="D218" s="129" t="str">
        <f t="shared" si="14"/>
        <v>VIP ПредприятиеОПТИМАЛЬНЫЙМИНИМАЛЬНЫЙ</v>
      </c>
      <c r="E218" s="130"/>
      <c r="F218" s="129"/>
      <c r="G218" s="129"/>
      <c r="H218" s="138"/>
    </row>
    <row r="219" spans="1:8" x14ac:dyDescent="0.3">
      <c r="A219" s="128" t="s">
        <v>186</v>
      </c>
      <c r="B219" s="129" t="s">
        <v>9</v>
      </c>
      <c r="C219" s="129" t="s">
        <v>194</v>
      </c>
      <c r="D219" s="129" t="str">
        <f t="shared" si="14"/>
        <v>Предприятие ПРОФЭКСПЕРТОПТИМАЛЬНЫЙМИНИМАЛЬНЫЙ9</v>
      </c>
      <c r="E219" s="151">
        <v>0.05</v>
      </c>
      <c r="F219" s="152">
        <v>9</v>
      </c>
      <c r="G219" s="152" t="s">
        <v>231</v>
      </c>
      <c r="H219" s="239" t="str">
        <f t="shared" si="15"/>
        <v>Акция_Пр.88 (15мая-31июля25)</v>
      </c>
    </row>
    <row r="220" spans="1:8" x14ac:dyDescent="0.3">
      <c r="A220" s="128" t="s">
        <v>186</v>
      </c>
      <c r="B220" s="129" t="s">
        <v>4</v>
      </c>
      <c r="C220" s="129" t="s">
        <v>194</v>
      </c>
      <c r="D220" s="129" t="str">
        <f t="shared" si="14"/>
        <v>ПредприятиеЭКСПЕРТОПТИМАЛЬНЫЙМИНИМАЛЬНЫЙ9</v>
      </c>
      <c r="E220" s="151">
        <v>0.05</v>
      </c>
      <c r="F220" s="152">
        <v>9</v>
      </c>
      <c r="G220" s="152" t="s">
        <v>231</v>
      </c>
      <c r="H220" s="239" t="str">
        <f t="shared" si="15"/>
        <v>Акция_Пр.88 (15мая-31июля25)</v>
      </c>
    </row>
    <row r="221" spans="1:8" x14ac:dyDescent="0.3">
      <c r="A221" s="128" t="s">
        <v>186</v>
      </c>
      <c r="B221" s="129" t="s">
        <v>10</v>
      </c>
      <c r="C221" s="129" t="s">
        <v>195</v>
      </c>
      <c r="D221" s="129" t="str">
        <f t="shared" si="14"/>
        <v>Главный Бухгалтер ПРОФЭКСПЕРТОПТИМАЛЬНЫЙБАЗОВЫЙ9</v>
      </c>
      <c r="E221" s="151">
        <v>0.05</v>
      </c>
      <c r="F221" s="152">
        <v>9</v>
      </c>
      <c r="G221" s="152" t="s">
        <v>231</v>
      </c>
      <c r="H221" s="239" t="str">
        <f t="shared" si="15"/>
        <v>Акция_Пр.88 (15мая-31июля25)</v>
      </c>
    </row>
    <row r="222" spans="1:8" x14ac:dyDescent="0.3">
      <c r="A222" s="128" t="s">
        <v>186</v>
      </c>
      <c r="B222" s="129" t="s">
        <v>11</v>
      </c>
      <c r="C222" s="129" t="s">
        <v>194</v>
      </c>
      <c r="D222" s="129" t="str">
        <f t="shared" si="14"/>
        <v>VIP ПредприятиеЭКСПЕРТОПТИМАЛЬНЫЙМИНИМАЛЬНЫЙ9</v>
      </c>
      <c r="E222" s="151">
        <v>0.05</v>
      </c>
      <c r="F222" s="152">
        <v>9</v>
      </c>
      <c r="G222" s="152" t="s">
        <v>231</v>
      </c>
      <c r="H222" s="239" t="str">
        <f t="shared" si="15"/>
        <v>Акция_Пр.88 (15мая-31июля25)</v>
      </c>
    </row>
    <row r="223" spans="1:8" x14ac:dyDescent="0.3">
      <c r="A223" s="128" t="s">
        <v>187</v>
      </c>
      <c r="B223" s="129" t="s">
        <v>50</v>
      </c>
      <c r="C223" s="129" t="s">
        <v>20</v>
      </c>
      <c r="D223" s="129" t="str">
        <f t="shared" ref="D223:D241" si="16">_xlfn.CONCAT(B223,C223,F223)</f>
        <v>Предприятие (1 пользователь)ЭКСПЕРТ10</v>
      </c>
      <c r="E223" s="325">
        <v>0.05</v>
      </c>
      <c r="F223" s="144">
        <v>10</v>
      </c>
      <c r="G223" s="144" t="s">
        <v>231</v>
      </c>
      <c r="H223" s="239" t="str">
        <f t="shared" si="15"/>
        <v>Акция_Пр.88 (15мая-31июля25)</v>
      </c>
    </row>
    <row r="224" spans="1:8" x14ac:dyDescent="0.3">
      <c r="A224" s="128" t="s">
        <v>187</v>
      </c>
      <c r="B224" s="129" t="s">
        <v>51</v>
      </c>
      <c r="C224" s="129" t="s">
        <v>20</v>
      </c>
      <c r="D224" s="129" t="str">
        <f t="shared" si="16"/>
        <v>Предприятие ПРОФ (1 пользователь)ЭКСПЕРТ10</v>
      </c>
      <c r="E224" s="145">
        <v>0.05</v>
      </c>
      <c r="F224" s="144">
        <v>10</v>
      </c>
      <c r="G224" s="144" t="s">
        <v>231</v>
      </c>
      <c r="H224" s="239" t="str">
        <f t="shared" si="15"/>
        <v>Акция_Пр.88 (15мая-31июля25)</v>
      </c>
    </row>
    <row r="225" spans="1:8" x14ac:dyDescent="0.3">
      <c r="A225" s="128" t="s">
        <v>187</v>
      </c>
      <c r="B225" s="129" t="s">
        <v>49</v>
      </c>
      <c r="C225" s="129" t="s">
        <v>20</v>
      </c>
      <c r="D225" s="129" t="str">
        <f t="shared" si="16"/>
        <v>Главный Бухгалтер ПРОФ (1 пользователь)ЭКСПЕРТ10</v>
      </c>
      <c r="E225" s="145">
        <v>0.05</v>
      </c>
      <c r="F225" s="144">
        <v>10</v>
      </c>
      <c r="G225" s="144" t="s">
        <v>231</v>
      </c>
      <c r="H225" s="239" t="str">
        <f t="shared" si="15"/>
        <v>Акция_Пр.88 (15мая-31июля25)</v>
      </c>
    </row>
    <row r="226" spans="1:8" x14ac:dyDescent="0.3">
      <c r="A226" s="128" t="s">
        <v>187</v>
      </c>
      <c r="B226" s="129" t="s">
        <v>73</v>
      </c>
      <c r="C226" s="129" t="s">
        <v>20</v>
      </c>
      <c r="D226" s="129" t="str">
        <f t="shared" si="16"/>
        <v>VIP Предприятие (1 пользователь)ЭКСПЕРТ10</v>
      </c>
      <c r="E226" s="145">
        <v>0.05</v>
      </c>
      <c r="F226" s="144">
        <v>10</v>
      </c>
      <c r="G226" s="144" t="s">
        <v>231</v>
      </c>
      <c r="H226" s="239" t="str">
        <f t="shared" si="15"/>
        <v>Акция_Пр.88 (15мая-31июля25)</v>
      </c>
    </row>
    <row r="227" spans="1:8" x14ac:dyDescent="0.3">
      <c r="A227" s="128" t="s">
        <v>187</v>
      </c>
      <c r="B227" s="129" t="s">
        <v>314</v>
      </c>
      <c r="C227" s="129" t="s">
        <v>20</v>
      </c>
      <c r="D227" s="129" t="str">
        <f t="shared" si="16"/>
        <v>Пакет Программ Главный Бухгалтер, Podpis (1 пользователь, ЛД)ЭКСПЕРТ10</v>
      </c>
      <c r="E227" s="145">
        <v>0.2</v>
      </c>
      <c r="F227" s="144">
        <v>10</v>
      </c>
      <c r="G227" s="129"/>
      <c r="H227" s="239" t="str">
        <f t="shared" si="15"/>
        <v>Акция_Пр.88 (15мая-31июля25)</v>
      </c>
    </row>
    <row r="228" spans="1:8" x14ac:dyDescent="0.3">
      <c r="A228" s="128" t="s">
        <v>187</v>
      </c>
      <c r="B228" s="129" t="s">
        <v>312</v>
      </c>
      <c r="C228" s="129" t="s">
        <v>20</v>
      </c>
      <c r="D228" s="129" t="str">
        <f t="shared" si="16"/>
        <v>Пакет Программ Главный Бухгалтер, Podpis, ilex.Накладные (1 пользователь, ЛД)ЭКСПЕРТ10</v>
      </c>
      <c r="E228" s="145">
        <v>0.2</v>
      </c>
      <c r="F228" s="144">
        <v>10</v>
      </c>
      <c r="G228" s="129"/>
      <c r="H228" s="239" t="str">
        <f t="shared" si="15"/>
        <v>Акция_Пр.88 (15мая-31июля25)</v>
      </c>
    </row>
    <row r="229" spans="1:8" x14ac:dyDescent="0.3">
      <c r="A229" s="128" t="s">
        <v>187</v>
      </c>
      <c r="B229" s="129" t="s">
        <v>315</v>
      </c>
      <c r="C229" s="129" t="s">
        <v>20</v>
      </c>
      <c r="D229" s="129" t="str">
        <f t="shared" si="16"/>
        <v>Пакет Программ Главный Бухгалтер ПРОФ, Podpis (1 пользователь, ЛД)ЭКСПЕРТ10</v>
      </c>
      <c r="E229" s="145">
        <v>0.2</v>
      </c>
      <c r="F229" s="144">
        <v>10</v>
      </c>
      <c r="G229" s="129"/>
      <c r="H229" s="239" t="str">
        <f t="shared" si="15"/>
        <v>Акция_Пр.88 (15мая-31июля25)</v>
      </c>
    </row>
    <row r="230" spans="1:8" x14ac:dyDescent="0.3">
      <c r="A230" s="128" t="s">
        <v>187</v>
      </c>
      <c r="B230" s="129" t="s">
        <v>313</v>
      </c>
      <c r="C230" s="129" t="s">
        <v>20</v>
      </c>
      <c r="D230" s="129" t="str">
        <f t="shared" si="16"/>
        <v>Пакет Программ Главный Бухгалтер ПРОФ, Podpis, ilex.Накладные (1 пользователь, ЛД)ЭКСПЕРТ10</v>
      </c>
      <c r="E230" s="145">
        <v>0.2</v>
      </c>
      <c r="F230" s="144">
        <v>10</v>
      </c>
      <c r="G230" s="129"/>
      <c r="H230" s="239" t="str">
        <f t="shared" si="15"/>
        <v>Акция_Пр.88 (15мая-31июля25)</v>
      </c>
    </row>
    <row r="231" spans="1:8" x14ac:dyDescent="0.3">
      <c r="A231" s="128" t="s">
        <v>187</v>
      </c>
      <c r="B231" s="129" t="s">
        <v>314</v>
      </c>
      <c r="C231" s="129" t="s">
        <v>188</v>
      </c>
      <c r="D231" s="129" t="str">
        <f t="shared" si="16"/>
        <v>Пакет Программ Главный Бухгалтер, Podpis (1 пользователь, ЛД)ОПТИМАЛЬНЫЙ ПЛЮС10</v>
      </c>
      <c r="E231" s="145">
        <v>0.15</v>
      </c>
      <c r="F231" s="144">
        <v>10</v>
      </c>
      <c r="G231" s="129"/>
      <c r="H231" s="239" t="str">
        <f t="shared" si="15"/>
        <v>Акция_Пр.88 (15мая-31июля25)</v>
      </c>
    </row>
    <row r="232" spans="1:8" x14ac:dyDescent="0.3">
      <c r="A232" s="128" t="s">
        <v>187</v>
      </c>
      <c r="B232" s="129" t="s">
        <v>312</v>
      </c>
      <c r="C232" s="129" t="s">
        <v>188</v>
      </c>
      <c r="D232" s="129" t="str">
        <f t="shared" si="16"/>
        <v>Пакет Программ Главный Бухгалтер, Podpis, ilex.Накладные (1 пользователь, ЛД)ОПТИМАЛЬНЫЙ ПЛЮС10</v>
      </c>
      <c r="E232" s="145">
        <v>0.15</v>
      </c>
      <c r="F232" s="144">
        <v>10</v>
      </c>
      <c r="G232" s="129"/>
      <c r="H232" s="239" t="str">
        <f t="shared" si="15"/>
        <v>Акция_Пр.88 (15мая-31июля25)</v>
      </c>
    </row>
    <row r="233" spans="1:8" x14ac:dyDescent="0.3">
      <c r="A233" s="128" t="s">
        <v>187</v>
      </c>
      <c r="B233" s="129" t="s">
        <v>315</v>
      </c>
      <c r="C233" s="129" t="s">
        <v>188</v>
      </c>
      <c r="D233" s="129" t="str">
        <f t="shared" si="16"/>
        <v>Пакет Программ Главный Бухгалтер ПРОФ, Podpis (1 пользователь, ЛД)ОПТИМАЛЬНЫЙ ПЛЮС10</v>
      </c>
      <c r="E233" s="145">
        <v>0.15</v>
      </c>
      <c r="F233" s="144">
        <v>10</v>
      </c>
      <c r="G233" s="129"/>
      <c r="H233" s="239" t="str">
        <f t="shared" si="15"/>
        <v>Акция_Пр.88 (15мая-31июля25)</v>
      </c>
    </row>
    <row r="234" spans="1:8" x14ac:dyDescent="0.3">
      <c r="A234" s="128" t="s">
        <v>187</v>
      </c>
      <c r="B234" s="129" t="s">
        <v>313</v>
      </c>
      <c r="C234" s="129" t="s">
        <v>188</v>
      </c>
      <c r="D234" s="129" t="str">
        <f t="shared" si="16"/>
        <v>Пакет Программ Главный Бухгалтер ПРОФ, Podpis, ilex.Накладные (1 пользователь, ЛД)ОПТИМАЛЬНЫЙ ПЛЮС10</v>
      </c>
      <c r="E234" s="145">
        <v>0.15</v>
      </c>
      <c r="F234" s="144">
        <v>10</v>
      </c>
      <c r="G234" s="129"/>
      <c r="H234" s="239" t="str">
        <f t="shared" si="15"/>
        <v>Акция_Пр.88 (15мая-31июля25)</v>
      </c>
    </row>
    <row r="235" spans="1:8" x14ac:dyDescent="0.3">
      <c r="A235" s="128" t="s">
        <v>187</v>
      </c>
      <c r="B235" s="129" t="s">
        <v>50</v>
      </c>
      <c r="C235" s="129" t="s">
        <v>21</v>
      </c>
      <c r="D235" s="129" t="str">
        <f t="shared" si="16"/>
        <v>Предприятие (1 пользователь)ОПТИМАЛЬНЫЙ10</v>
      </c>
      <c r="E235" s="325">
        <v>0.05</v>
      </c>
      <c r="F235" s="144">
        <v>10</v>
      </c>
      <c r="G235" s="144" t="s">
        <v>231</v>
      </c>
      <c r="H235" s="239" t="str">
        <f t="shared" si="15"/>
        <v>Акция_Пр.88 (15мая-31июля25)</v>
      </c>
    </row>
    <row r="236" spans="1:8" x14ac:dyDescent="0.3">
      <c r="A236" s="128" t="s">
        <v>187</v>
      </c>
      <c r="B236" s="129" t="s">
        <v>51</v>
      </c>
      <c r="C236" s="129" t="s">
        <v>21</v>
      </c>
      <c r="D236" s="129" t="str">
        <f t="shared" si="16"/>
        <v>Предприятие ПРОФ (1 пользователь)ОПТИМАЛЬНЫЙ10</v>
      </c>
      <c r="E236" s="145">
        <v>0.05</v>
      </c>
      <c r="F236" s="144">
        <v>10</v>
      </c>
      <c r="G236" s="144" t="s">
        <v>231</v>
      </c>
      <c r="H236" s="239" t="str">
        <f t="shared" si="15"/>
        <v>Акция_Пр.88 (15мая-31июля25)</v>
      </c>
    </row>
    <row r="237" spans="1:8" x14ac:dyDescent="0.3">
      <c r="A237" s="128" t="s">
        <v>187</v>
      </c>
      <c r="B237" s="129" t="s">
        <v>73</v>
      </c>
      <c r="C237" s="129" t="s">
        <v>21</v>
      </c>
      <c r="D237" s="129" t="str">
        <f t="shared" si="16"/>
        <v>VIP Предприятие (1 пользователь)ОПТИМАЛЬНЫЙ10</v>
      </c>
      <c r="E237" s="145">
        <v>0.05</v>
      </c>
      <c r="F237" s="144">
        <v>10</v>
      </c>
      <c r="G237" s="144" t="s">
        <v>231</v>
      </c>
      <c r="H237" s="239" t="str">
        <f t="shared" si="15"/>
        <v>Акция_Пр.88 (15мая-31июля25)</v>
      </c>
    </row>
    <row r="238" spans="1:8" x14ac:dyDescent="0.3">
      <c r="A238" s="128" t="s">
        <v>187</v>
      </c>
      <c r="B238" s="129" t="s">
        <v>314</v>
      </c>
      <c r="C238" s="129" t="s">
        <v>21</v>
      </c>
      <c r="D238" s="129" t="str">
        <f t="shared" si="16"/>
        <v>Пакет Программ Главный Бухгалтер, Podpis (1 пользователь, ЛД)ОПТИМАЛЬНЫЙ10</v>
      </c>
      <c r="E238" s="130"/>
      <c r="F238" s="129">
        <v>10</v>
      </c>
      <c r="G238" s="129"/>
      <c r="H238" s="138"/>
    </row>
    <row r="239" spans="1:8" x14ac:dyDescent="0.3">
      <c r="A239" s="128" t="s">
        <v>187</v>
      </c>
      <c r="B239" s="129" t="s">
        <v>312</v>
      </c>
      <c r="C239" s="129" t="s">
        <v>21</v>
      </c>
      <c r="D239" s="129" t="str">
        <f t="shared" si="16"/>
        <v>Пакет Программ Главный Бухгалтер, Podpis, ilex.Накладные (1 пользователь, ЛД)ОПТИМАЛЬНЫЙ10</v>
      </c>
      <c r="E239" s="130"/>
      <c r="F239" s="129">
        <v>10</v>
      </c>
      <c r="G239" s="129"/>
      <c r="H239" s="138"/>
    </row>
    <row r="240" spans="1:8" x14ac:dyDescent="0.3">
      <c r="A240" s="128" t="s">
        <v>187</v>
      </c>
      <c r="B240" s="129" t="s">
        <v>315</v>
      </c>
      <c r="C240" s="129" t="s">
        <v>21</v>
      </c>
      <c r="D240" s="129" t="str">
        <f t="shared" si="16"/>
        <v>Пакет Программ Главный Бухгалтер ПРОФ, Podpis (1 пользователь, ЛД)ОПТИМАЛЬНЫЙ10</v>
      </c>
      <c r="E240" s="145">
        <v>0.15</v>
      </c>
      <c r="F240" s="144">
        <v>10</v>
      </c>
      <c r="G240" s="129"/>
      <c r="H240" s="239" t="str">
        <f t="shared" ref="H240:H280" si="17">$B$42</f>
        <v>Акция_Пр.88 (15мая-31июля25)</v>
      </c>
    </row>
    <row r="241" spans="1:8" x14ac:dyDescent="0.3">
      <c r="A241" s="128" t="s">
        <v>187</v>
      </c>
      <c r="B241" s="129" t="s">
        <v>313</v>
      </c>
      <c r="C241" s="129" t="s">
        <v>21</v>
      </c>
      <c r="D241" s="129" t="str">
        <f t="shared" si="16"/>
        <v>Пакет Программ Главный Бухгалтер ПРОФ, Podpis, ilex.Накладные (1 пользователь, ЛД)ОПТИМАЛЬНЫЙ10</v>
      </c>
      <c r="E241" s="145">
        <v>0.15</v>
      </c>
      <c r="F241" s="144">
        <v>10</v>
      </c>
      <c r="G241" s="129"/>
      <c r="H241" s="239" t="str">
        <f t="shared" si="17"/>
        <v>Акция_Пр.88 (15мая-31июля25)</v>
      </c>
    </row>
    <row r="242" spans="1:8" x14ac:dyDescent="0.3">
      <c r="A242" s="128" t="s">
        <v>186</v>
      </c>
      <c r="B242" s="129" t="s">
        <v>9</v>
      </c>
      <c r="C242" s="129" t="s">
        <v>20</v>
      </c>
      <c r="D242" s="129" t="str">
        <f t="shared" ref="D242:D265" si="18">CONCATENATE(B242,C242,F242)</f>
        <v>Предприятие ПРОФЭКСПЕРТ10</v>
      </c>
      <c r="E242" s="145">
        <v>0.05</v>
      </c>
      <c r="F242" s="144">
        <v>10</v>
      </c>
      <c r="G242" s="144" t="s">
        <v>231</v>
      </c>
      <c r="H242" s="239" t="str">
        <f t="shared" si="17"/>
        <v>Акция_Пр.88 (15мая-31июля25)</v>
      </c>
    </row>
    <row r="243" spans="1:8" x14ac:dyDescent="0.3">
      <c r="A243" s="128" t="s">
        <v>186</v>
      </c>
      <c r="B243" s="129" t="s">
        <v>4</v>
      </c>
      <c r="C243" s="129" t="s">
        <v>20</v>
      </c>
      <c r="D243" s="129" t="str">
        <f t="shared" si="18"/>
        <v>ПредприятиеЭКСПЕРТ10</v>
      </c>
      <c r="E243" s="145">
        <v>0.05</v>
      </c>
      <c r="F243" s="144">
        <v>10</v>
      </c>
      <c r="G243" s="144" t="s">
        <v>231</v>
      </c>
      <c r="H243" s="239" t="str">
        <f t="shared" si="17"/>
        <v>Акция_Пр.88 (15мая-31июля25)</v>
      </c>
    </row>
    <row r="244" spans="1:8" x14ac:dyDescent="0.3">
      <c r="A244" s="128" t="s">
        <v>186</v>
      </c>
      <c r="B244" s="129" t="s">
        <v>10</v>
      </c>
      <c r="C244" s="129" t="s">
        <v>20</v>
      </c>
      <c r="D244" s="129" t="str">
        <f t="shared" si="18"/>
        <v>Главный Бухгалтер ПРОФЭКСПЕРТ10</v>
      </c>
      <c r="E244" s="145">
        <v>0.05</v>
      </c>
      <c r="F244" s="144">
        <v>10</v>
      </c>
      <c r="G244" s="144" t="s">
        <v>231</v>
      </c>
      <c r="H244" s="239" t="str">
        <f t="shared" si="17"/>
        <v>Акция_Пр.88 (15мая-31июля25)</v>
      </c>
    </row>
    <row r="245" spans="1:8" x14ac:dyDescent="0.3">
      <c r="A245" s="128" t="s">
        <v>186</v>
      </c>
      <c r="B245" s="129" t="s">
        <v>11</v>
      </c>
      <c r="C245" s="129" t="s">
        <v>20</v>
      </c>
      <c r="D245" s="129" t="str">
        <f t="shared" si="18"/>
        <v>VIP ПредприятиеЭКСПЕРТ10</v>
      </c>
      <c r="E245" s="145">
        <v>0.05</v>
      </c>
      <c r="F245" s="144">
        <v>10</v>
      </c>
      <c r="G245" s="144" t="s">
        <v>231</v>
      </c>
      <c r="H245" s="239" t="str">
        <f t="shared" si="17"/>
        <v>Акция_Пр.88 (15мая-31июля25)</v>
      </c>
    </row>
    <row r="246" spans="1:8" x14ac:dyDescent="0.3">
      <c r="A246" s="128" t="s">
        <v>186</v>
      </c>
      <c r="B246" s="129" t="s">
        <v>9</v>
      </c>
      <c r="C246" s="129" t="s">
        <v>21</v>
      </c>
      <c r="D246" s="129" t="str">
        <f t="shared" si="18"/>
        <v>Предприятие ПРОФОПТИМАЛЬНЫЙ10</v>
      </c>
      <c r="E246" s="145">
        <v>0.05</v>
      </c>
      <c r="F246" s="144">
        <v>10</v>
      </c>
      <c r="G246" s="144" t="s">
        <v>231</v>
      </c>
      <c r="H246" s="239" t="str">
        <f t="shared" si="17"/>
        <v>Акция_Пр.88 (15мая-31июля25)</v>
      </c>
    </row>
    <row r="247" spans="1:8" x14ac:dyDescent="0.3">
      <c r="A247" s="128" t="s">
        <v>186</v>
      </c>
      <c r="B247" s="129" t="s">
        <v>4</v>
      </c>
      <c r="C247" s="129" t="s">
        <v>21</v>
      </c>
      <c r="D247" s="129" t="str">
        <f t="shared" si="18"/>
        <v>ПредприятиеОПТИМАЛЬНЫЙ10</v>
      </c>
      <c r="E247" s="145">
        <v>0.05</v>
      </c>
      <c r="F247" s="144">
        <v>10</v>
      </c>
      <c r="G247" s="144" t="s">
        <v>231</v>
      </c>
      <c r="H247" s="239" t="str">
        <f t="shared" si="17"/>
        <v>Акция_Пр.88 (15мая-31июля25)</v>
      </c>
    </row>
    <row r="248" spans="1:8" x14ac:dyDescent="0.3">
      <c r="A248" s="128" t="s">
        <v>186</v>
      </c>
      <c r="B248" s="129" t="s">
        <v>10</v>
      </c>
      <c r="C248" s="129" t="s">
        <v>21</v>
      </c>
      <c r="D248" s="129" t="str">
        <f t="shared" si="18"/>
        <v>Главный Бухгалтер ПРОФОПТИМАЛЬНЫЙ10</v>
      </c>
      <c r="E248" s="145">
        <v>0.05</v>
      </c>
      <c r="F248" s="144">
        <v>10</v>
      </c>
      <c r="G248" s="144" t="s">
        <v>231</v>
      </c>
      <c r="H248" s="239" t="str">
        <f t="shared" si="17"/>
        <v>Акция_Пр.88 (15мая-31июля25)</v>
      </c>
    </row>
    <row r="249" spans="1:8" x14ac:dyDescent="0.3">
      <c r="A249" s="128" t="s">
        <v>186</v>
      </c>
      <c r="B249" s="129" t="s">
        <v>11</v>
      </c>
      <c r="C249" s="129" t="s">
        <v>21</v>
      </c>
      <c r="D249" s="129" t="str">
        <f t="shared" si="18"/>
        <v>VIP ПредприятиеОПТИМАЛЬНЫЙ10</v>
      </c>
      <c r="E249" s="145">
        <v>0.05</v>
      </c>
      <c r="F249" s="144">
        <v>10</v>
      </c>
      <c r="G249" s="144" t="s">
        <v>231</v>
      </c>
      <c r="H249" s="239" t="str">
        <f t="shared" si="17"/>
        <v>Акция_Пр.88 (15мая-31июля25)</v>
      </c>
    </row>
    <row r="250" spans="1:8" x14ac:dyDescent="0.3">
      <c r="A250" s="128" t="s">
        <v>186</v>
      </c>
      <c r="B250" s="129" t="s">
        <v>9</v>
      </c>
      <c r="C250" s="129" t="s">
        <v>189</v>
      </c>
      <c r="D250" s="129" t="str">
        <f t="shared" si="18"/>
        <v>Предприятие ПРОФЭКСПЕРТОПТИМАЛЬНЫЙ10</v>
      </c>
      <c r="E250" s="145">
        <v>0.05</v>
      </c>
      <c r="F250" s="144">
        <v>10</v>
      </c>
      <c r="G250" s="144" t="s">
        <v>231</v>
      </c>
      <c r="H250" s="239" t="str">
        <f t="shared" si="17"/>
        <v>Акция_Пр.88 (15мая-31июля25)</v>
      </c>
    </row>
    <row r="251" spans="1:8" x14ac:dyDescent="0.3">
      <c r="A251" s="128" t="s">
        <v>186</v>
      </c>
      <c r="B251" s="129" t="s">
        <v>4</v>
      </c>
      <c r="C251" s="129" t="s">
        <v>189</v>
      </c>
      <c r="D251" s="129" t="str">
        <f t="shared" si="18"/>
        <v>ПредприятиеЭКСПЕРТОПТИМАЛЬНЫЙ10</v>
      </c>
      <c r="E251" s="145">
        <v>0.05</v>
      </c>
      <c r="F251" s="144">
        <v>10</v>
      </c>
      <c r="G251" s="144" t="s">
        <v>231</v>
      </c>
      <c r="H251" s="239" t="str">
        <f t="shared" si="17"/>
        <v>Акция_Пр.88 (15мая-31июля25)</v>
      </c>
    </row>
    <row r="252" spans="1:8" x14ac:dyDescent="0.3">
      <c r="A252" s="128" t="s">
        <v>186</v>
      </c>
      <c r="B252" s="129" t="s">
        <v>10</v>
      </c>
      <c r="C252" s="129" t="s">
        <v>189</v>
      </c>
      <c r="D252" s="129" t="str">
        <f t="shared" si="18"/>
        <v>Главный Бухгалтер ПРОФЭКСПЕРТОПТИМАЛЬНЫЙ10</v>
      </c>
      <c r="E252" s="145">
        <v>0.05</v>
      </c>
      <c r="F252" s="144">
        <v>10</v>
      </c>
      <c r="G252" s="144" t="s">
        <v>231</v>
      </c>
      <c r="H252" s="239" t="str">
        <f t="shared" si="17"/>
        <v>Акция_Пр.88 (15мая-31июля25)</v>
      </c>
    </row>
    <row r="253" spans="1:8" x14ac:dyDescent="0.3">
      <c r="A253" s="128" t="s">
        <v>186</v>
      </c>
      <c r="B253" s="129" t="s">
        <v>11</v>
      </c>
      <c r="C253" s="129" t="s">
        <v>189</v>
      </c>
      <c r="D253" s="129" t="str">
        <f t="shared" si="18"/>
        <v>VIP ПредприятиеЭКСПЕРТОПТИМАЛЬНЫЙ10</v>
      </c>
      <c r="E253" s="145">
        <v>0.05</v>
      </c>
      <c r="F253" s="144">
        <v>10</v>
      </c>
      <c r="G253" s="144" t="s">
        <v>231</v>
      </c>
      <c r="H253" s="239" t="str">
        <f t="shared" si="17"/>
        <v>Акция_Пр.88 (15мая-31июля25)</v>
      </c>
    </row>
    <row r="254" spans="1:8" x14ac:dyDescent="0.3">
      <c r="A254" s="128" t="s">
        <v>186</v>
      </c>
      <c r="B254" s="129" t="s">
        <v>9</v>
      </c>
      <c r="C254" s="129" t="s">
        <v>190</v>
      </c>
      <c r="D254" s="129" t="str">
        <f t="shared" si="18"/>
        <v>Предприятие ПРОФЭКСПЕРТМИНИМАЛЬНЫЙ10</v>
      </c>
      <c r="E254" s="145">
        <v>0.05</v>
      </c>
      <c r="F254" s="144">
        <v>10</v>
      </c>
      <c r="G254" s="144" t="s">
        <v>231</v>
      </c>
      <c r="H254" s="239" t="str">
        <f t="shared" si="17"/>
        <v>Акция_Пр.88 (15мая-31июля25)</v>
      </c>
    </row>
    <row r="255" spans="1:8" x14ac:dyDescent="0.3">
      <c r="A255" s="128" t="s">
        <v>186</v>
      </c>
      <c r="B255" s="129" t="s">
        <v>4</v>
      </c>
      <c r="C255" s="129" t="s">
        <v>190</v>
      </c>
      <c r="D255" s="129" t="str">
        <f t="shared" si="18"/>
        <v>ПредприятиеЭКСПЕРТМИНИМАЛЬНЫЙ10</v>
      </c>
      <c r="E255" s="145">
        <v>0.05</v>
      </c>
      <c r="F255" s="144">
        <v>10</v>
      </c>
      <c r="G255" s="144" t="s">
        <v>231</v>
      </c>
      <c r="H255" s="239" t="str">
        <f t="shared" si="17"/>
        <v>Акция_Пр.88 (15мая-31июля25)</v>
      </c>
    </row>
    <row r="256" spans="1:8" x14ac:dyDescent="0.3">
      <c r="A256" s="128" t="s">
        <v>186</v>
      </c>
      <c r="B256" s="129" t="s">
        <v>10</v>
      </c>
      <c r="C256" s="129" t="s">
        <v>192</v>
      </c>
      <c r="D256" s="129" t="str">
        <f t="shared" si="18"/>
        <v>Главный Бухгалтер ПРОФЭКСПЕРТБАЗОВЫЙ10</v>
      </c>
      <c r="E256" s="145">
        <v>0.05</v>
      </c>
      <c r="F256" s="144">
        <v>10</v>
      </c>
      <c r="G256" s="144" t="s">
        <v>231</v>
      </c>
      <c r="H256" s="239" t="str">
        <f t="shared" si="17"/>
        <v>Акция_Пр.88 (15мая-31июля25)</v>
      </c>
    </row>
    <row r="257" spans="1:8" x14ac:dyDescent="0.3">
      <c r="A257" s="128" t="s">
        <v>186</v>
      </c>
      <c r="B257" s="129" t="s">
        <v>11</v>
      </c>
      <c r="C257" s="129" t="s">
        <v>190</v>
      </c>
      <c r="D257" s="129" t="str">
        <f t="shared" si="18"/>
        <v>VIP ПредприятиеЭКСПЕРТМИНИМАЛЬНЫЙ10</v>
      </c>
      <c r="E257" s="145">
        <v>0.05</v>
      </c>
      <c r="F257" s="144">
        <v>10</v>
      </c>
      <c r="G257" s="144" t="s">
        <v>231</v>
      </c>
      <c r="H257" s="239" t="str">
        <f t="shared" si="17"/>
        <v>Акция_Пр.88 (15мая-31июля25)</v>
      </c>
    </row>
    <row r="258" spans="1:8" x14ac:dyDescent="0.3">
      <c r="A258" s="128" t="s">
        <v>186</v>
      </c>
      <c r="B258" s="129" t="s">
        <v>9</v>
      </c>
      <c r="C258" s="129" t="s">
        <v>191</v>
      </c>
      <c r="D258" s="129" t="str">
        <f t="shared" si="18"/>
        <v>Предприятие ПРОФОПТИМАЛЬНЫЙМИНИМАЛЬНЫЙ</v>
      </c>
      <c r="E258" s="130"/>
      <c r="F258" s="129"/>
      <c r="G258" s="129"/>
      <c r="H258" s="138"/>
    </row>
    <row r="259" spans="1:8" x14ac:dyDescent="0.3">
      <c r="A259" s="128" t="s">
        <v>186</v>
      </c>
      <c r="B259" s="129" t="s">
        <v>4</v>
      </c>
      <c r="C259" s="129" t="s">
        <v>191</v>
      </c>
      <c r="D259" s="129" t="str">
        <f t="shared" si="18"/>
        <v>ПредприятиеОПТИМАЛЬНЫЙМИНИМАЛЬНЫЙ</v>
      </c>
      <c r="E259" s="130"/>
      <c r="F259" s="129"/>
      <c r="G259" s="129"/>
      <c r="H259" s="138"/>
    </row>
    <row r="260" spans="1:8" x14ac:dyDescent="0.3">
      <c r="A260" s="128" t="s">
        <v>186</v>
      </c>
      <c r="B260" s="129" t="s">
        <v>10</v>
      </c>
      <c r="C260" s="129" t="s">
        <v>234</v>
      </c>
      <c r="D260" s="129" t="str">
        <f t="shared" si="18"/>
        <v>Главный Бухгалтер ПРОФОПТИМАЛЬНЫЙБАЗОВЫЙ</v>
      </c>
      <c r="E260" s="130"/>
      <c r="F260" s="129"/>
      <c r="G260" s="129"/>
      <c r="H260" s="138"/>
    </row>
    <row r="261" spans="1:8" x14ac:dyDescent="0.3">
      <c r="A261" s="128" t="s">
        <v>186</v>
      </c>
      <c r="B261" s="129" t="s">
        <v>11</v>
      </c>
      <c r="C261" s="129" t="s">
        <v>191</v>
      </c>
      <c r="D261" s="129" t="str">
        <f t="shared" si="18"/>
        <v>VIP ПредприятиеОПТИМАЛЬНЫЙМИНИМАЛЬНЫЙ</v>
      </c>
      <c r="E261" s="130"/>
      <c r="F261" s="129"/>
      <c r="G261" s="129"/>
      <c r="H261" s="138"/>
    </row>
    <row r="262" spans="1:8" x14ac:dyDescent="0.3">
      <c r="A262" s="128" t="s">
        <v>186</v>
      </c>
      <c r="B262" s="129" t="s">
        <v>9</v>
      </c>
      <c r="C262" s="129" t="s">
        <v>194</v>
      </c>
      <c r="D262" s="129" t="str">
        <f t="shared" si="18"/>
        <v>Предприятие ПРОФЭКСПЕРТОПТИМАЛЬНЫЙМИНИМАЛЬНЫЙ10</v>
      </c>
      <c r="E262" s="151">
        <v>0.05</v>
      </c>
      <c r="F262" s="152">
        <v>10</v>
      </c>
      <c r="G262" s="152" t="s">
        <v>231</v>
      </c>
      <c r="H262" s="239" t="str">
        <f t="shared" si="17"/>
        <v>Акция_Пр.88 (15мая-31июля25)</v>
      </c>
    </row>
    <row r="263" spans="1:8" x14ac:dyDescent="0.3">
      <c r="A263" s="128" t="s">
        <v>186</v>
      </c>
      <c r="B263" s="129" t="s">
        <v>4</v>
      </c>
      <c r="C263" s="129" t="s">
        <v>194</v>
      </c>
      <c r="D263" s="129" t="str">
        <f t="shared" si="18"/>
        <v>ПредприятиеЭКСПЕРТОПТИМАЛЬНЫЙМИНИМАЛЬНЫЙ10</v>
      </c>
      <c r="E263" s="151">
        <v>0.05</v>
      </c>
      <c r="F263" s="152">
        <v>10</v>
      </c>
      <c r="G263" s="152" t="s">
        <v>231</v>
      </c>
      <c r="H263" s="239" t="str">
        <f t="shared" si="17"/>
        <v>Акция_Пр.88 (15мая-31июля25)</v>
      </c>
    </row>
    <row r="264" spans="1:8" x14ac:dyDescent="0.3">
      <c r="A264" s="128" t="s">
        <v>186</v>
      </c>
      <c r="B264" s="129" t="s">
        <v>10</v>
      </c>
      <c r="C264" s="129" t="s">
        <v>195</v>
      </c>
      <c r="D264" s="129" t="str">
        <f t="shared" si="18"/>
        <v>Главный Бухгалтер ПРОФЭКСПЕРТОПТИМАЛЬНЫЙБАЗОВЫЙ10</v>
      </c>
      <c r="E264" s="151">
        <v>0.05</v>
      </c>
      <c r="F264" s="152">
        <v>10</v>
      </c>
      <c r="G264" s="152" t="s">
        <v>231</v>
      </c>
      <c r="H264" s="239" t="str">
        <f t="shared" si="17"/>
        <v>Акция_Пр.88 (15мая-31июля25)</v>
      </c>
    </row>
    <row r="265" spans="1:8" x14ac:dyDescent="0.3">
      <c r="A265" s="128" t="s">
        <v>186</v>
      </c>
      <c r="B265" s="129" t="s">
        <v>11</v>
      </c>
      <c r="C265" s="129" t="s">
        <v>194</v>
      </c>
      <c r="D265" s="129" t="str">
        <f t="shared" si="18"/>
        <v>VIP ПредприятиеЭКСПЕРТОПТИМАЛЬНЫЙМИНИМАЛЬНЫЙ10</v>
      </c>
      <c r="E265" s="151">
        <v>0.05</v>
      </c>
      <c r="F265" s="152">
        <v>10</v>
      </c>
      <c r="G265" s="152" t="s">
        <v>231</v>
      </c>
      <c r="H265" s="239" t="str">
        <f t="shared" si="17"/>
        <v>Акция_Пр.88 (15мая-31июля25)</v>
      </c>
    </row>
    <row r="266" spans="1:8" x14ac:dyDescent="0.3">
      <c r="A266" s="128" t="s">
        <v>187</v>
      </c>
      <c r="B266" s="129" t="s">
        <v>50</v>
      </c>
      <c r="C266" s="129" t="s">
        <v>20</v>
      </c>
      <c r="D266" s="129" t="str">
        <f t="shared" ref="D266:D284" si="19">_xlfn.CONCAT(B266,C266,F266)</f>
        <v>Предприятие (1 пользователь)ЭКСПЕРТ11</v>
      </c>
      <c r="E266" s="325">
        <v>0.05</v>
      </c>
      <c r="F266" s="144">
        <v>11</v>
      </c>
      <c r="G266" s="144" t="s">
        <v>231</v>
      </c>
      <c r="H266" s="239" t="str">
        <f t="shared" si="17"/>
        <v>Акция_Пр.88 (15мая-31июля25)</v>
      </c>
    </row>
    <row r="267" spans="1:8" x14ac:dyDescent="0.3">
      <c r="A267" s="128" t="s">
        <v>187</v>
      </c>
      <c r="B267" s="129" t="s">
        <v>51</v>
      </c>
      <c r="C267" s="129" t="s">
        <v>20</v>
      </c>
      <c r="D267" s="129" t="str">
        <f t="shared" si="19"/>
        <v>Предприятие ПРОФ (1 пользователь)ЭКСПЕРТ11</v>
      </c>
      <c r="E267" s="145">
        <v>0.05</v>
      </c>
      <c r="F267" s="144">
        <v>11</v>
      </c>
      <c r="G267" s="144" t="s">
        <v>231</v>
      </c>
      <c r="H267" s="239" t="str">
        <f t="shared" si="17"/>
        <v>Акция_Пр.88 (15мая-31июля25)</v>
      </c>
    </row>
    <row r="268" spans="1:8" x14ac:dyDescent="0.3">
      <c r="A268" s="128" t="s">
        <v>187</v>
      </c>
      <c r="B268" s="129" t="s">
        <v>49</v>
      </c>
      <c r="C268" s="129" t="s">
        <v>20</v>
      </c>
      <c r="D268" s="129" t="str">
        <f t="shared" si="19"/>
        <v>Главный Бухгалтер ПРОФ (1 пользователь)ЭКСПЕРТ11</v>
      </c>
      <c r="E268" s="145">
        <v>0.05</v>
      </c>
      <c r="F268" s="144">
        <v>11</v>
      </c>
      <c r="G268" s="144" t="s">
        <v>231</v>
      </c>
      <c r="H268" s="239" t="str">
        <f t="shared" si="17"/>
        <v>Акция_Пр.88 (15мая-31июля25)</v>
      </c>
    </row>
    <row r="269" spans="1:8" x14ac:dyDescent="0.3">
      <c r="A269" s="128" t="s">
        <v>187</v>
      </c>
      <c r="B269" s="129" t="s">
        <v>73</v>
      </c>
      <c r="C269" s="129" t="s">
        <v>20</v>
      </c>
      <c r="D269" s="129" t="str">
        <f t="shared" si="19"/>
        <v>VIP Предприятие (1 пользователь)ЭКСПЕРТ11</v>
      </c>
      <c r="E269" s="145">
        <v>0.05</v>
      </c>
      <c r="F269" s="144">
        <v>11</v>
      </c>
      <c r="G269" s="144" t="s">
        <v>231</v>
      </c>
      <c r="H269" s="239" t="str">
        <f t="shared" si="17"/>
        <v>Акция_Пр.88 (15мая-31июля25)</v>
      </c>
    </row>
    <row r="270" spans="1:8" x14ac:dyDescent="0.3">
      <c r="A270" s="128" t="s">
        <v>187</v>
      </c>
      <c r="B270" s="129" t="s">
        <v>314</v>
      </c>
      <c r="C270" s="129" t="s">
        <v>20</v>
      </c>
      <c r="D270" s="129" t="str">
        <f t="shared" si="19"/>
        <v>Пакет Программ Главный Бухгалтер, Podpis (1 пользователь, ЛД)ЭКСПЕРТ11</v>
      </c>
      <c r="E270" s="145">
        <v>0.2</v>
      </c>
      <c r="F270" s="144">
        <v>11</v>
      </c>
      <c r="G270" s="129"/>
      <c r="H270" s="239" t="str">
        <f t="shared" si="17"/>
        <v>Акция_Пр.88 (15мая-31июля25)</v>
      </c>
    </row>
    <row r="271" spans="1:8" x14ac:dyDescent="0.3">
      <c r="A271" s="128" t="s">
        <v>187</v>
      </c>
      <c r="B271" s="129" t="s">
        <v>312</v>
      </c>
      <c r="C271" s="129" t="s">
        <v>20</v>
      </c>
      <c r="D271" s="129" t="str">
        <f t="shared" si="19"/>
        <v>Пакет Программ Главный Бухгалтер, Podpis, ilex.Накладные (1 пользователь, ЛД)ЭКСПЕРТ11</v>
      </c>
      <c r="E271" s="145">
        <v>0.2</v>
      </c>
      <c r="F271" s="144">
        <v>11</v>
      </c>
      <c r="G271" s="129"/>
      <c r="H271" s="239" t="str">
        <f t="shared" si="17"/>
        <v>Акция_Пр.88 (15мая-31июля25)</v>
      </c>
    </row>
    <row r="272" spans="1:8" x14ac:dyDescent="0.3">
      <c r="A272" s="128" t="s">
        <v>187</v>
      </c>
      <c r="B272" s="129" t="s">
        <v>315</v>
      </c>
      <c r="C272" s="129" t="s">
        <v>20</v>
      </c>
      <c r="D272" s="129" t="str">
        <f t="shared" si="19"/>
        <v>Пакет Программ Главный Бухгалтер ПРОФ, Podpis (1 пользователь, ЛД)ЭКСПЕРТ11</v>
      </c>
      <c r="E272" s="145">
        <v>0.2</v>
      </c>
      <c r="F272" s="144">
        <v>11</v>
      </c>
      <c r="G272" s="129"/>
      <c r="H272" s="239" t="str">
        <f t="shared" si="17"/>
        <v>Акция_Пр.88 (15мая-31июля25)</v>
      </c>
    </row>
    <row r="273" spans="1:8" x14ac:dyDescent="0.3">
      <c r="A273" s="128" t="s">
        <v>187</v>
      </c>
      <c r="B273" s="129" t="s">
        <v>313</v>
      </c>
      <c r="C273" s="129" t="s">
        <v>20</v>
      </c>
      <c r="D273" s="129" t="str">
        <f t="shared" si="19"/>
        <v>Пакет Программ Главный Бухгалтер ПРОФ, Podpis, ilex.Накладные (1 пользователь, ЛД)ЭКСПЕРТ11</v>
      </c>
      <c r="E273" s="145">
        <v>0.2</v>
      </c>
      <c r="F273" s="144">
        <v>11</v>
      </c>
      <c r="G273" s="129"/>
      <c r="H273" s="239" t="str">
        <f t="shared" si="17"/>
        <v>Акция_Пр.88 (15мая-31июля25)</v>
      </c>
    </row>
    <row r="274" spans="1:8" x14ac:dyDescent="0.3">
      <c r="A274" s="128" t="s">
        <v>187</v>
      </c>
      <c r="B274" s="129" t="s">
        <v>314</v>
      </c>
      <c r="C274" s="129" t="s">
        <v>188</v>
      </c>
      <c r="D274" s="129" t="str">
        <f t="shared" si="19"/>
        <v>Пакет Программ Главный Бухгалтер, Podpis (1 пользователь, ЛД)ОПТИМАЛЬНЫЙ ПЛЮС11</v>
      </c>
      <c r="E274" s="145">
        <v>0.15</v>
      </c>
      <c r="F274" s="144">
        <v>11</v>
      </c>
      <c r="G274" s="129"/>
      <c r="H274" s="239" t="str">
        <f t="shared" si="17"/>
        <v>Акция_Пр.88 (15мая-31июля25)</v>
      </c>
    </row>
    <row r="275" spans="1:8" x14ac:dyDescent="0.3">
      <c r="A275" s="128" t="s">
        <v>187</v>
      </c>
      <c r="B275" s="129" t="s">
        <v>312</v>
      </c>
      <c r="C275" s="129" t="s">
        <v>188</v>
      </c>
      <c r="D275" s="129" t="str">
        <f t="shared" si="19"/>
        <v>Пакет Программ Главный Бухгалтер, Podpis, ilex.Накладные (1 пользователь, ЛД)ОПТИМАЛЬНЫЙ ПЛЮС11</v>
      </c>
      <c r="E275" s="145">
        <v>0.15</v>
      </c>
      <c r="F275" s="144">
        <v>11</v>
      </c>
      <c r="G275" s="129"/>
      <c r="H275" s="239" t="str">
        <f t="shared" si="17"/>
        <v>Акция_Пр.88 (15мая-31июля25)</v>
      </c>
    </row>
    <row r="276" spans="1:8" x14ac:dyDescent="0.3">
      <c r="A276" s="128" t="s">
        <v>187</v>
      </c>
      <c r="B276" s="129" t="s">
        <v>315</v>
      </c>
      <c r="C276" s="129" t="s">
        <v>188</v>
      </c>
      <c r="D276" s="129" t="str">
        <f t="shared" si="19"/>
        <v>Пакет Программ Главный Бухгалтер ПРОФ, Podpis (1 пользователь, ЛД)ОПТИМАЛЬНЫЙ ПЛЮС11</v>
      </c>
      <c r="E276" s="145">
        <v>0.15</v>
      </c>
      <c r="F276" s="144">
        <v>11</v>
      </c>
      <c r="G276" s="129"/>
      <c r="H276" s="239" t="str">
        <f t="shared" si="17"/>
        <v>Акция_Пр.88 (15мая-31июля25)</v>
      </c>
    </row>
    <row r="277" spans="1:8" x14ac:dyDescent="0.3">
      <c r="A277" s="128" t="s">
        <v>187</v>
      </c>
      <c r="B277" s="129" t="s">
        <v>313</v>
      </c>
      <c r="C277" s="129" t="s">
        <v>188</v>
      </c>
      <c r="D277" s="129" t="str">
        <f t="shared" si="19"/>
        <v>Пакет Программ Главный Бухгалтер ПРОФ, Podpis, ilex.Накладные (1 пользователь, ЛД)ОПТИМАЛЬНЫЙ ПЛЮС11</v>
      </c>
      <c r="E277" s="145">
        <v>0.15</v>
      </c>
      <c r="F277" s="144">
        <v>11</v>
      </c>
      <c r="G277" s="129"/>
      <c r="H277" s="239" t="str">
        <f t="shared" si="17"/>
        <v>Акция_Пр.88 (15мая-31июля25)</v>
      </c>
    </row>
    <row r="278" spans="1:8" x14ac:dyDescent="0.3">
      <c r="A278" s="128" t="s">
        <v>187</v>
      </c>
      <c r="B278" s="129" t="s">
        <v>50</v>
      </c>
      <c r="C278" s="129" t="s">
        <v>21</v>
      </c>
      <c r="D278" s="129" t="str">
        <f t="shared" si="19"/>
        <v>Предприятие (1 пользователь)ОПТИМАЛЬНЫЙ11</v>
      </c>
      <c r="E278" s="325">
        <v>0.05</v>
      </c>
      <c r="F278" s="144">
        <v>11</v>
      </c>
      <c r="G278" s="144" t="s">
        <v>231</v>
      </c>
      <c r="H278" s="239" t="str">
        <f t="shared" si="17"/>
        <v>Акция_Пр.88 (15мая-31июля25)</v>
      </c>
    </row>
    <row r="279" spans="1:8" x14ac:dyDescent="0.3">
      <c r="A279" s="128" t="s">
        <v>187</v>
      </c>
      <c r="B279" s="129" t="s">
        <v>51</v>
      </c>
      <c r="C279" s="129" t="s">
        <v>21</v>
      </c>
      <c r="D279" s="129" t="str">
        <f t="shared" si="19"/>
        <v>Предприятие ПРОФ (1 пользователь)ОПТИМАЛЬНЫЙ11</v>
      </c>
      <c r="E279" s="145">
        <v>0.05</v>
      </c>
      <c r="F279" s="144">
        <v>11</v>
      </c>
      <c r="G279" s="144" t="s">
        <v>231</v>
      </c>
      <c r="H279" s="239" t="str">
        <f t="shared" si="17"/>
        <v>Акция_Пр.88 (15мая-31июля25)</v>
      </c>
    </row>
    <row r="280" spans="1:8" x14ac:dyDescent="0.3">
      <c r="A280" s="128" t="s">
        <v>187</v>
      </c>
      <c r="B280" s="129" t="s">
        <v>73</v>
      </c>
      <c r="C280" s="129" t="s">
        <v>21</v>
      </c>
      <c r="D280" s="129" t="str">
        <f t="shared" si="19"/>
        <v>VIP Предприятие (1 пользователь)ОПТИМАЛЬНЫЙ11</v>
      </c>
      <c r="E280" s="145">
        <v>0.05</v>
      </c>
      <c r="F280" s="144">
        <v>11</v>
      </c>
      <c r="G280" s="144" t="s">
        <v>231</v>
      </c>
      <c r="H280" s="239" t="str">
        <f t="shared" si="17"/>
        <v>Акция_Пр.88 (15мая-31июля25)</v>
      </c>
    </row>
    <row r="281" spans="1:8" x14ac:dyDescent="0.3">
      <c r="A281" s="128" t="s">
        <v>187</v>
      </c>
      <c r="B281" s="129" t="s">
        <v>314</v>
      </c>
      <c r="C281" s="129" t="s">
        <v>21</v>
      </c>
      <c r="D281" s="129" t="str">
        <f t="shared" si="19"/>
        <v>Пакет Программ Главный Бухгалтер, Podpis (1 пользователь, ЛД)ОПТИМАЛЬНЫЙ11</v>
      </c>
      <c r="E281" s="130"/>
      <c r="F281" s="129">
        <v>11</v>
      </c>
      <c r="G281" s="129"/>
      <c r="H281" s="138"/>
    </row>
    <row r="282" spans="1:8" x14ac:dyDescent="0.3">
      <c r="A282" s="128" t="s">
        <v>187</v>
      </c>
      <c r="B282" s="129" t="s">
        <v>312</v>
      </c>
      <c r="C282" s="129" t="s">
        <v>21</v>
      </c>
      <c r="D282" s="129" t="str">
        <f t="shared" si="19"/>
        <v>Пакет Программ Главный Бухгалтер, Podpis, ilex.Накладные (1 пользователь, ЛД)ОПТИМАЛЬНЫЙ11</v>
      </c>
      <c r="E282" s="130"/>
      <c r="F282" s="129">
        <v>11</v>
      </c>
      <c r="G282" s="129"/>
      <c r="H282" s="138"/>
    </row>
    <row r="283" spans="1:8" x14ac:dyDescent="0.3">
      <c r="A283" s="128" t="s">
        <v>187</v>
      </c>
      <c r="B283" s="129" t="s">
        <v>315</v>
      </c>
      <c r="C283" s="129" t="s">
        <v>21</v>
      </c>
      <c r="D283" s="129" t="str">
        <f t="shared" si="19"/>
        <v>Пакет Программ Главный Бухгалтер ПРОФ, Podpis (1 пользователь, ЛД)ОПТИМАЛЬНЫЙ11</v>
      </c>
      <c r="E283" s="145">
        <v>0.15</v>
      </c>
      <c r="F283" s="144">
        <v>11</v>
      </c>
      <c r="G283" s="129"/>
      <c r="H283" s="239" t="str">
        <f t="shared" ref="H283:H323" si="20">$B$42</f>
        <v>Акция_Пр.88 (15мая-31июля25)</v>
      </c>
    </row>
    <row r="284" spans="1:8" x14ac:dyDescent="0.3">
      <c r="A284" s="128" t="s">
        <v>187</v>
      </c>
      <c r="B284" s="129" t="s">
        <v>313</v>
      </c>
      <c r="C284" s="129" t="s">
        <v>21</v>
      </c>
      <c r="D284" s="129" t="str">
        <f t="shared" si="19"/>
        <v>Пакет Программ Главный Бухгалтер ПРОФ, Podpis, ilex.Накладные (1 пользователь, ЛД)ОПТИМАЛЬНЫЙ11</v>
      </c>
      <c r="E284" s="145">
        <v>0.15</v>
      </c>
      <c r="F284" s="144">
        <v>11</v>
      </c>
      <c r="G284" s="129"/>
      <c r="H284" s="239" t="str">
        <f t="shared" si="20"/>
        <v>Акция_Пр.88 (15мая-31июля25)</v>
      </c>
    </row>
    <row r="285" spans="1:8" x14ac:dyDescent="0.3">
      <c r="A285" s="128" t="s">
        <v>186</v>
      </c>
      <c r="B285" s="129" t="s">
        <v>9</v>
      </c>
      <c r="C285" s="129" t="s">
        <v>20</v>
      </c>
      <c r="D285" s="129" t="str">
        <f t="shared" ref="D285:D308" si="21">CONCATENATE(B285,C285,F285)</f>
        <v>Предприятие ПРОФЭКСПЕРТ11</v>
      </c>
      <c r="E285" s="145">
        <v>0.05</v>
      </c>
      <c r="F285" s="144">
        <v>11</v>
      </c>
      <c r="G285" s="144" t="s">
        <v>231</v>
      </c>
      <c r="H285" s="239" t="str">
        <f t="shared" si="20"/>
        <v>Акция_Пр.88 (15мая-31июля25)</v>
      </c>
    </row>
    <row r="286" spans="1:8" x14ac:dyDescent="0.3">
      <c r="A286" s="128" t="s">
        <v>186</v>
      </c>
      <c r="B286" s="129" t="s">
        <v>4</v>
      </c>
      <c r="C286" s="129" t="s">
        <v>20</v>
      </c>
      <c r="D286" s="129" t="str">
        <f t="shared" si="21"/>
        <v>ПредприятиеЭКСПЕРТ11</v>
      </c>
      <c r="E286" s="145">
        <v>0.05</v>
      </c>
      <c r="F286" s="144">
        <v>11</v>
      </c>
      <c r="G286" s="144" t="s">
        <v>231</v>
      </c>
      <c r="H286" s="239" t="str">
        <f t="shared" si="20"/>
        <v>Акция_Пр.88 (15мая-31июля25)</v>
      </c>
    </row>
    <row r="287" spans="1:8" x14ac:dyDescent="0.3">
      <c r="A287" s="128" t="s">
        <v>186</v>
      </c>
      <c r="B287" s="129" t="s">
        <v>10</v>
      </c>
      <c r="C287" s="129" t="s">
        <v>20</v>
      </c>
      <c r="D287" s="129" t="str">
        <f t="shared" si="21"/>
        <v>Главный Бухгалтер ПРОФЭКСПЕРТ11</v>
      </c>
      <c r="E287" s="145">
        <v>0.05</v>
      </c>
      <c r="F287" s="144">
        <v>11</v>
      </c>
      <c r="G287" s="144" t="s">
        <v>231</v>
      </c>
      <c r="H287" s="239" t="str">
        <f t="shared" si="20"/>
        <v>Акция_Пр.88 (15мая-31июля25)</v>
      </c>
    </row>
    <row r="288" spans="1:8" x14ac:dyDescent="0.3">
      <c r="A288" s="128" t="s">
        <v>186</v>
      </c>
      <c r="B288" s="129" t="s">
        <v>11</v>
      </c>
      <c r="C288" s="129" t="s">
        <v>20</v>
      </c>
      <c r="D288" s="129" t="str">
        <f t="shared" si="21"/>
        <v>VIP ПредприятиеЭКСПЕРТ11</v>
      </c>
      <c r="E288" s="145">
        <v>0.05</v>
      </c>
      <c r="F288" s="144">
        <v>11</v>
      </c>
      <c r="G288" s="144" t="s">
        <v>231</v>
      </c>
      <c r="H288" s="239" t="str">
        <f t="shared" si="20"/>
        <v>Акция_Пр.88 (15мая-31июля25)</v>
      </c>
    </row>
    <row r="289" spans="1:8" x14ac:dyDescent="0.3">
      <c r="A289" s="128" t="s">
        <v>186</v>
      </c>
      <c r="B289" s="129" t="s">
        <v>9</v>
      </c>
      <c r="C289" s="129" t="s">
        <v>21</v>
      </c>
      <c r="D289" s="129" t="str">
        <f t="shared" si="21"/>
        <v>Предприятие ПРОФОПТИМАЛЬНЫЙ11</v>
      </c>
      <c r="E289" s="145">
        <v>0.05</v>
      </c>
      <c r="F289" s="144">
        <v>11</v>
      </c>
      <c r="G289" s="144" t="s">
        <v>231</v>
      </c>
      <c r="H289" s="239" t="str">
        <f t="shared" si="20"/>
        <v>Акция_Пр.88 (15мая-31июля25)</v>
      </c>
    </row>
    <row r="290" spans="1:8" x14ac:dyDescent="0.3">
      <c r="A290" s="128" t="s">
        <v>186</v>
      </c>
      <c r="B290" s="129" t="s">
        <v>4</v>
      </c>
      <c r="C290" s="129" t="s">
        <v>21</v>
      </c>
      <c r="D290" s="129" t="str">
        <f t="shared" si="21"/>
        <v>ПредприятиеОПТИМАЛЬНЫЙ11</v>
      </c>
      <c r="E290" s="145">
        <v>0.05</v>
      </c>
      <c r="F290" s="144">
        <v>11</v>
      </c>
      <c r="G290" s="144" t="s">
        <v>231</v>
      </c>
      <c r="H290" s="239" t="str">
        <f t="shared" si="20"/>
        <v>Акция_Пр.88 (15мая-31июля25)</v>
      </c>
    </row>
    <row r="291" spans="1:8" x14ac:dyDescent="0.3">
      <c r="A291" s="128" t="s">
        <v>186</v>
      </c>
      <c r="B291" s="129" t="s">
        <v>10</v>
      </c>
      <c r="C291" s="129" t="s">
        <v>21</v>
      </c>
      <c r="D291" s="129" t="str">
        <f t="shared" si="21"/>
        <v>Главный Бухгалтер ПРОФОПТИМАЛЬНЫЙ11</v>
      </c>
      <c r="E291" s="145">
        <v>0.05</v>
      </c>
      <c r="F291" s="144">
        <v>11</v>
      </c>
      <c r="G291" s="144" t="s">
        <v>231</v>
      </c>
      <c r="H291" s="239" t="str">
        <f t="shared" si="20"/>
        <v>Акция_Пр.88 (15мая-31июля25)</v>
      </c>
    </row>
    <row r="292" spans="1:8" x14ac:dyDescent="0.3">
      <c r="A292" s="128" t="s">
        <v>186</v>
      </c>
      <c r="B292" s="129" t="s">
        <v>11</v>
      </c>
      <c r="C292" s="129" t="s">
        <v>21</v>
      </c>
      <c r="D292" s="129" t="str">
        <f t="shared" si="21"/>
        <v>VIP ПредприятиеОПТИМАЛЬНЫЙ11</v>
      </c>
      <c r="E292" s="145">
        <v>0.05</v>
      </c>
      <c r="F292" s="144">
        <v>11</v>
      </c>
      <c r="G292" s="144" t="s">
        <v>231</v>
      </c>
      <c r="H292" s="239" t="str">
        <f t="shared" si="20"/>
        <v>Акция_Пр.88 (15мая-31июля25)</v>
      </c>
    </row>
    <row r="293" spans="1:8" x14ac:dyDescent="0.3">
      <c r="A293" s="128" t="s">
        <v>186</v>
      </c>
      <c r="B293" s="129" t="s">
        <v>9</v>
      </c>
      <c r="C293" s="129" t="s">
        <v>189</v>
      </c>
      <c r="D293" s="129" t="str">
        <f t="shared" si="21"/>
        <v>Предприятие ПРОФЭКСПЕРТОПТИМАЛЬНЫЙ11</v>
      </c>
      <c r="E293" s="145">
        <v>0.05</v>
      </c>
      <c r="F293" s="144">
        <v>11</v>
      </c>
      <c r="G293" s="144" t="s">
        <v>231</v>
      </c>
      <c r="H293" s="239" t="str">
        <f t="shared" si="20"/>
        <v>Акция_Пр.88 (15мая-31июля25)</v>
      </c>
    </row>
    <row r="294" spans="1:8" x14ac:dyDescent="0.3">
      <c r="A294" s="128" t="s">
        <v>186</v>
      </c>
      <c r="B294" s="129" t="s">
        <v>4</v>
      </c>
      <c r="C294" s="129" t="s">
        <v>189</v>
      </c>
      <c r="D294" s="129" t="str">
        <f t="shared" si="21"/>
        <v>ПредприятиеЭКСПЕРТОПТИМАЛЬНЫЙ11</v>
      </c>
      <c r="E294" s="145">
        <v>0.05</v>
      </c>
      <c r="F294" s="144">
        <v>11</v>
      </c>
      <c r="G294" s="144" t="s">
        <v>231</v>
      </c>
      <c r="H294" s="239" t="str">
        <f t="shared" si="20"/>
        <v>Акция_Пр.88 (15мая-31июля25)</v>
      </c>
    </row>
    <row r="295" spans="1:8" x14ac:dyDescent="0.3">
      <c r="A295" s="128" t="s">
        <v>186</v>
      </c>
      <c r="B295" s="129" t="s">
        <v>10</v>
      </c>
      <c r="C295" s="129" t="s">
        <v>189</v>
      </c>
      <c r="D295" s="129" t="str">
        <f t="shared" si="21"/>
        <v>Главный Бухгалтер ПРОФЭКСПЕРТОПТИМАЛЬНЫЙ11</v>
      </c>
      <c r="E295" s="145">
        <v>0.05</v>
      </c>
      <c r="F295" s="144">
        <v>11</v>
      </c>
      <c r="G295" s="144" t="s">
        <v>231</v>
      </c>
      <c r="H295" s="239" t="str">
        <f t="shared" si="20"/>
        <v>Акция_Пр.88 (15мая-31июля25)</v>
      </c>
    </row>
    <row r="296" spans="1:8" x14ac:dyDescent="0.3">
      <c r="A296" s="128" t="s">
        <v>186</v>
      </c>
      <c r="B296" s="129" t="s">
        <v>11</v>
      </c>
      <c r="C296" s="129" t="s">
        <v>189</v>
      </c>
      <c r="D296" s="129" t="str">
        <f t="shared" si="21"/>
        <v>VIP ПредприятиеЭКСПЕРТОПТИМАЛЬНЫЙ11</v>
      </c>
      <c r="E296" s="145">
        <v>0.05</v>
      </c>
      <c r="F296" s="144">
        <v>11</v>
      </c>
      <c r="G296" s="144" t="s">
        <v>231</v>
      </c>
      <c r="H296" s="239" t="str">
        <f t="shared" si="20"/>
        <v>Акция_Пр.88 (15мая-31июля25)</v>
      </c>
    </row>
    <row r="297" spans="1:8" x14ac:dyDescent="0.3">
      <c r="A297" s="128" t="s">
        <v>186</v>
      </c>
      <c r="B297" s="129" t="s">
        <v>9</v>
      </c>
      <c r="C297" s="129" t="s">
        <v>190</v>
      </c>
      <c r="D297" s="129" t="str">
        <f t="shared" si="21"/>
        <v>Предприятие ПРОФЭКСПЕРТМИНИМАЛЬНЫЙ11</v>
      </c>
      <c r="E297" s="145">
        <v>0.05</v>
      </c>
      <c r="F297" s="144">
        <v>11</v>
      </c>
      <c r="G297" s="144" t="s">
        <v>231</v>
      </c>
      <c r="H297" s="239" t="str">
        <f t="shared" si="20"/>
        <v>Акция_Пр.88 (15мая-31июля25)</v>
      </c>
    </row>
    <row r="298" spans="1:8" x14ac:dyDescent="0.3">
      <c r="A298" s="128" t="s">
        <v>186</v>
      </c>
      <c r="B298" s="129" t="s">
        <v>4</v>
      </c>
      <c r="C298" s="129" t="s">
        <v>190</v>
      </c>
      <c r="D298" s="129" t="str">
        <f t="shared" si="21"/>
        <v>ПредприятиеЭКСПЕРТМИНИМАЛЬНЫЙ11</v>
      </c>
      <c r="E298" s="145">
        <v>0.05</v>
      </c>
      <c r="F298" s="144">
        <v>11</v>
      </c>
      <c r="G298" s="144" t="s">
        <v>231</v>
      </c>
      <c r="H298" s="239" t="str">
        <f t="shared" si="20"/>
        <v>Акция_Пр.88 (15мая-31июля25)</v>
      </c>
    </row>
    <row r="299" spans="1:8" x14ac:dyDescent="0.3">
      <c r="A299" s="128" t="s">
        <v>186</v>
      </c>
      <c r="B299" s="129" t="s">
        <v>10</v>
      </c>
      <c r="C299" s="129" t="s">
        <v>192</v>
      </c>
      <c r="D299" s="129" t="str">
        <f t="shared" si="21"/>
        <v>Главный Бухгалтер ПРОФЭКСПЕРТБАЗОВЫЙ11</v>
      </c>
      <c r="E299" s="145">
        <v>0.05</v>
      </c>
      <c r="F299" s="144">
        <v>11</v>
      </c>
      <c r="G299" s="144" t="s">
        <v>231</v>
      </c>
      <c r="H299" s="239" t="str">
        <f t="shared" si="20"/>
        <v>Акция_Пр.88 (15мая-31июля25)</v>
      </c>
    </row>
    <row r="300" spans="1:8" x14ac:dyDescent="0.3">
      <c r="A300" s="128" t="s">
        <v>186</v>
      </c>
      <c r="B300" s="129" t="s">
        <v>11</v>
      </c>
      <c r="C300" s="129" t="s">
        <v>190</v>
      </c>
      <c r="D300" s="129" t="str">
        <f t="shared" si="21"/>
        <v>VIP ПредприятиеЭКСПЕРТМИНИМАЛЬНЫЙ11</v>
      </c>
      <c r="E300" s="145">
        <v>0.05</v>
      </c>
      <c r="F300" s="144">
        <v>11</v>
      </c>
      <c r="G300" s="144" t="s">
        <v>231</v>
      </c>
      <c r="H300" s="239" t="str">
        <f t="shared" si="20"/>
        <v>Акция_Пр.88 (15мая-31июля25)</v>
      </c>
    </row>
    <row r="301" spans="1:8" x14ac:dyDescent="0.3">
      <c r="A301" s="128" t="s">
        <v>186</v>
      </c>
      <c r="B301" s="129" t="s">
        <v>9</v>
      </c>
      <c r="C301" s="129" t="s">
        <v>191</v>
      </c>
      <c r="D301" s="129" t="str">
        <f t="shared" si="21"/>
        <v>Предприятие ПРОФОПТИМАЛЬНЫЙМИНИМАЛЬНЫЙ</v>
      </c>
      <c r="E301" s="130"/>
      <c r="F301" s="129"/>
      <c r="G301" s="129"/>
      <c r="H301" s="138"/>
    </row>
    <row r="302" spans="1:8" x14ac:dyDescent="0.3">
      <c r="A302" s="128" t="s">
        <v>186</v>
      </c>
      <c r="B302" s="129" t="s">
        <v>4</v>
      </c>
      <c r="C302" s="129" t="s">
        <v>191</v>
      </c>
      <c r="D302" s="129" t="str">
        <f t="shared" si="21"/>
        <v>ПредприятиеОПТИМАЛЬНЫЙМИНИМАЛЬНЫЙ</v>
      </c>
      <c r="E302" s="130"/>
      <c r="F302" s="129"/>
      <c r="G302" s="129"/>
      <c r="H302" s="138"/>
    </row>
    <row r="303" spans="1:8" x14ac:dyDescent="0.3">
      <c r="A303" s="128" t="s">
        <v>186</v>
      </c>
      <c r="B303" s="129" t="s">
        <v>10</v>
      </c>
      <c r="C303" s="129" t="s">
        <v>234</v>
      </c>
      <c r="D303" s="129" t="str">
        <f t="shared" si="21"/>
        <v>Главный Бухгалтер ПРОФОПТИМАЛЬНЫЙБАЗОВЫЙ</v>
      </c>
      <c r="E303" s="130"/>
      <c r="F303" s="129"/>
      <c r="G303" s="129"/>
      <c r="H303" s="138"/>
    </row>
    <row r="304" spans="1:8" x14ac:dyDescent="0.3">
      <c r="A304" s="128" t="s">
        <v>186</v>
      </c>
      <c r="B304" s="129" t="s">
        <v>11</v>
      </c>
      <c r="C304" s="129" t="s">
        <v>191</v>
      </c>
      <c r="D304" s="129" t="str">
        <f t="shared" si="21"/>
        <v>VIP ПредприятиеОПТИМАЛЬНЫЙМИНИМАЛЬНЫЙ</v>
      </c>
      <c r="E304" s="130"/>
      <c r="F304" s="129"/>
      <c r="G304" s="129"/>
      <c r="H304" s="138"/>
    </row>
    <row r="305" spans="1:8" x14ac:dyDescent="0.3">
      <c r="A305" s="128" t="s">
        <v>186</v>
      </c>
      <c r="B305" s="129" t="s">
        <v>9</v>
      </c>
      <c r="C305" s="129" t="s">
        <v>194</v>
      </c>
      <c r="D305" s="129" t="str">
        <f t="shared" si="21"/>
        <v>Предприятие ПРОФЭКСПЕРТОПТИМАЛЬНЫЙМИНИМАЛЬНЫЙ11</v>
      </c>
      <c r="E305" s="151">
        <v>0.05</v>
      </c>
      <c r="F305" s="152">
        <v>11</v>
      </c>
      <c r="G305" s="152" t="s">
        <v>231</v>
      </c>
      <c r="H305" s="239" t="str">
        <f t="shared" si="20"/>
        <v>Акция_Пр.88 (15мая-31июля25)</v>
      </c>
    </row>
    <row r="306" spans="1:8" x14ac:dyDescent="0.3">
      <c r="A306" s="128" t="s">
        <v>186</v>
      </c>
      <c r="B306" s="129" t="s">
        <v>4</v>
      </c>
      <c r="C306" s="129" t="s">
        <v>194</v>
      </c>
      <c r="D306" s="129" t="str">
        <f t="shared" si="21"/>
        <v>ПредприятиеЭКСПЕРТОПТИМАЛЬНЫЙМИНИМАЛЬНЫЙ11</v>
      </c>
      <c r="E306" s="151">
        <v>0.05</v>
      </c>
      <c r="F306" s="152">
        <v>11</v>
      </c>
      <c r="G306" s="152" t="s">
        <v>231</v>
      </c>
      <c r="H306" s="239" t="str">
        <f t="shared" si="20"/>
        <v>Акция_Пр.88 (15мая-31июля25)</v>
      </c>
    </row>
    <row r="307" spans="1:8" x14ac:dyDescent="0.3">
      <c r="A307" s="128" t="s">
        <v>186</v>
      </c>
      <c r="B307" s="129" t="s">
        <v>10</v>
      </c>
      <c r="C307" s="129" t="s">
        <v>195</v>
      </c>
      <c r="D307" s="129" t="str">
        <f t="shared" si="21"/>
        <v>Главный Бухгалтер ПРОФЭКСПЕРТОПТИМАЛЬНЫЙБАЗОВЫЙ11</v>
      </c>
      <c r="E307" s="151">
        <v>0.05</v>
      </c>
      <c r="F307" s="152">
        <v>11</v>
      </c>
      <c r="G307" s="152" t="s">
        <v>231</v>
      </c>
      <c r="H307" s="239" t="str">
        <f t="shared" si="20"/>
        <v>Акция_Пр.88 (15мая-31июля25)</v>
      </c>
    </row>
    <row r="308" spans="1:8" x14ac:dyDescent="0.3">
      <c r="A308" s="128" t="s">
        <v>186</v>
      </c>
      <c r="B308" s="129" t="s">
        <v>11</v>
      </c>
      <c r="C308" s="129" t="s">
        <v>194</v>
      </c>
      <c r="D308" s="129" t="str">
        <f t="shared" si="21"/>
        <v>VIP ПредприятиеЭКСПЕРТОПТИМАЛЬНЫЙМИНИМАЛЬНЫЙ11</v>
      </c>
      <c r="E308" s="151">
        <v>0.05</v>
      </c>
      <c r="F308" s="152">
        <v>11</v>
      </c>
      <c r="G308" s="152" t="s">
        <v>231</v>
      </c>
      <c r="H308" s="239" t="str">
        <f t="shared" si="20"/>
        <v>Акция_Пр.88 (15мая-31июля25)</v>
      </c>
    </row>
    <row r="309" spans="1:8" x14ac:dyDescent="0.3">
      <c r="A309" s="128" t="s">
        <v>187</v>
      </c>
      <c r="B309" s="129" t="s">
        <v>50</v>
      </c>
      <c r="C309" s="129" t="s">
        <v>20</v>
      </c>
      <c r="D309" s="129" t="str">
        <f t="shared" ref="D309:D327" si="22">_xlfn.CONCAT(B309,C309,F309)</f>
        <v>Предприятие (1 пользователь)ЭКСПЕРТ12</v>
      </c>
      <c r="E309" s="145">
        <v>0.15</v>
      </c>
      <c r="F309" s="144">
        <v>12</v>
      </c>
      <c r="G309" s="144" t="s">
        <v>232</v>
      </c>
      <c r="H309" s="239" t="str">
        <f t="shared" si="20"/>
        <v>Акция_Пр.88 (15мая-31июля25)</v>
      </c>
    </row>
    <row r="310" spans="1:8" x14ac:dyDescent="0.3">
      <c r="A310" s="128" t="s">
        <v>187</v>
      </c>
      <c r="B310" s="129" t="s">
        <v>51</v>
      </c>
      <c r="C310" s="129" t="s">
        <v>20</v>
      </c>
      <c r="D310" s="129" t="str">
        <f t="shared" si="22"/>
        <v>Предприятие ПРОФ (1 пользователь)ЭКСПЕРТ12</v>
      </c>
      <c r="E310" s="145">
        <v>0.15</v>
      </c>
      <c r="F310" s="144">
        <v>12</v>
      </c>
      <c r="G310" s="144" t="s">
        <v>232</v>
      </c>
      <c r="H310" s="239" t="str">
        <f t="shared" si="20"/>
        <v>Акция_Пр.88 (15мая-31июля25)</v>
      </c>
    </row>
    <row r="311" spans="1:8" x14ac:dyDescent="0.3">
      <c r="A311" s="128" t="s">
        <v>187</v>
      </c>
      <c r="B311" s="129" t="s">
        <v>49</v>
      </c>
      <c r="C311" s="129" t="s">
        <v>20</v>
      </c>
      <c r="D311" s="129" t="str">
        <f t="shared" si="22"/>
        <v>Главный Бухгалтер ПРОФ (1 пользователь)ЭКСПЕРТ12</v>
      </c>
      <c r="E311" s="145">
        <v>0.15</v>
      </c>
      <c r="F311" s="144">
        <v>12</v>
      </c>
      <c r="G311" s="144" t="s">
        <v>232</v>
      </c>
      <c r="H311" s="239" t="str">
        <f t="shared" si="20"/>
        <v>Акция_Пр.88 (15мая-31июля25)</v>
      </c>
    </row>
    <row r="312" spans="1:8" x14ac:dyDescent="0.3">
      <c r="A312" s="128" t="s">
        <v>187</v>
      </c>
      <c r="B312" s="129" t="s">
        <v>73</v>
      </c>
      <c r="C312" s="129" t="s">
        <v>20</v>
      </c>
      <c r="D312" s="129" t="str">
        <f t="shared" si="22"/>
        <v>VIP Предприятие (1 пользователь)ЭКСПЕРТ12</v>
      </c>
      <c r="E312" s="145">
        <v>0.15</v>
      </c>
      <c r="F312" s="144">
        <v>12</v>
      </c>
      <c r="G312" s="144" t="s">
        <v>232</v>
      </c>
      <c r="H312" s="239" t="str">
        <f t="shared" si="20"/>
        <v>Акция_Пр.88 (15мая-31июля25)</v>
      </c>
    </row>
    <row r="313" spans="1:8" x14ac:dyDescent="0.3">
      <c r="A313" s="128" t="s">
        <v>187</v>
      </c>
      <c r="B313" s="129" t="s">
        <v>314</v>
      </c>
      <c r="C313" s="129" t="s">
        <v>20</v>
      </c>
      <c r="D313" s="129" t="str">
        <f t="shared" si="22"/>
        <v>Пакет Программ Главный Бухгалтер, Podpis (1 пользователь, ЛД)ЭКСПЕРТ12</v>
      </c>
      <c r="E313" s="145">
        <v>0.3</v>
      </c>
      <c r="F313" s="144">
        <v>12</v>
      </c>
      <c r="G313" s="129"/>
      <c r="H313" s="239" t="str">
        <f t="shared" si="20"/>
        <v>Акция_Пр.88 (15мая-31июля25)</v>
      </c>
    </row>
    <row r="314" spans="1:8" x14ac:dyDescent="0.3">
      <c r="A314" s="128" t="s">
        <v>187</v>
      </c>
      <c r="B314" s="129" t="s">
        <v>312</v>
      </c>
      <c r="C314" s="129" t="s">
        <v>20</v>
      </c>
      <c r="D314" s="129" t="str">
        <f t="shared" si="22"/>
        <v>Пакет Программ Главный Бухгалтер, Podpis, ilex.Накладные (1 пользователь, ЛД)ЭКСПЕРТ12</v>
      </c>
      <c r="E314" s="145">
        <v>0.3</v>
      </c>
      <c r="F314" s="144">
        <v>12</v>
      </c>
      <c r="G314" s="129"/>
      <c r="H314" s="239" t="str">
        <f t="shared" si="20"/>
        <v>Акция_Пр.88 (15мая-31июля25)</v>
      </c>
    </row>
    <row r="315" spans="1:8" x14ac:dyDescent="0.3">
      <c r="A315" s="128" t="s">
        <v>187</v>
      </c>
      <c r="B315" s="129" t="s">
        <v>315</v>
      </c>
      <c r="C315" s="129" t="s">
        <v>20</v>
      </c>
      <c r="D315" s="129" t="str">
        <f t="shared" si="22"/>
        <v>Пакет Программ Главный Бухгалтер ПРОФ, Podpis (1 пользователь, ЛД)ЭКСПЕРТ12</v>
      </c>
      <c r="E315" s="145">
        <v>0.3</v>
      </c>
      <c r="F315" s="144">
        <v>12</v>
      </c>
      <c r="G315" s="129"/>
      <c r="H315" s="239" t="str">
        <f t="shared" si="20"/>
        <v>Акция_Пр.88 (15мая-31июля25)</v>
      </c>
    </row>
    <row r="316" spans="1:8" x14ac:dyDescent="0.3">
      <c r="A316" s="128" t="s">
        <v>187</v>
      </c>
      <c r="B316" s="129" t="s">
        <v>313</v>
      </c>
      <c r="C316" s="129" t="s">
        <v>20</v>
      </c>
      <c r="D316" s="129" t="str">
        <f t="shared" si="22"/>
        <v>Пакет Программ Главный Бухгалтер ПРОФ, Podpis, ilex.Накладные (1 пользователь, ЛД)ЭКСПЕРТ12</v>
      </c>
      <c r="E316" s="145">
        <v>0.3</v>
      </c>
      <c r="F316" s="144">
        <v>12</v>
      </c>
      <c r="G316" s="129"/>
      <c r="H316" s="239" t="str">
        <f t="shared" si="20"/>
        <v>Акция_Пр.88 (15мая-31июля25)</v>
      </c>
    </row>
    <row r="317" spans="1:8" x14ac:dyDescent="0.3">
      <c r="A317" s="128" t="s">
        <v>187</v>
      </c>
      <c r="B317" s="129" t="s">
        <v>314</v>
      </c>
      <c r="C317" s="129" t="s">
        <v>188</v>
      </c>
      <c r="D317" s="129" t="str">
        <f t="shared" si="22"/>
        <v>Пакет Программ Главный Бухгалтер, Podpis (1 пользователь, ЛД)ОПТИМАЛЬНЫЙ ПЛЮС12</v>
      </c>
      <c r="E317" s="145">
        <v>0.25</v>
      </c>
      <c r="F317" s="144">
        <v>12</v>
      </c>
      <c r="G317" s="129"/>
      <c r="H317" s="239" t="str">
        <f t="shared" si="20"/>
        <v>Акция_Пр.88 (15мая-31июля25)</v>
      </c>
    </row>
    <row r="318" spans="1:8" x14ac:dyDescent="0.3">
      <c r="A318" s="128" t="s">
        <v>187</v>
      </c>
      <c r="B318" s="129" t="s">
        <v>312</v>
      </c>
      <c r="C318" s="129" t="s">
        <v>188</v>
      </c>
      <c r="D318" s="129" t="str">
        <f t="shared" si="22"/>
        <v>Пакет Программ Главный Бухгалтер, Podpis, ilex.Накладные (1 пользователь, ЛД)ОПТИМАЛЬНЫЙ ПЛЮС12</v>
      </c>
      <c r="E318" s="145">
        <v>0.25</v>
      </c>
      <c r="F318" s="144">
        <v>12</v>
      </c>
      <c r="G318" s="129"/>
      <c r="H318" s="239" t="str">
        <f t="shared" si="20"/>
        <v>Акция_Пр.88 (15мая-31июля25)</v>
      </c>
    </row>
    <row r="319" spans="1:8" x14ac:dyDescent="0.3">
      <c r="A319" s="128" t="s">
        <v>187</v>
      </c>
      <c r="B319" s="129" t="s">
        <v>315</v>
      </c>
      <c r="C319" s="129" t="s">
        <v>188</v>
      </c>
      <c r="D319" s="129" t="str">
        <f t="shared" si="22"/>
        <v>Пакет Программ Главный Бухгалтер ПРОФ, Podpis (1 пользователь, ЛД)ОПТИМАЛЬНЫЙ ПЛЮС12</v>
      </c>
      <c r="E319" s="145">
        <v>0.25</v>
      </c>
      <c r="F319" s="144">
        <v>12</v>
      </c>
      <c r="G319" s="129"/>
      <c r="H319" s="239" t="str">
        <f t="shared" si="20"/>
        <v>Акция_Пр.88 (15мая-31июля25)</v>
      </c>
    </row>
    <row r="320" spans="1:8" x14ac:dyDescent="0.3">
      <c r="A320" s="128" t="s">
        <v>187</v>
      </c>
      <c r="B320" s="129" t="s">
        <v>313</v>
      </c>
      <c r="C320" s="129" t="s">
        <v>188</v>
      </c>
      <c r="D320" s="129" t="str">
        <f t="shared" si="22"/>
        <v>Пакет Программ Главный Бухгалтер ПРОФ, Podpis, ilex.Накладные (1 пользователь, ЛД)ОПТИМАЛЬНЫЙ ПЛЮС12</v>
      </c>
      <c r="E320" s="145">
        <v>0.25</v>
      </c>
      <c r="F320" s="144">
        <v>12</v>
      </c>
      <c r="G320" s="129"/>
      <c r="H320" s="239" t="str">
        <f t="shared" si="20"/>
        <v>Акция_Пр.88 (15мая-31июля25)</v>
      </c>
    </row>
    <row r="321" spans="1:8" x14ac:dyDescent="0.3">
      <c r="A321" s="128" t="s">
        <v>187</v>
      </c>
      <c r="B321" s="129" t="s">
        <v>50</v>
      </c>
      <c r="C321" s="129" t="s">
        <v>21</v>
      </c>
      <c r="D321" s="129" t="str">
        <f t="shared" si="22"/>
        <v>Предприятие (1 пользователь)ОПТИМАЛЬНЫЙ12</v>
      </c>
      <c r="E321" s="145">
        <v>0.15</v>
      </c>
      <c r="F321" s="144">
        <v>12</v>
      </c>
      <c r="G321" s="144" t="s">
        <v>232</v>
      </c>
      <c r="H321" s="239" t="str">
        <f t="shared" si="20"/>
        <v>Акция_Пр.88 (15мая-31июля25)</v>
      </c>
    </row>
    <row r="322" spans="1:8" x14ac:dyDescent="0.3">
      <c r="A322" s="128" t="s">
        <v>187</v>
      </c>
      <c r="B322" s="129" t="s">
        <v>51</v>
      </c>
      <c r="C322" s="129" t="s">
        <v>21</v>
      </c>
      <c r="D322" s="129" t="str">
        <f t="shared" si="22"/>
        <v>Предприятие ПРОФ (1 пользователь)ОПТИМАЛЬНЫЙ12</v>
      </c>
      <c r="E322" s="145">
        <v>0.15</v>
      </c>
      <c r="F322" s="144">
        <v>12</v>
      </c>
      <c r="G322" s="144" t="s">
        <v>232</v>
      </c>
      <c r="H322" s="239" t="str">
        <f t="shared" si="20"/>
        <v>Акция_Пр.88 (15мая-31июля25)</v>
      </c>
    </row>
    <row r="323" spans="1:8" x14ac:dyDescent="0.3">
      <c r="A323" s="128" t="s">
        <v>187</v>
      </c>
      <c r="B323" s="129" t="s">
        <v>73</v>
      </c>
      <c r="C323" s="129" t="s">
        <v>21</v>
      </c>
      <c r="D323" s="129" t="str">
        <f t="shared" si="22"/>
        <v>VIP Предприятие (1 пользователь)ОПТИМАЛЬНЫЙ12</v>
      </c>
      <c r="E323" s="145">
        <v>0.15</v>
      </c>
      <c r="F323" s="144">
        <v>12</v>
      </c>
      <c r="G323" s="144" t="s">
        <v>232</v>
      </c>
      <c r="H323" s="239" t="str">
        <f t="shared" si="20"/>
        <v>Акция_Пр.88 (15мая-31июля25)</v>
      </c>
    </row>
    <row r="324" spans="1:8" x14ac:dyDescent="0.3">
      <c r="A324" s="128" t="s">
        <v>187</v>
      </c>
      <c r="B324" s="129" t="s">
        <v>314</v>
      </c>
      <c r="C324" s="129" t="s">
        <v>21</v>
      </c>
      <c r="D324" s="129" t="str">
        <f t="shared" si="22"/>
        <v>Пакет Программ Главный Бухгалтер, Podpis (1 пользователь, ЛД)ОПТИМАЛЬНЫЙ12</v>
      </c>
      <c r="E324" s="130"/>
      <c r="F324" s="129">
        <v>12</v>
      </c>
      <c r="G324" s="129"/>
      <c r="H324" s="138"/>
    </row>
    <row r="325" spans="1:8" x14ac:dyDescent="0.3">
      <c r="A325" s="128" t="s">
        <v>187</v>
      </c>
      <c r="B325" s="129" t="s">
        <v>312</v>
      </c>
      <c r="C325" s="129" t="s">
        <v>21</v>
      </c>
      <c r="D325" s="129" t="str">
        <f t="shared" si="22"/>
        <v>Пакет Программ Главный Бухгалтер, Podpis, ilex.Накладные (1 пользователь, ЛД)ОПТИМАЛЬНЫЙ12</v>
      </c>
      <c r="E325" s="130"/>
      <c r="F325" s="129">
        <v>12</v>
      </c>
      <c r="G325" s="129"/>
      <c r="H325" s="138"/>
    </row>
    <row r="326" spans="1:8" x14ac:dyDescent="0.3">
      <c r="A326" s="128" t="s">
        <v>187</v>
      </c>
      <c r="B326" s="129" t="s">
        <v>315</v>
      </c>
      <c r="C326" s="129" t="s">
        <v>21</v>
      </c>
      <c r="D326" s="129" t="str">
        <f t="shared" si="22"/>
        <v>Пакет Программ Главный Бухгалтер ПРОФ, Podpis (1 пользователь, ЛД)ОПТИМАЛЬНЫЙ12</v>
      </c>
      <c r="E326" s="145">
        <v>0.25</v>
      </c>
      <c r="F326" s="144">
        <v>12</v>
      </c>
      <c r="G326" s="129"/>
      <c r="H326" s="239" t="str">
        <f t="shared" ref="H326:H357" si="23">$B$42</f>
        <v>Акция_Пр.88 (15мая-31июля25)</v>
      </c>
    </row>
    <row r="327" spans="1:8" x14ac:dyDescent="0.3">
      <c r="A327" s="128" t="s">
        <v>187</v>
      </c>
      <c r="B327" s="129" t="s">
        <v>313</v>
      </c>
      <c r="C327" s="129" t="s">
        <v>21</v>
      </c>
      <c r="D327" s="129" t="str">
        <f t="shared" si="22"/>
        <v>Пакет Программ Главный Бухгалтер ПРОФ, Podpis, ilex.Накладные (1 пользователь, ЛД)ОПТИМАЛЬНЫЙ12</v>
      </c>
      <c r="E327" s="145">
        <v>0.25</v>
      </c>
      <c r="F327" s="144">
        <v>12</v>
      </c>
      <c r="G327" s="129"/>
      <c r="H327" s="239" t="str">
        <f t="shared" si="23"/>
        <v>Акция_Пр.88 (15мая-31июля25)</v>
      </c>
    </row>
    <row r="328" spans="1:8" x14ac:dyDescent="0.3">
      <c r="A328" s="128" t="s">
        <v>186</v>
      </c>
      <c r="B328" s="129" t="s">
        <v>9</v>
      </c>
      <c r="C328" s="129" t="s">
        <v>20</v>
      </c>
      <c r="D328" s="129" t="str">
        <f t="shared" ref="D328:D351" si="24">CONCATENATE(B328,C328,F328)</f>
        <v>Предприятие ПРОФЭКСПЕРТ12</v>
      </c>
      <c r="E328" s="145">
        <v>0.15</v>
      </c>
      <c r="F328" s="144">
        <v>12</v>
      </c>
      <c r="G328" s="144" t="s">
        <v>232</v>
      </c>
      <c r="H328" s="239" t="str">
        <f t="shared" si="23"/>
        <v>Акция_Пр.88 (15мая-31июля25)</v>
      </c>
    </row>
    <row r="329" spans="1:8" x14ac:dyDescent="0.3">
      <c r="A329" s="128" t="s">
        <v>186</v>
      </c>
      <c r="B329" s="129" t="s">
        <v>4</v>
      </c>
      <c r="C329" s="129" t="s">
        <v>20</v>
      </c>
      <c r="D329" s="129" t="str">
        <f t="shared" si="24"/>
        <v>ПредприятиеЭКСПЕРТ12</v>
      </c>
      <c r="E329" s="145">
        <v>0.15</v>
      </c>
      <c r="F329" s="144">
        <v>12</v>
      </c>
      <c r="G329" s="144" t="s">
        <v>232</v>
      </c>
      <c r="H329" s="239" t="str">
        <f t="shared" si="23"/>
        <v>Акция_Пр.88 (15мая-31июля25)</v>
      </c>
    </row>
    <row r="330" spans="1:8" x14ac:dyDescent="0.3">
      <c r="A330" s="128" t="s">
        <v>186</v>
      </c>
      <c r="B330" s="129" t="s">
        <v>10</v>
      </c>
      <c r="C330" s="129" t="s">
        <v>20</v>
      </c>
      <c r="D330" s="129" t="str">
        <f t="shared" si="24"/>
        <v>Главный Бухгалтер ПРОФЭКСПЕРТ12</v>
      </c>
      <c r="E330" s="145">
        <v>0.15</v>
      </c>
      <c r="F330" s="144">
        <v>12</v>
      </c>
      <c r="G330" s="144" t="s">
        <v>232</v>
      </c>
      <c r="H330" s="239" t="str">
        <f t="shared" si="23"/>
        <v>Акция_Пр.88 (15мая-31июля25)</v>
      </c>
    </row>
    <row r="331" spans="1:8" x14ac:dyDescent="0.3">
      <c r="A331" s="128" t="s">
        <v>186</v>
      </c>
      <c r="B331" s="129" t="s">
        <v>11</v>
      </c>
      <c r="C331" s="129" t="s">
        <v>20</v>
      </c>
      <c r="D331" s="129" t="str">
        <f t="shared" si="24"/>
        <v>VIP ПредприятиеЭКСПЕРТ12</v>
      </c>
      <c r="E331" s="145">
        <v>0.15</v>
      </c>
      <c r="F331" s="144">
        <v>12</v>
      </c>
      <c r="G331" s="144" t="s">
        <v>232</v>
      </c>
      <c r="H331" s="239" t="str">
        <f t="shared" si="23"/>
        <v>Акция_Пр.88 (15мая-31июля25)</v>
      </c>
    </row>
    <row r="332" spans="1:8" x14ac:dyDescent="0.3">
      <c r="A332" s="128" t="s">
        <v>186</v>
      </c>
      <c r="B332" s="129" t="s">
        <v>9</v>
      </c>
      <c r="C332" s="129" t="s">
        <v>21</v>
      </c>
      <c r="D332" s="129" t="str">
        <f t="shared" si="24"/>
        <v>Предприятие ПРОФОПТИМАЛЬНЫЙ12</v>
      </c>
      <c r="E332" s="145">
        <v>0.15</v>
      </c>
      <c r="F332" s="144">
        <v>12</v>
      </c>
      <c r="G332" s="144" t="s">
        <v>232</v>
      </c>
      <c r="H332" s="239" t="str">
        <f t="shared" si="23"/>
        <v>Акция_Пр.88 (15мая-31июля25)</v>
      </c>
    </row>
    <row r="333" spans="1:8" x14ac:dyDescent="0.3">
      <c r="A333" s="128" t="s">
        <v>186</v>
      </c>
      <c r="B333" s="129" t="s">
        <v>4</v>
      </c>
      <c r="C333" s="129" t="s">
        <v>21</v>
      </c>
      <c r="D333" s="129" t="str">
        <f t="shared" si="24"/>
        <v>ПредприятиеОПТИМАЛЬНЫЙ12</v>
      </c>
      <c r="E333" s="145">
        <v>0.15</v>
      </c>
      <c r="F333" s="144">
        <v>12</v>
      </c>
      <c r="G333" s="144" t="s">
        <v>232</v>
      </c>
      <c r="H333" s="239" t="str">
        <f t="shared" si="23"/>
        <v>Акция_Пр.88 (15мая-31июля25)</v>
      </c>
    </row>
    <row r="334" spans="1:8" x14ac:dyDescent="0.3">
      <c r="A334" s="128" t="s">
        <v>186</v>
      </c>
      <c r="B334" s="129" t="s">
        <v>10</v>
      </c>
      <c r="C334" s="129" t="s">
        <v>21</v>
      </c>
      <c r="D334" s="129" t="str">
        <f t="shared" si="24"/>
        <v>Главный Бухгалтер ПРОФОПТИМАЛЬНЫЙ12</v>
      </c>
      <c r="E334" s="145">
        <v>0.15</v>
      </c>
      <c r="F334" s="144">
        <v>12</v>
      </c>
      <c r="G334" s="144" t="s">
        <v>232</v>
      </c>
      <c r="H334" s="239" t="str">
        <f t="shared" si="23"/>
        <v>Акция_Пр.88 (15мая-31июля25)</v>
      </c>
    </row>
    <row r="335" spans="1:8" x14ac:dyDescent="0.3">
      <c r="A335" s="128" t="s">
        <v>186</v>
      </c>
      <c r="B335" s="129" t="s">
        <v>11</v>
      </c>
      <c r="C335" s="129" t="s">
        <v>21</v>
      </c>
      <c r="D335" s="129" t="str">
        <f t="shared" si="24"/>
        <v>VIP ПредприятиеОПТИМАЛЬНЫЙ12</v>
      </c>
      <c r="E335" s="145">
        <v>0.15</v>
      </c>
      <c r="F335" s="144">
        <v>12</v>
      </c>
      <c r="G335" s="144" t="s">
        <v>232</v>
      </c>
      <c r="H335" s="239" t="str">
        <f t="shared" si="23"/>
        <v>Акция_Пр.88 (15мая-31июля25)</v>
      </c>
    </row>
    <row r="336" spans="1:8" x14ac:dyDescent="0.3">
      <c r="A336" s="128" t="s">
        <v>186</v>
      </c>
      <c r="B336" s="129" t="s">
        <v>9</v>
      </c>
      <c r="C336" s="129" t="s">
        <v>189</v>
      </c>
      <c r="D336" s="129" t="str">
        <f t="shared" si="24"/>
        <v>Предприятие ПРОФЭКСПЕРТОПТИМАЛЬНЫЙ12</v>
      </c>
      <c r="E336" s="145">
        <v>0.15</v>
      </c>
      <c r="F336" s="144">
        <v>12</v>
      </c>
      <c r="G336" s="144" t="s">
        <v>232</v>
      </c>
      <c r="H336" s="239" t="str">
        <f t="shared" si="23"/>
        <v>Акция_Пр.88 (15мая-31июля25)</v>
      </c>
    </row>
    <row r="337" spans="1:8" x14ac:dyDescent="0.3">
      <c r="A337" s="128" t="s">
        <v>186</v>
      </c>
      <c r="B337" s="129" t="s">
        <v>4</v>
      </c>
      <c r="C337" s="129" t="s">
        <v>189</v>
      </c>
      <c r="D337" s="129" t="str">
        <f t="shared" si="24"/>
        <v>ПредприятиеЭКСПЕРТОПТИМАЛЬНЫЙ12</v>
      </c>
      <c r="E337" s="145">
        <v>0.15</v>
      </c>
      <c r="F337" s="144">
        <v>12</v>
      </c>
      <c r="G337" s="144" t="s">
        <v>232</v>
      </c>
      <c r="H337" s="239" t="str">
        <f t="shared" si="23"/>
        <v>Акция_Пр.88 (15мая-31июля25)</v>
      </c>
    </row>
    <row r="338" spans="1:8" x14ac:dyDescent="0.3">
      <c r="A338" s="128" t="s">
        <v>186</v>
      </c>
      <c r="B338" s="129" t="s">
        <v>10</v>
      </c>
      <c r="C338" s="129" t="s">
        <v>189</v>
      </c>
      <c r="D338" s="129" t="str">
        <f t="shared" si="24"/>
        <v>Главный Бухгалтер ПРОФЭКСПЕРТОПТИМАЛЬНЫЙ12</v>
      </c>
      <c r="E338" s="145">
        <v>0.15</v>
      </c>
      <c r="F338" s="144">
        <v>12</v>
      </c>
      <c r="G338" s="144" t="s">
        <v>232</v>
      </c>
      <c r="H338" s="239" t="str">
        <f t="shared" si="23"/>
        <v>Акция_Пр.88 (15мая-31июля25)</v>
      </c>
    </row>
    <row r="339" spans="1:8" x14ac:dyDescent="0.3">
      <c r="A339" s="128" t="s">
        <v>186</v>
      </c>
      <c r="B339" s="129" t="s">
        <v>11</v>
      </c>
      <c r="C339" s="129" t="s">
        <v>189</v>
      </c>
      <c r="D339" s="129" t="str">
        <f t="shared" si="24"/>
        <v>VIP ПредприятиеЭКСПЕРТОПТИМАЛЬНЫЙ12</v>
      </c>
      <c r="E339" s="145">
        <v>0.15</v>
      </c>
      <c r="F339" s="144">
        <v>12</v>
      </c>
      <c r="G339" s="144" t="s">
        <v>232</v>
      </c>
      <c r="H339" s="239" t="str">
        <f t="shared" si="23"/>
        <v>Акция_Пр.88 (15мая-31июля25)</v>
      </c>
    </row>
    <row r="340" spans="1:8" x14ac:dyDescent="0.3">
      <c r="A340" s="128" t="s">
        <v>186</v>
      </c>
      <c r="B340" s="129" t="s">
        <v>9</v>
      </c>
      <c r="C340" s="129" t="s">
        <v>190</v>
      </c>
      <c r="D340" s="129" t="str">
        <f t="shared" si="24"/>
        <v>Предприятие ПРОФЭКСПЕРТМИНИМАЛЬНЫЙ12</v>
      </c>
      <c r="E340" s="145">
        <v>0.15</v>
      </c>
      <c r="F340" s="144">
        <v>12</v>
      </c>
      <c r="G340" s="144" t="s">
        <v>232</v>
      </c>
      <c r="H340" s="239" t="str">
        <f t="shared" si="23"/>
        <v>Акция_Пр.88 (15мая-31июля25)</v>
      </c>
    </row>
    <row r="341" spans="1:8" x14ac:dyDescent="0.3">
      <c r="A341" s="128" t="s">
        <v>186</v>
      </c>
      <c r="B341" s="129" t="s">
        <v>4</v>
      </c>
      <c r="C341" s="129" t="s">
        <v>190</v>
      </c>
      <c r="D341" s="129" t="str">
        <f t="shared" si="24"/>
        <v>ПредприятиеЭКСПЕРТМИНИМАЛЬНЫЙ12</v>
      </c>
      <c r="E341" s="145">
        <v>0.15</v>
      </c>
      <c r="F341" s="144">
        <v>12</v>
      </c>
      <c r="G341" s="144" t="s">
        <v>232</v>
      </c>
      <c r="H341" s="239" t="str">
        <f t="shared" si="23"/>
        <v>Акция_Пр.88 (15мая-31июля25)</v>
      </c>
    </row>
    <row r="342" spans="1:8" x14ac:dyDescent="0.3">
      <c r="A342" s="128" t="s">
        <v>186</v>
      </c>
      <c r="B342" s="129" t="s">
        <v>10</v>
      </c>
      <c r="C342" s="129" t="s">
        <v>192</v>
      </c>
      <c r="D342" s="129" t="str">
        <f t="shared" si="24"/>
        <v>Главный Бухгалтер ПРОФЭКСПЕРТБАЗОВЫЙ12</v>
      </c>
      <c r="E342" s="145">
        <v>0.15</v>
      </c>
      <c r="F342" s="144">
        <v>12</v>
      </c>
      <c r="G342" s="144" t="s">
        <v>232</v>
      </c>
      <c r="H342" s="239" t="str">
        <f t="shared" si="23"/>
        <v>Акция_Пр.88 (15мая-31июля25)</v>
      </c>
    </row>
    <row r="343" spans="1:8" x14ac:dyDescent="0.3">
      <c r="A343" s="128" t="s">
        <v>186</v>
      </c>
      <c r="B343" s="129" t="s">
        <v>11</v>
      </c>
      <c r="C343" s="129" t="s">
        <v>190</v>
      </c>
      <c r="D343" s="129" t="str">
        <f t="shared" si="24"/>
        <v>VIP ПредприятиеЭКСПЕРТМИНИМАЛЬНЫЙ12</v>
      </c>
      <c r="E343" s="145">
        <v>0.15</v>
      </c>
      <c r="F343" s="144">
        <v>12</v>
      </c>
      <c r="G343" s="144" t="s">
        <v>232</v>
      </c>
      <c r="H343" s="239" t="str">
        <f t="shared" si="23"/>
        <v>Акция_Пр.88 (15мая-31июля25)</v>
      </c>
    </row>
    <row r="344" spans="1:8" x14ac:dyDescent="0.3">
      <c r="A344" s="128" t="s">
        <v>186</v>
      </c>
      <c r="B344" s="129" t="s">
        <v>9</v>
      </c>
      <c r="C344" s="129" t="s">
        <v>191</v>
      </c>
      <c r="D344" s="129" t="str">
        <f t="shared" si="24"/>
        <v>Предприятие ПРОФОПТИМАЛЬНЫЙМИНИМАЛЬНЫЙ</v>
      </c>
      <c r="E344" s="130"/>
      <c r="F344" s="129"/>
      <c r="G344" s="129"/>
      <c r="H344" s="138"/>
    </row>
    <row r="345" spans="1:8" x14ac:dyDescent="0.3">
      <c r="A345" s="128" t="s">
        <v>186</v>
      </c>
      <c r="B345" s="129" t="s">
        <v>4</v>
      </c>
      <c r="C345" s="129" t="s">
        <v>191</v>
      </c>
      <c r="D345" s="129" t="str">
        <f t="shared" si="24"/>
        <v>ПредприятиеОПТИМАЛЬНЫЙМИНИМАЛЬНЫЙ</v>
      </c>
      <c r="E345" s="130"/>
      <c r="F345" s="129"/>
      <c r="G345" s="129"/>
      <c r="H345" s="138"/>
    </row>
    <row r="346" spans="1:8" x14ac:dyDescent="0.3">
      <c r="A346" s="128" t="s">
        <v>186</v>
      </c>
      <c r="B346" s="129" t="s">
        <v>10</v>
      </c>
      <c r="C346" s="129" t="s">
        <v>234</v>
      </c>
      <c r="D346" s="129" t="str">
        <f t="shared" si="24"/>
        <v>Главный Бухгалтер ПРОФОПТИМАЛЬНЫЙБАЗОВЫЙ</v>
      </c>
      <c r="E346" s="130"/>
      <c r="F346" s="129"/>
      <c r="G346" s="129"/>
      <c r="H346" s="138"/>
    </row>
    <row r="347" spans="1:8" x14ac:dyDescent="0.3">
      <c r="A347" s="128" t="s">
        <v>186</v>
      </c>
      <c r="B347" s="129" t="s">
        <v>11</v>
      </c>
      <c r="C347" s="129" t="s">
        <v>191</v>
      </c>
      <c r="D347" s="129" t="str">
        <f t="shared" si="24"/>
        <v>VIP ПредприятиеОПТИМАЛЬНЫЙМИНИМАЛЬНЫЙ</v>
      </c>
      <c r="E347" s="130"/>
      <c r="F347" s="129"/>
      <c r="G347" s="129"/>
      <c r="H347" s="138"/>
    </row>
    <row r="348" spans="1:8" x14ac:dyDescent="0.3">
      <c r="A348" s="128" t="s">
        <v>186</v>
      </c>
      <c r="B348" s="129" t="s">
        <v>9</v>
      </c>
      <c r="C348" s="129" t="s">
        <v>194</v>
      </c>
      <c r="D348" s="129" t="str">
        <f t="shared" si="24"/>
        <v>Предприятие ПРОФЭКСПЕРТОПТИМАЛЬНЫЙМИНИМАЛЬНЫЙ12</v>
      </c>
      <c r="E348" s="151">
        <v>0.15</v>
      </c>
      <c r="F348" s="152">
        <v>12</v>
      </c>
      <c r="G348" s="152" t="s">
        <v>232</v>
      </c>
      <c r="H348" s="239" t="str">
        <f t="shared" si="23"/>
        <v>Акция_Пр.88 (15мая-31июля25)</v>
      </c>
    </row>
    <row r="349" spans="1:8" x14ac:dyDescent="0.3">
      <c r="A349" s="128" t="s">
        <v>186</v>
      </c>
      <c r="B349" s="129" t="s">
        <v>4</v>
      </c>
      <c r="C349" s="129" t="s">
        <v>194</v>
      </c>
      <c r="D349" s="129" t="str">
        <f t="shared" si="24"/>
        <v>ПредприятиеЭКСПЕРТОПТИМАЛЬНЫЙМИНИМАЛЬНЫЙ12</v>
      </c>
      <c r="E349" s="151">
        <v>0.15</v>
      </c>
      <c r="F349" s="152">
        <v>12</v>
      </c>
      <c r="G349" s="152" t="s">
        <v>232</v>
      </c>
      <c r="H349" s="239" t="str">
        <f t="shared" si="23"/>
        <v>Акция_Пр.88 (15мая-31июля25)</v>
      </c>
    </row>
    <row r="350" spans="1:8" x14ac:dyDescent="0.3">
      <c r="A350" s="128" t="s">
        <v>186</v>
      </c>
      <c r="B350" s="129" t="s">
        <v>10</v>
      </c>
      <c r="C350" s="129" t="s">
        <v>195</v>
      </c>
      <c r="D350" s="129" t="str">
        <f t="shared" si="24"/>
        <v>Главный Бухгалтер ПРОФЭКСПЕРТОПТИМАЛЬНЫЙБАЗОВЫЙ12</v>
      </c>
      <c r="E350" s="151">
        <v>0.15</v>
      </c>
      <c r="F350" s="152">
        <v>12</v>
      </c>
      <c r="G350" s="152" t="s">
        <v>232</v>
      </c>
      <c r="H350" s="239" t="str">
        <f t="shared" si="23"/>
        <v>Акция_Пр.88 (15мая-31июля25)</v>
      </c>
    </row>
    <row r="351" spans="1:8" x14ac:dyDescent="0.3">
      <c r="A351" s="131" t="s">
        <v>186</v>
      </c>
      <c r="B351" s="132" t="s">
        <v>11</v>
      </c>
      <c r="C351" s="132" t="s">
        <v>194</v>
      </c>
      <c r="D351" s="129" t="str">
        <f t="shared" si="24"/>
        <v>VIP ПредприятиеЭКСПЕРТОПТИМАЛЬНЫЙМИНИМАЛЬНЫЙ12</v>
      </c>
      <c r="E351" s="151">
        <v>0.15</v>
      </c>
      <c r="F351" s="154">
        <v>12</v>
      </c>
      <c r="G351" s="152" t="s">
        <v>232</v>
      </c>
      <c r="H351" s="239" t="str">
        <f t="shared" si="23"/>
        <v>Акция_Пр.88 (15мая-31июля25)</v>
      </c>
    </row>
    <row r="352" spans="1:8" x14ac:dyDescent="0.3">
      <c r="A352" s="128" t="s">
        <v>187</v>
      </c>
      <c r="B352" s="129" t="s">
        <v>262</v>
      </c>
      <c r="C352" s="129" t="s">
        <v>20</v>
      </c>
      <c r="D352" s="129" t="str">
        <f t="shared" ref="D352:D358" si="25">_xlfn.CONCAT(B352,C352,F352)</f>
        <v>Комплекс коммерческий Предприятие (1 пользователь)ЭКСПЕРТ6</v>
      </c>
      <c r="E352" s="325">
        <v>0.05</v>
      </c>
      <c r="F352" s="144">
        <v>6</v>
      </c>
      <c r="G352" s="144" t="s">
        <v>231</v>
      </c>
      <c r="H352" s="239" t="str">
        <f t="shared" si="23"/>
        <v>Акция_Пр.88 (15мая-31июля25)</v>
      </c>
    </row>
    <row r="353" spans="1:8" x14ac:dyDescent="0.3">
      <c r="A353" s="128" t="s">
        <v>187</v>
      </c>
      <c r="B353" s="129" t="s">
        <v>263</v>
      </c>
      <c r="C353" s="129" t="s">
        <v>20</v>
      </c>
      <c r="D353" s="129" t="str">
        <f t="shared" si="25"/>
        <v>Комплекс коммерческий Предприятие ПРОФ (1 пользователь)ЭКСПЕРТ6</v>
      </c>
      <c r="E353" s="145">
        <v>0.05</v>
      </c>
      <c r="F353" s="144">
        <v>6</v>
      </c>
      <c r="G353" s="144" t="s">
        <v>231</v>
      </c>
      <c r="H353" s="239" t="str">
        <f t="shared" si="23"/>
        <v>Акция_Пр.88 (15мая-31июля25)</v>
      </c>
    </row>
    <row r="354" spans="1:8" x14ac:dyDescent="0.3">
      <c r="A354" s="128" t="s">
        <v>187</v>
      </c>
      <c r="B354" s="129" t="s">
        <v>261</v>
      </c>
      <c r="C354" s="129" t="s">
        <v>20</v>
      </c>
      <c r="D354" s="129" t="str">
        <f t="shared" si="25"/>
        <v>Комплекс коммерческий Главный Бухгалтер ПРОФ (1 пользователь)ЭКСПЕРТ6</v>
      </c>
      <c r="E354" s="145">
        <v>0.05</v>
      </c>
      <c r="F354" s="144">
        <v>6</v>
      </c>
      <c r="G354" s="144" t="s">
        <v>231</v>
      </c>
      <c r="H354" s="239" t="str">
        <f t="shared" si="23"/>
        <v>Акция_Пр.88 (15мая-31июля25)</v>
      </c>
    </row>
    <row r="355" spans="1:8" x14ac:dyDescent="0.3">
      <c r="A355" s="128" t="s">
        <v>187</v>
      </c>
      <c r="B355" s="129" t="s">
        <v>264</v>
      </c>
      <c r="C355" s="129" t="s">
        <v>20</v>
      </c>
      <c r="D355" s="129" t="str">
        <f t="shared" si="25"/>
        <v>Комплекс коммерческий VIP Предприятие (1 пользователь)ЭКСПЕРТ6</v>
      </c>
      <c r="E355" s="145">
        <v>0.05</v>
      </c>
      <c r="F355" s="144">
        <v>6</v>
      </c>
      <c r="G355" s="144" t="s">
        <v>231</v>
      </c>
      <c r="H355" s="239" t="str">
        <f t="shared" si="23"/>
        <v>Акция_Пр.88 (15мая-31июля25)</v>
      </c>
    </row>
    <row r="356" spans="1:8" x14ac:dyDescent="0.3">
      <c r="A356" s="128" t="s">
        <v>187</v>
      </c>
      <c r="B356" s="129" t="s">
        <v>262</v>
      </c>
      <c r="C356" s="129" t="s">
        <v>21</v>
      </c>
      <c r="D356" s="129" t="str">
        <f t="shared" si="25"/>
        <v>Комплекс коммерческий Предприятие (1 пользователь)ОПТИМАЛЬНЫЙ6</v>
      </c>
      <c r="E356" s="325">
        <v>0.05</v>
      </c>
      <c r="F356" s="144">
        <v>6</v>
      </c>
      <c r="G356" s="144" t="s">
        <v>231</v>
      </c>
      <c r="H356" s="239" t="str">
        <f t="shared" si="23"/>
        <v>Акция_Пр.88 (15мая-31июля25)</v>
      </c>
    </row>
    <row r="357" spans="1:8" x14ac:dyDescent="0.3">
      <c r="A357" s="128" t="s">
        <v>187</v>
      </c>
      <c r="B357" s="129" t="s">
        <v>263</v>
      </c>
      <c r="C357" s="129" t="s">
        <v>21</v>
      </c>
      <c r="D357" s="129" t="str">
        <f t="shared" si="25"/>
        <v>Комплекс коммерческий Предприятие ПРОФ (1 пользователь)ОПТИМАЛЬНЫЙ6</v>
      </c>
      <c r="E357" s="145">
        <v>0.05</v>
      </c>
      <c r="F357" s="144">
        <v>6</v>
      </c>
      <c r="G357" s="144" t="s">
        <v>231</v>
      </c>
      <c r="H357" s="239" t="str">
        <f t="shared" si="23"/>
        <v>Акция_Пр.88 (15мая-31июля25)</v>
      </c>
    </row>
    <row r="358" spans="1:8" x14ac:dyDescent="0.3">
      <c r="A358" s="128" t="s">
        <v>187</v>
      </c>
      <c r="B358" s="129" t="s">
        <v>264</v>
      </c>
      <c r="C358" s="129" t="s">
        <v>21</v>
      </c>
      <c r="D358" s="129" t="str">
        <f t="shared" si="25"/>
        <v>Комплекс коммерческий VIP Предприятие (1 пользователь)ОПТИМАЛЬНЫЙ6</v>
      </c>
      <c r="E358" s="145">
        <v>0.05</v>
      </c>
      <c r="F358" s="144">
        <v>6</v>
      </c>
      <c r="G358" s="144" t="s">
        <v>231</v>
      </c>
      <c r="H358" s="239" t="str">
        <f t="shared" ref="H358:H374" si="26">$B$42</f>
        <v>Акция_Пр.88 (15мая-31июля25)</v>
      </c>
    </row>
    <row r="359" spans="1:8" x14ac:dyDescent="0.3">
      <c r="A359" s="128" t="s">
        <v>186</v>
      </c>
      <c r="B359" s="129" t="s">
        <v>259</v>
      </c>
      <c r="C359" s="129" t="s">
        <v>20</v>
      </c>
      <c r="D359" s="129" t="str">
        <f t="shared" ref="D359:D382" si="27">CONCATENATE(B359,C359,F359)</f>
        <v>Комплекс коммерческий Предприятие ПРОФЭКСПЕРТ6</v>
      </c>
      <c r="E359" s="145">
        <v>0.05</v>
      </c>
      <c r="F359" s="144">
        <v>6</v>
      </c>
      <c r="G359" s="144" t="s">
        <v>231</v>
      </c>
      <c r="H359" s="239" t="str">
        <f t="shared" si="26"/>
        <v>Акция_Пр.88 (15мая-31июля25)</v>
      </c>
    </row>
    <row r="360" spans="1:8" x14ac:dyDescent="0.3">
      <c r="A360" s="128" t="s">
        <v>186</v>
      </c>
      <c r="B360" s="129" t="s">
        <v>258</v>
      </c>
      <c r="C360" s="129" t="s">
        <v>20</v>
      </c>
      <c r="D360" s="129" t="str">
        <f t="shared" si="27"/>
        <v>Комплекс коммерческий ПредприятиеЭКСПЕРТ6</v>
      </c>
      <c r="E360" s="145">
        <v>0.05</v>
      </c>
      <c r="F360" s="144">
        <v>6</v>
      </c>
      <c r="G360" s="144" t="s">
        <v>231</v>
      </c>
      <c r="H360" s="239" t="str">
        <f t="shared" si="26"/>
        <v>Акция_Пр.88 (15мая-31июля25)</v>
      </c>
    </row>
    <row r="361" spans="1:8" x14ac:dyDescent="0.3">
      <c r="A361" s="128" t="s">
        <v>186</v>
      </c>
      <c r="B361" s="129" t="s">
        <v>257</v>
      </c>
      <c r="C361" s="129" t="s">
        <v>20</v>
      </c>
      <c r="D361" s="129" t="str">
        <f t="shared" si="27"/>
        <v>Комплекс коммерческий Главный Бухгалтер ПРОФЭКСПЕРТ6</v>
      </c>
      <c r="E361" s="145">
        <v>0.05</v>
      </c>
      <c r="F361" s="144">
        <v>6</v>
      </c>
      <c r="G361" s="144" t="s">
        <v>231</v>
      </c>
      <c r="H361" s="239" t="str">
        <f t="shared" si="26"/>
        <v>Акция_Пр.88 (15мая-31июля25)</v>
      </c>
    </row>
    <row r="362" spans="1:8" x14ac:dyDescent="0.3">
      <c r="A362" s="128" t="s">
        <v>186</v>
      </c>
      <c r="B362" s="129" t="s">
        <v>260</v>
      </c>
      <c r="C362" s="129" t="s">
        <v>20</v>
      </c>
      <c r="D362" s="129" t="str">
        <f t="shared" si="27"/>
        <v>Комплекс коммерческий VIP ПредприятиеЭКСПЕРТ6</v>
      </c>
      <c r="E362" s="145">
        <v>0.05</v>
      </c>
      <c r="F362" s="144">
        <v>6</v>
      </c>
      <c r="G362" s="144" t="s">
        <v>231</v>
      </c>
      <c r="H362" s="239" t="str">
        <f t="shared" si="26"/>
        <v>Акция_Пр.88 (15мая-31июля25)</v>
      </c>
    </row>
    <row r="363" spans="1:8" x14ac:dyDescent="0.3">
      <c r="A363" s="128" t="s">
        <v>186</v>
      </c>
      <c r="B363" s="129" t="s">
        <v>259</v>
      </c>
      <c r="C363" s="129" t="s">
        <v>21</v>
      </c>
      <c r="D363" s="129" t="str">
        <f t="shared" si="27"/>
        <v>Комплекс коммерческий Предприятие ПРОФОПТИМАЛЬНЫЙ6</v>
      </c>
      <c r="E363" s="145">
        <v>0.05</v>
      </c>
      <c r="F363" s="144">
        <v>6</v>
      </c>
      <c r="G363" s="144" t="s">
        <v>231</v>
      </c>
      <c r="H363" s="239" t="str">
        <f t="shared" si="26"/>
        <v>Акция_Пр.88 (15мая-31июля25)</v>
      </c>
    </row>
    <row r="364" spans="1:8" x14ac:dyDescent="0.3">
      <c r="A364" s="128" t="s">
        <v>186</v>
      </c>
      <c r="B364" s="129" t="s">
        <v>258</v>
      </c>
      <c r="C364" s="129" t="s">
        <v>21</v>
      </c>
      <c r="D364" s="129" t="str">
        <f t="shared" si="27"/>
        <v>Комплекс коммерческий ПредприятиеОПТИМАЛЬНЫЙ6</v>
      </c>
      <c r="E364" s="145">
        <v>0.05</v>
      </c>
      <c r="F364" s="144">
        <v>6</v>
      </c>
      <c r="G364" s="144" t="s">
        <v>231</v>
      </c>
      <c r="H364" s="239" t="str">
        <f t="shared" si="26"/>
        <v>Акция_Пр.88 (15мая-31июля25)</v>
      </c>
    </row>
    <row r="365" spans="1:8" x14ac:dyDescent="0.3">
      <c r="A365" s="128" t="s">
        <v>186</v>
      </c>
      <c r="B365" s="129" t="s">
        <v>257</v>
      </c>
      <c r="C365" s="129" t="s">
        <v>21</v>
      </c>
      <c r="D365" s="129" t="str">
        <f t="shared" si="27"/>
        <v>Комплекс коммерческий Главный Бухгалтер ПРОФОПТИМАЛЬНЫЙ6</v>
      </c>
      <c r="E365" s="145">
        <v>0.05</v>
      </c>
      <c r="F365" s="144">
        <v>6</v>
      </c>
      <c r="G365" s="144" t="s">
        <v>231</v>
      </c>
      <c r="H365" s="239" t="str">
        <f t="shared" si="26"/>
        <v>Акция_Пр.88 (15мая-31июля25)</v>
      </c>
    </row>
    <row r="366" spans="1:8" x14ac:dyDescent="0.3">
      <c r="A366" s="128" t="s">
        <v>186</v>
      </c>
      <c r="B366" s="129" t="s">
        <v>260</v>
      </c>
      <c r="C366" s="129" t="s">
        <v>21</v>
      </c>
      <c r="D366" s="129" t="str">
        <f t="shared" si="27"/>
        <v>Комплекс коммерческий VIP ПредприятиеОПТИМАЛЬНЫЙ6</v>
      </c>
      <c r="E366" s="145">
        <v>0.05</v>
      </c>
      <c r="F366" s="144">
        <v>6</v>
      </c>
      <c r="G366" s="144" t="s">
        <v>231</v>
      </c>
      <c r="H366" s="239" t="str">
        <f t="shared" si="26"/>
        <v>Акция_Пр.88 (15мая-31июля25)</v>
      </c>
    </row>
    <row r="367" spans="1:8" x14ac:dyDescent="0.3">
      <c r="A367" s="128" t="s">
        <v>186</v>
      </c>
      <c r="B367" s="129" t="s">
        <v>259</v>
      </c>
      <c r="C367" s="129" t="s">
        <v>189</v>
      </c>
      <c r="D367" s="129" t="str">
        <f t="shared" si="27"/>
        <v>Комплекс коммерческий Предприятие ПРОФЭКСПЕРТОПТИМАЛЬНЫЙ6</v>
      </c>
      <c r="E367" s="145">
        <v>0.05</v>
      </c>
      <c r="F367" s="144">
        <v>6</v>
      </c>
      <c r="G367" s="144" t="s">
        <v>231</v>
      </c>
      <c r="H367" s="239" t="str">
        <f t="shared" si="26"/>
        <v>Акция_Пр.88 (15мая-31июля25)</v>
      </c>
    </row>
    <row r="368" spans="1:8" x14ac:dyDescent="0.3">
      <c r="A368" s="128" t="s">
        <v>186</v>
      </c>
      <c r="B368" s="129" t="s">
        <v>258</v>
      </c>
      <c r="C368" s="129" t="s">
        <v>189</v>
      </c>
      <c r="D368" s="129" t="str">
        <f t="shared" si="27"/>
        <v>Комплекс коммерческий ПредприятиеЭКСПЕРТОПТИМАЛЬНЫЙ6</v>
      </c>
      <c r="E368" s="145">
        <v>0.05</v>
      </c>
      <c r="F368" s="144">
        <v>6</v>
      </c>
      <c r="G368" s="144" t="s">
        <v>231</v>
      </c>
      <c r="H368" s="239" t="str">
        <f t="shared" si="26"/>
        <v>Акция_Пр.88 (15мая-31июля25)</v>
      </c>
    </row>
    <row r="369" spans="1:8" x14ac:dyDescent="0.3">
      <c r="A369" s="128" t="s">
        <v>186</v>
      </c>
      <c r="B369" s="129" t="s">
        <v>257</v>
      </c>
      <c r="C369" s="129" t="s">
        <v>189</v>
      </c>
      <c r="D369" s="129" t="str">
        <f t="shared" si="27"/>
        <v>Комплекс коммерческий Главный Бухгалтер ПРОФЭКСПЕРТОПТИМАЛЬНЫЙ6</v>
      </c>
      <c r="E369" s="145">
        <v>0.05</v>
      </c>
      <c r="F369" s="144">
        <v>6</v>
      </c>
      <c r="G369" s="144" t="s">
        <v>231</v>
      </c>
      <c r="H369" s="239" t="str">
        <f t="shared" si="26"/>
        <v>Акция_Пр.88 (15мая-31июля25)</v>
      </c>
    </row>
    <row r="370" spans="1:8" x14ac:dyDescent="0.3">
      <c r="A370" s="128" t="s">
        <v>186</v>
      </c>
      <c r="B370" s="129" t="s">
        <v>260</v>
      </c>
      <c r="C370" s="129" t="s">
        <v>189</v>
      </c>
      <c r="D370" s="129" t="str">
        <f t="shared" si="27"/>
        <v>Комплекс коммерческий VIP ПредприятиеЭКСПЕРТОПТИМАЛЬНЫЙ6</v>
      </c>
      <c r="E370" s="145">
        <v>0.05</v>
      </c>
      <c r="F370" s="144">
        <v>6</v>
      </c>
      <c r="G370" s="144" t="s">
        <v>231</v>
      </c>
      <c r="H370" s="239" t="str">
        <f t="shared" si="26"/>
        <v>Акция_Пр.88 (15мая-31июля25)</v>
      </c>
    </row>
    <row r="371" spans="1:8" x14ac:dyDescent="0.3">
      <c r="A371" s="128" t="s">
        <v>186</v>
      </c>
      <c r="B371" s="129" t="s">
        <v>259</v>
      </c>
      <c r="C371" s="129" t="s">
        <v>190</v>
      </c>
      <c r="D371" s="129" t="str">
        <f t="shared" si="27"/>
        <v>Комплекс коммерческий Предприятие ПРОФЭКСПЕРТМИНИМАЛЬНЫЙ6</v>
      </c>
      <c r="E371" s="145">
        <v>0.05</v>
      </c>
      <c r="F371" s="144">
        <v>6</v>
      </c>
      <c r="G371" s="144" t="s">
        <v>231</v>
      </c>
      <c r="H371" s="239" t="str">
        <f t="shared" si="26"/>
        <v>Акция_Пр.88 (15мая-31июля25)</v>
      </c>
    </row>
    <row r="372" spans="1:8" x14ac:dyDescent="0.3">
      <c r="A372" s="128" t="s">
        <v>186</v>
      </c>
      <c r="B372" s="129" t="s">
        <v>258</v>
      </c>
      <c r="C372" s="129" t="s">
        <v>190</v>
      </c>
      <c r="D372" s="129" t="str">
        <f t="shared" si="27"/>
        <v>Комплекс коммерческий ПредприятиеЭКСПЕРТМИНИМАЛЬНЫЙ6</v>
      </c>
      <c r="E372" s="145">
        <v>0.05</v>
      </c>
      <c r="F372" s="144">
        <v>6</v>
      </c>
      <c r="G372" s="144" t="s">
        <v>231</v>
      </c>
      <c r="H372" s="239" t="str">
        <f t="shared" si="26"/>
        <v>Акция_Пр.88 (15мая-31июля25)</v>
      </c>
    </row>
    <row r="373" spans="1:8" x14ac:dyDescent="0.3">
      <c r="A373" s="128" t="s">
        <v>186</v>
      </c>
      <c r="B373" s="129" t="s">
        <v>257</v>
      </c>
      <c r="C373" s="129" t="s">
        <v>192</v>
      </c>
      <c r="D373" s="129" t="str">
        <f t="shared" si="27"/>
        <v>Комплекс коммерческий Главный Бухгалтер ПРОФЭКСПЕРТБАЗОВЫЙ6</v>
      </c>
      <c r="E373" s="145">
        <v>0.05</v>
      </c>
      <c r="F373" s="144">
        <v>6</v>
      </c>
      <c r="G373" s="144" t="s">
        <v>231</v>
      </c>
      <c r="H373" s="239" t="str">
        <f t="shared" si="26"/>
        <v>Акция_Пр.88 (15мая-31июля25)</v>
      </c>
    </row>
    <row r="374" spans="1:8" x14ac:dyDescent="0.3">
      <c r="A374" s="128" t="s">
        <v>186</v>
      </c>
      <c r="B374" s="129" t="s">
        <v>260</v>
      </c>
      <c r="C374" s="129" t="s">
        <v>190</v>
      </c>
      <c r="D374" s="129" t="str">
        <f t="shared" si="27"/>
        <v>Комплекс коммерческий VIP ПредприятиеЭКСПЕРТМИНИМАЛЬНЫЙ6</v>
      </c>
      <c r="E374" s="145">
        <v>0.05</v>
      </c>
      <c r="F374" s="144">
        <v>6</v>
      </c>
      <c r="G374" s="144" t="s">
        <v>231</v>
      </c>
      <c r="H374" s="239" t="str">
        <f t="shared" si="26"/>
        <v>Акция_Пр.88 (15мая-31июля25)</v>
      </c>
    </row>
    <row r="375" spans="1:8" x14ac:dyDescent="0.3">
      <c r="A375" s="128" t="s">
        <v>186</v>
      </c>
      <c r="B375" s="129" t="s">
        <v>259</v>
      </c>
      <c r="C375" s="129" t="s">
        <v>191</v>
      </c>
      <c r="D375" s="129" t="str">
        <f t="shared" si="27"/>
        <v>Комплекс коммерческий Предприятие ПРОФОПТИМАЛЬНЫЙМИНИМАЛЬНЫЙ</v>
      </c>
      <c r="E375" s="130"/>
      <c r="F375" s="129"/>
      <c r="G375" s="129"/>
      <c r="H375" s="138"/>
    </row>
    <row r="376" spans="1:8" x14ac:dyDescent="0.3">
      <c r="A376" s="128" t="s">
        <v>186</v>
      </c>
      <c r="B376" s="129" t="s">
        <v>258</v>
      </c>
      <c r="C376" s="129" t="s">
        <v>191</v>
      </c>
      <c r="D376" s="129" t="str">
        <f t="shared" si="27"/>
        <v>Комплекс коммерческий ПредприятиеОПТИМАЛЬНЫЙМИНИМАЛЬНЫЙ</v>
      </c>
      <c r="E376" s="130"/>
      <c r="F376" s="129"/>
      <c r="G376" s="129"/>
      <c r="H376" s="138"/>
    </row>
    <row r="377" spans="1:8" x14ac:dyDescent="0.3">
      <c r="A377" s="128" t="s">
        <v>186</v>
      </c>
      <c r="B377" s="129" t="s">
        <v>257</v>
      </c>
      <c r="C377" s="129" t="s">
        <v>234</v>
      </c>
      <c r="D377" s="129" t="str">
        <f t="shared" si="27"/>
        <v>Комплекс коммерческий Главный Бухгалтер ПРОФОПТИМАЛЬНЫЙБАЗОВЫЙ</v>
      </c>
      <c r="E377" s="130"/>
      <c r="F377" s="129"/>
      <c r="G377" s="129"/>
      <c r="H377" s="138"/>
    </row>
    <row r="378" spans="1:8" x14ac:dyDescent="0.3">
      <c r="A378" s="128" t="s">
        <v>186</v>
      </c>
      <c r="B378" s="129" t="s">
        <v>260</v>
      </c>
      <c r="C378" s="129" t="s">
        <v>191</v>
      </c>
      <c r="D378" s="129" t="str">
        <f t="shared" si="27"/>
        <v>Комплекс коммерческий VIP ПредприятиеОПТИМАЛЬНЫЙМИНИМАЛЬНЫЙ</v>
      </c>
      <c r="E378" s="130"/>
      <c r="F378" s="129"/>
      <c r="G378" s="129"/>
      <c r="H378" s="138"/>
    </row>
    <row r="379" spans="1:8" x14ac:dyDescent="0.3">
      <c r="A379" s="128" t="s">
        <v>186</v>
      </c>
      <c r="B379" s="129" t="s">
        <v>259</v>
      </c>
      <c r="C379" s="129" t="s">
        <v>194</v>
      </c>
      <c r="D379" s="129" t="str">
        <f t="shared" si="27"/>
        <v>Комплекс коммерческий Предприятие ПРОФЭКСПЕРТОПТИМАЛЬНЫЙМИНИМАЛЬНЫЙ6</v>
      </c>
      <c r="E379" s="151">
        <v>0.05</v>
      </c>
      <c r="F379" s="152">
        <v>6</v>
      </c>
      <c r="G379" s="152" t="s">
        <v>231</v>
      </c>
      <c r="H379" s="239" t="str">
        <f t="shared" ref="H379:H405" si="28">$B$42</f>
        <v>Акция_Пр.88 (15мая-31июля25)</v>
      </c>
    </row>
    <row r="380" spans="1:8" x14ac:dyDescent="0.3">
      <c r="A380" s="128" t="s">
        <v>186</v>
      </c>
      <c r="B380" s="129" t="s">
        <v>258</v>
      </c>
      <c r="C380" s="129" t="s">
        <v>194</v>
      </c>
      <c r="D380" s="129" t="str">
        <f t="shared" si="27"/>
        <v>Комплекс коммерческий ПредприятиеЭКСПЕРТОПТИМАЛЬНЫЙМИНИМАЛЬНЫЙ6</v>
      </c>
      <c r="E380" s="151">
        <v>0.05</v>
      </c>
      <c r="F380" s="152">
        <v>6</v>
      </c>
      <c r="G380" s="152" t="s">
        <v>231</v>
      </c>
      <c r="H380" s="239" t="str">
        <f t="shared" si="28"/>
        <v>Акция_Пр.88 (15мая-31июля25)</v>
      </c>
    </row>
    <row r="381" spans="1:8" x14ac:dyDescent="0.3">
      <c r="A381" s="128" t="s">
        <v>186</v>
      </c>
      <c r="B381" s="129" t="s">
        <v>257</v>
      </c>
      <c r="C381" s="129" t="s">
        <v>195</v>
      </c>
      <c r="D381" s="129" t="str">
        <f t="shared" si="27"/>
        <v>Комплекс коммерческий Главный Бухгалтер ПРОФЭКСПЕРТОПТИМАЛЬНЫЙБАЗОВЫЙ6</v>
      </c>
      <c r="E381" s="151">
        <v>0.05</v>
      </c>
      <c r="F381" s="152">
        <v>6</v>
      </c>
      <c r="G381" s="152" t="s">
        <v>231</v>
      </c>
      <c r="H381" s="239" t="str">
        <f t="shared" si="28"/>
        <v>Акция_Пр.88 (15мая-31июля25)</v>
      </c>
    </row>
    <row r="382" spans="1:8" x14ac:dyDescent="0.3">
      <c r="A382" s="128" t="s">
        <v>186</v>
      </c>
      <c r="B382" s="129" t="s">
        <v>260</v>
      </c>
      <c r="C382" s="129" t="s">
        <v>194</v>
      </c>
      <c r="D382" s="129" t="str">
        <f t="shared" si="27"/>
        <v>Комплекс коммерческий VIP ПредприятиеЭКСПЕРТОПТИМАЛЬНЫЙМИНИМАЛЬНЫЙ6</v>
      </c>
      <c r="E382" s="151">
        <v>0.05</v>
      </c>
      <c r="F382" s="152">
        <v>6</v>
      </c>
      <c r="G382" s="152" t="s">
        <v>231</v>
      </c>
      <c r="H382" s="239" t="str">
        <f t="shared" si="28"/>
        <v>Акция_Пр.88 (15мая-31июля25)</v>
      </c>
    </row>
    <row r="383" spans="1:8" x14ac:dyDescent="0.3">
      <c r="A383" s="128" t="s">
        <v>187</v>
      </c>
      <c r="B383" s="129" t="s">
        <v>262</v>
      </c>
      <c r="C383" s="129" t="s">
        <v>20</v>
      </c>
      <c r="D383" s="129" t="str">
        <f t="shared" ref="D383:D389" si="29">_xlfn.CONCAT(B383,C383,F383)</f>
        <v>Комплекс коммерческий Предприятие (1 пользователь)ЭКСПЕРТ7</v>
      </c>
      <c r="E383" s="325">
        <v>0.05</v>
      </c>
      <c r="F383" s="144">
        <v>7</v>
      </c>
      <c r="G383" s="144" t="s">
        <v>231</v>
      </c>
      <c r="H383" s="239" t="str">
        <f t="shared" si="28"/>
        <v>Акция_Пр.88 (15мая-31июля25)</v>
      </c>
    </row>
    <row r="384" spans="1:8" x14ac:dyDescent="0.3">
      <c r="A384" s="128" t="s">
        <v>187</v>
      </c>
      <c r="B384" s="129" t="s">
        <v>263</v>
      </c>
      <c r="C384" s="129" t="s">
        <v>20</v>
      </c>
      <c r="D384" s="129" t="str">
        <f t="shared" si="29"/>
        <v>Комплекс коммерческий Предприятие ПРОФ (1 пользователь)ЭКСПЕРТ7</v>
      </c>
      <c r="E384" s="145">
        <v>0.05</v>
      </c>
      <c r="F384" s="144">
        <v>7</v>
      </c>
      <c r="G384" s="144" t="s">
        <v>231</v>
      </c>
      <c r="H384" s="239" t="str">
        <f t="shared" si="28"/>
        <v>Акция_Пр.88 (15мая-31июля25)</v>
      </c>
    </row>
    <row r="385" spans="1:8" x14ac:dyDescent="0.3">
      <c r="A385" s="128" t="s">
        <v>187</v>
      </c>
      <c r="B385" s="129" t="s">
        <v>261</v>
      </c>
      <c r="C385" s="129" t="s">
        <v>20</v>
      </c>
      <c r="D385" s="129" t="str">
        <f t="shared" si="29"/>
        <v>Комплекс коммерческий Главный Бухгалтер ПРОФ (1 пользователь)ЭКСПЕРТ7</v>
      </c>
      <c r="E385" s="145">
        <v>0.05</v>
      </c>
      <c r="F385" s="144">
        <v>7</v>
      </c>
      <c r="G385" s="144" t="s">
        <v>231</v>
      </c>
      <c r="H385" s="239" t="str">
        <f t="shared" si="28"/>
        <v>Акция_Пр.88 (15мая-31июля25)</v>
      </c>
    </row>
    <row r="386" spans="1:8" x14ac:dyDescent="0.3">
      <c r="A386" s="128" t="s">
        <v>187</v>
      </c>
      <c r="B386" s="129" t="s">
        <v>264</v>
      </c>
      <c r="C386" s="129" t="s">
        <v>20</v>
      </c>
      <c r="D386" s="129" t="str">
        <f t="shared" si="29"/>
        <v>Комплекс коммерческий VIP Предприятие (1 пользователь)ЭКСПЕРТ7</v>
      </c>
      <c r="E386" s="145">
        <v>0.05</v>
      </c>
      <c r="F386" s="144">
        <v>7</v>
      </c>
      <c r="G386" s="144" t="s">
        <v>231</v>
      </c>
      <c r="H386" s="239" t="str">
        <f t="shared" si="28"/>
        <v>Акция_Пр.88 (15мая-31июля25)</v>
      </c>
    </row>
    <row r="387" spans="1:8" x14ac:dyDescent="0.3">
      <c r="A387" s="128" t="s">
        <v>187</v>
      </c>
      <c r="B387" s="129" t="s">
        <v>262</v>
      </c>
      <c r="C387" s="129" t="s">
        <v>21</v>
      </c>
      <c r="D387" s="129" t="str">
        <f t="shared" si="29"/>
        <v>Комплекс коммерческий Предприятие (1 пользователь)ОПТИМАЛЬНЫЙ7</v>
      </c>
      <c r="E387" s="325">
        <v>0.05</v>
      </c>
      <c r="F387" s="144">
        <v>7</v>
      </c>
      <c r="G387" s="144" t="s">
        <v>231</v>
      </c>
      <c r="H387" s="239" t="str">
        <f t="shared" si="28"/>
        <v>Акция_Пр.88 (15мая-31июля25)</v>
      </c>
    </row>
    <row r="388" spans="1:8" x14ac:dyDescent="0.3">
      <c r="A388" s="128" t="s">
        <v>187</v>
      </c>
      <c r="B388" s="129" t="s">
        <v>263</v>
      </c>
      <c r="C388" s="129" t="s">
        <v>21</v>
      </c>
      <c r="D388" s="129" t="str">
        <f t="shared" si="29"/>
        <v>Комплекс коммерческий Предприятие ПРОФ (1 пользователь)ОПТИМАЛЬНЫЙ7</v>
      </c>
      <c r="E388" s="145">
        <v>0.05</v>
      </c>
      <c r="F388" s="144">
        <v>7</v>
      </c>
      <c r="G388" s="144" t="s">
        <v>231</v>
      </c>
      <c r="H388" s="239" t="str">
        <f t="shared" si="28"/>
        <v>Акция_Пр.88 (15мая-31июля25)</v>
      </c>
    </row>
    <row r="389" spans="1:8" x14ac:dyDescent="0.3">
      <c r="A389" s="128" t="s">
        <v>187</v>
      </c>
      <c r="B389" s="129" t="s">
        <v>264</v>
      </c>
      <c r="C389" s="129" t="s">
        <v>21</v>
      </c>
      <c r="D389" s="129" t="str">
        <f t="shared" si="29"/>
        <v>Комплекс коммерческий VIP Предприятие (1 пользователь)ОПТИМАЛЬНЫЙ7</v>
      </c>
      <c r="E389" s="145">
        <v>0.05</v>
      </c>
      <c r="F389" s="144">
        <v>7</v>
      </c>
      <c r="G389" s="144" t="s">
        <v>231</v>
      </c>
      <c r="H389" s="239" t="str">
        <f t="shared" si="28"/>
        <v>Акция_Пр.88 (15мая-31июля25)</v>
      </c>
    </row>
    <row r="390" spans="1:8" x14ac:dyDescent="0.3">
      <c r="A390" s="128" t="s">
        <v>186</v>
      </c>
      <c r="B390" s="129" t="s">
        <v>259</v>
      </c>
      <c r="C390" s="129" t="s">
        <v>20</v>
      </c>
      <c r="D390" s="129" t="str">
        <f t="shared" ref="D390:D413" si="30">CONCATENATE(B390,C390,F390)</f>
        <v>Комплекс коммерческий Предприятие ПРОФЭКСПЕРТ7</v>
      </c>
      <c r="E390" s="145">
        <v>0.05</v>
      </c>
      <c r="F390" s="144">
        <v>7</v>
      </c>
      <c r="G390" s="144" t="s">
        <v>231</v>
      </c>
      <c r="H390" s="239" t="str">
        <f t="shared" si="28"/>
        <v>Акция_Пр.88 (15мая-31июля25)</v>
      </c>
    </row>
    <row r="391" spans="1:8" x14ac:dyDescent="0.3">
      <c r="A391" s="128" t="s">
        <v>186</v>
      </c>
      <c r="B391" s="129" t="s">
        <v>258</v>
      </c>
      <c r="C391" s="129" t="s">
        <v>20</v>
      </c>
      <c r="D391" s="129" t="str">
        <f t="shared" si="30"/>
        <v>Комплекс коммерческий ПредприятиеЭКСПЕРТ7</v>
      </c>
      <c r="E391" s="145">
        <v>0.05</v>
      </c>
      <c r="F391" s="144">
        <v>7</v>
      </c>
      <c r="G391" s="144" t="s">
        <v>231</v>
      </c>
      <c r="H391" s="239" t="str">
        <f t="shared" si="28"/>
        <v>Акция_Пр.88 (15мая-31июля25)</v>
      </c>
    </row>
    <row r="392" spans="1:8" x14ac:dyDescent="0.3">
      <c r="A392" s="128" t="s">
        <v>186</v>
      </c>
      <c r="B392" s="129" t="s">
        <v>257</v>
      </c>
      <c r="C392" s="129" t="s">
        <v>20</v>
      </c>
      <c r="D392" s="129" t="str">
        <f t="shared" si="30"/>
        <v>Комплекс коммерческий Главный Бухгалтер ПРОФЭКСПЕРТ7</v>
      </c>
      <c r="E392" s="145">
        <v>0.05</v>
      </c>
      <c r="F392" s="144">
        <v>7</v>
      </c>
      <c r="G392" s="144" t="s">
        <v>231</v>
      </c>
      <c r="H392" s="239" t="str">
        <f t="shared" si="28"/>
        <v>Акция_Пр.88 (15мая-31июля25)</v>
      </c>
    </row>
    <row r="393" spans="1:8" x14ac:dyDescent="0.3">
      <c r="A393" s="128" t="s">
        <v>186</v>
      </c>
      <c r="B393" s="129" t="s">
        <v>260</v>
      </c>
      <c r="C393" s="129" t="s">
        <v>20</v>
      </c>
      <c r="D393" s="129" t="str">
        <f t="shared" si="30"/>
        <v>Комплекс коммерческий VIP ПредприятиеЭКСПЕРТ7</v>
      </c>
      <c r="E393" s="145">
        <v>0.05</v>
      </c>
      <c r="F393" s="144">
        <v>7</v>
      </c>
      <c r="G393" s="144" t="s">
        <v>231</v>
      </c>
      <c r="H393" s="239" t="str">
        <f t="shared" si="28"/>
        <v>Акция_Пр.88 (15мая-31июля25)</v>
      </c>
    </row>
    <row r="394" spans="1:8" x14ac:dyDescent="0.3">
      <c r="A394" s="128" t="s">
        <v>186</v>
      </c>
      <c r="B394" s="129" t="s">
        <v>259</v>
      </c>
      <c r="C394" s="129" t="s">
        <v>21</v>
      </c>
      <c r="D394" s="129" t="str">
        <f t="shared" si="30"/>
        <v>Комплекс коммерческий Предприятие ПРОФОПТИМАЛЬНЫЙ7</v>
      </c>
      <c r="E394" s="145">
        <v>0.05</v>
      </c>
      <c r="F394" s="144">
        <v>7</v>
      </c>
      <c r="G394" s="144" t="s">
        <v>231</v>
      </c>
      <c r="H394" s="239" t="str">
        <f t="shared" si="28"/>
        <v>Акция_Пр.88 (15мая-31июля25)</v>
      </c>
    </row>
    <row r="395" spans="1:8" x14ac:dyDescent="0.3">
      <c r="A395" s="128" t="s">
        <v>186</v>
      </c>
      <c r="B395" s="129" t="s">
        <v>258</v>
      </c>
      <c r="C395" s="129" t="s">
        <v>21</v>
      </c>
      <c r="D395" s="129" t="str">
        <f t="shared" si="30"/>
        <v>Комплекс коммерческий ПредприятиеОПТИМАЛЬНЫЙ7</v>
      </c>
      <c r="E395" s="145">
        <v>0.05</v>
      </c>
      <c r="F395" s="144">
        <v>7</v>
      </c>
      <c r="G395" s="144" t="s">
        <v>231</v>
      </c>
      <c r="H395" s="239" t="str">
        <f t="shared" si="28"/>
        <v>Акция_Пр.88 (15мая-31июля25)</v>
      </c>
    </row>
    <row r="396" spans="1:8" x14ac:dyDescent="0.3">
      <c r="A396" s="128" t="s">
        <v>186</v>
      </c>
      <c r="B396" s="129" t="s">
        <v>257</v>
      </c>
      <c r="C396" s="129" t="s">
        <v>21</v>
      </c>
      <c r="D396" s="129" t="str">
        <f t="shared" si="30"/>
        <v>Комплекс коммерческий Главный Бухгалтер ПРОФОПТИМАЛЬНЫЙ7</v>
      </c>
      <c r="E396" s="145">
        <v>0.05</v>
      </c>
      <c r="F396" s="144">
        <v>7</v>
      </c>
      <c r="G396" s="144" t="s">
        <v>231</v>
      </c>
      <c r="H396" s="239" t="str">
        <f t="shared" si="28"/>
        <v>Акция_Пр.88 (15мая-31июля25)</v>
      </c>
    </row>
    <row r="397" spans="1:8" x14ac:dyDescent="0.3">
      <c r="A397" s="128" t="s">
        <v>186</v>
      </c>
      <c r="B397" s="129" t="s">
        <v>260</v>
      </c>
      <c r="C397" s="129" t="s">
        <v>21</v>
      </c>
      <c r="D397" s="129" t="str">
        <f t="shared" si="30"/>
        <v>Комплекс коммерческий VIP ПредприятиеОПТИМАЛЬНЫЙ7</v>
      </c>
      <c r="E397" s="145">
        <v>0.05</v>
      </c>
      <c r="F397" s="144">
        <v>7</v>
      </c>
      <c r="G397" s="144" t="s">
        <v>231</v>
      </c>
      <c r="H397" s="239" t="str">
        <f t="shared" si="28"/>
        <v>Акция_Пр.88 (15мая-31июля25)</v>
      </c>
    </row>
    <row r="398" spans="1:8" x14ac:dyDescent="0.3">
      <c r="A398" s="128" t="s">
        <v>186</v>
      </c>
      <c r="B398" s="129" t="s">
        <v>259</v>
      </c>
      <c r="C398" s="129" t="s">
        <v>189</v>
      </c>
      <c r="D398" s="129" t="str">
        <f t="shared" si="30"/>
        <v>Комплекс коммерческий Предприятие ПРОФЭКСПЕРТОПТИМАЛЬНЫЙ7</v>
      </c>
      <c r="E398" s="145">
        <v>0.05</v>
      </c>
      <c r="F398" s="144">
        <v>7</v>
      </c>
      <c r="G398" s="144" t="s">
        <v>231</v>
      </c>
      <c r="H398" s="239" t="str">
        <f t="shared" si="28"/>
        <v>Акция_Пр.88 (15мая-31июля25)</v>
      </c>
    </row>
    <row r="399" spans="1:8" x14ac:dyDescent="0.3">
      <c r="A399" s="128" t="s">
        <v>186</v>
      </c>
      <c r="B399" s="129" t="s">
        <v>258</v>
      </c>
      <c r="C399" s="129" t="s">
        <v>189</v>
      </c>
      <c r="D399" s="129" t="str">
        <f t="shared" si="30"/>
        <v>Комплекс коммерческий ПредприятиеЭКСПЕРТОПТИМАЛЬНЫЙ7</v>
      </c>
      <c r="E399" s="145">
        <v>0.05</v>
      </c>
      <c r="F399" s="144">
        <v>7</v>
      </c>
      <c r="G399" s="144" t="s">
        <v>231</v>
      </c>
      <c r="H399" s="239" t="str">
        <f t="shared" si="28"/>
        <v>Акция_Пр.88 (15мая-31июля25)</v>
      </c>
    </row>
    <row r="400" spans="1:8" x14ac:dyDescent="0.3">
      <c r="A400" s="128" t="s">
        <v>186</v>
      </c>
      <c r="B400" s="129" t="s">
        <v>257</v>
      </c>
      <c r="C400" s="129" t="s">
        <v>189</v>
      </c>
      <c r="D400" s="129" t="str">
        <f t="shared" si="30"/>
        <v>Комплекс коммерческий Главный Бухгалтер ПРОФЭКСПЕРТОПТИМАЛЬНЫЙ7</v>
      </c>
      <c r="E400" s="145">
        <v>0.05</v>
      </c>
      <c r="F400" s="144">
        <v>7</v>
      </c>
      <c r="G400" s="144" t="s">
        <v>231</v>
      </c>
      <c r="H400" s="239" t="str">
        <f t="shared" si="28"/>
        <v>Акция_Пр.88 (15мая-31июля25)</v>
      </c>
    </row>
    <row r="401" spans="1:8" x14ac:dyDescent="0.3">
      <c r="A401" s="128" t="s">
        <v>186</v>
      </c>
      <c r="B401" s="129" t="s">
        <v>260</v>
      </c>
      <c r="C401" s="129" t="s">
        <v>189</v>
      </c>
      <c r="D401" s="129" t="str">
        <f t="shared" si="30"/>
        <v>Комплекс коммерческий VIP ПредприятиеЭКСПЕРТОПТИМАЛЬНЫЙ7</v>
      </c>
      <c r="E401" s="145">
        <v>0.05</v>
      </c>
      <c r="F401" s="144">
        <v>7</v>
      </c>
      <c r="G401" s="144" t="s">
        <v>231</v>
      </c>
      <c r="H401" s="239" t="str">
        <f t="shared" si="28"/>
        <v>Акция_Пр.88 (15мая-31июля25)</v>
      </c>
    </row>
    <row r="402" spans="1:8" x14ac:dyDescent="0.3">
      <c r="A402" s="128" t="s">
        <v>186</v>
      </c>
      <c r="B402" s="129" t="s">
        <v>259</v>
      </c>
      <c r="C402" s="129" t="s">
        <v>190</v>
      </c>
      <c r="D402" s="129" t="str">
        <f t="shared" si="30"/>
        <v>Комплекс коммерческий Предприятие ПРОФЭКСПЕРТМИНИМАЛЬНЫЙ7</v>
      </c>
      <c r="E402" s="145">
        <v>0.05</v>
      </c>
      <c r="F402" s="144">
        <v>7</v>
      </c>
      <c r="G402" s="144" t="s">
        <v>231</v>
      </c>
      <c r="H402" s="239" t="str">
        <f t="shared" si="28"/>
        <v>Акция_Пр.88 (15мая-31июля25)</v>
      </c>
    </row>
    <row r="403" spans="1:8" x14ac:dyDescent="0.3">
      <c r="A403" s="128" t="s">
        <v>186</v>
      </c>
      <c r="B403" s="129" t="s">
        <v>258</v>
      </c>
      <c r="C403" s="129" t="s">
        <v>190</v>
      </c>
      <c r="D403" s="129" t="str">
        <f t="shared" si="30"/>
        <v>Комплекс коммерческий ПредприятиеЭКСПЕРТМИНИМАЛЬНЫЙ7</v>
      </c>
      <c r="E403" s="145">
        <v>0.05</v>
      </c>
      <c r="F403" s="144">
        <v>7</v>
      </c>
      <c r="G403" s="144" t="s">
        <v>231</v>
      </c>
      <c r="H403" s="239" t="str">
        <f t="shared" si="28"/>
        <v>Акция_Пр.88 (15мая-31июля25)</v>
      </c>
    </row>
    <row r="404" spans="1:8" x14ac:dyDescent="0.3">
      <c r="A404" s="128" t="s">
        <v>186</v>
      </c>
      <c r="B404" s="129" t="s">
        <v>257</v>
      </c>
      <c r="C404" s="129" t="s">
        <v>192</v>
      </c>
      <c r="D404" s="129" t="str">
        <f t="shared" si="30"/>
        <v>Комплекс коммерческий Главный Бухгалтер ПРОФЭКСПЕРТБАЗОВЫЙ7</v>
      </c>
      <c r="E404" s="145">
        <v>0.05</v>
      </c>
      <c r="F404" s="144">
        <v>7</v>
      </c>
      <c r="G404" s="144" t="s">
        <v>231</v>
      </c>
      <c r="H404" s="239" t="str">
        <f t="shared" si="28"/>
        <v>Акция_Пр.88 (15мая-31июля25)</v>
      </c>
    </row>
    <row r="405" spans="1:8" x14ac:dyDescent="0.3">
      <c r="A405" s="128" t="s">
        <v>186</v>
      </c>
      <c r="B405" s="129" t="s">
        <v>260</v>
      </c>
      <c r="C405" s="129" t="s">
        <v>190</v>
      </c>
      <c r="D405" s="129" t="str">
        <f t="shared" si="30"/>
        <v>Комплекс коммерческий VIP ПредприятиеЭКСПЕРТМИНИМАЛЬНЫЙ7</v>
      </c>
      <c r="E405" s="145">
        <v>0.05</v>
      </c>
      <c r="F405" s="144">
        <v>7</v>
      </c>
      <c r="G405" s="144" t="s">
        <v>231</v>
      </c>
      <c r="H405" s="239" t="str">
        <f t="shared" si="28"/>
        <v>Акция_Пр.88 (15мая-31июля25)</v>
      </c>
    </row>
    <row r="406" spans="1:8" x14ac:dyDescent="0.3">
      <c r="A406" s="128" t="s">
        <v>186</v>
      </c>
      <c r="B406" s="129" t="s">
        <v>259</v>
      </c>
      <c r="C406" s="129" t="s">
        <v>191</v>
      </c>
      <c r="D406" s="129" t="str">
        <f t="shared" si="30"/>
        <v>Комплекс коммерческий Предприятие ПРОФОПТИМАЛЬНЫЙМИНИМАЛЬНЫЙ</v>
      </c>
      <c r="E406" s="130"/>
      <c r="F406" s="129"/>
      <c r="G406" s="129"/>
      <c r="H406" s="138"/>
    </row>
    <row r="407" spans="1:8" x14ac:dyDescent="0.3">
      <c r="A407" s="128" t="s">
        <v>186</v>
      </c>
      <c r="B407" s="129" t="s">
        <v>258</v>
      </c>
      <c r="C407" s="129" t="s">
        <v>191</v>
      </c>
      <c r="D407" s="129" t="str">
        <f t="shared" si="30"/>
        <v>Комплекс коммерческий ПредприятиеОПТИМАЛЬНЫЙМИНИМАЛЬНЫЙ</v>
      </c>
      <c r="E407" s="130"/>
      <c r="F407" s="129"/>
      <c r="G407" s="129"/>
      <c r="H407" s="138"/>
    </row>
    <row r="408" spans="1:8" x14ac:dyDescent="0.3">
      <c r="A408" s="128" t="s">
        <v>186</v>
      </c>
      <c r="B408" s="129" t="s">
        <v>257</v>
      </c>
      <c r="C408" s="129" t="s">
        <v>234</v>
      </c>
      <c r="D408" s="129" t="str">
        <f t="shared" si="30"/>
        <v>Комплекс коммерческий Главный Бухгалтер ПРОФОПТИМАЛЬНЫЙБАЗОВЫЙ</v>
      </c>
      <c r="E408" s="130"/>
      <c r="F408" s="129"/>
      <c r="G408" s="129"/>
      <c r="H408" s="138"/>
    </row>
    <row r="409" spans="1:8" x14ac:dyDescent="0.3">
      <c r="A409" s="128" t="s">
        <v>186</v>
      </c>
      <c r="B409" s="129" t="s">
        <v>260</v>
      </c>
      <c r="C409" s="129" t="s">
        <v>191</v>
      </c>
      <c r="D409" s="129" t="str">
        <f t="shared" si="30"/>
        <v>Комплекс коммерческий VIP ПредприятиеОПТИМАЛЬНЫЙМИНИМАЛЬНЫЙ</v>
      </c>
      <c r="E409" s="130"/>
      <c r="F409" s="129"/>
      <c r="G409" s="129"/>
      <c r="H409" s="138"/>
    </row>
    <row r="410" spans="1:8" x14ac:dyDescent="0.3">
      <c r="A410" s="128" t="s">
        <v>186</v>
      </c>
      <c r="B410" s="129" t="s">
        <v>259</v>
      </c>
      <c r="C410" s="129" t="s">
        <v>194</v>
      </c>
      <c r="D410" s="129" t="str">
        <f t="shared" si="30"/>
        <v>Комплекс коммерческий Предприятие ПРОФЭКСПЕРТОПТИМАЛЬНЫЙМИНИМАЛЬНЫЙ7</v>
      </c>
      <c r="E410" s="151">
        <v>0.05</v>
      </c>
      <c r="F410" s="152">
        <v>7</v>
      </c>
      <c r="G410" s="152" t="s">
        <v>231</v>
      </c>
      <c r="H410" s="239" t="str">
        <f t="shared" ref="H410:H436" si="31">$B$42</f>
        <v>Акция_Пр.88 (15мая-31июля25)</v>
      </c>
    </row>
    <row r="411" spans="1:8" x14ac:dyDescent="0.3">
      <c r="A411" s="128" t="s">
        <v>186</v>
      </c>
      <c r="B411" s="129" t="s">
        <v>258</v>
      </c>
      <c r="C411" s="129" t="s">
        <v>194</v>
      </c>
      <c r="D411" s="129" t="str">
        <f t="shared" si="30"/>
        <v>Комплекс коммерческий ПредприятиеЭКСПЕРТОПТИМАЛЬНЫЙМИНИМАЛЬНЫЙ7</v>
      </c>
      <c r="E411" s="151">
        <v>0.05</v>
      </c>
      <c r="F411" s="152">
        <v>7</v>
      </c>
      <c r="G411" s="152" t="s">
        <v>231</v>
      </c>
      <c r="H411" s="239" t="str">
        <f t="shared" si="31"/>
        <v>Акция_Пр.88 (15мая-31июля25)</v>
      </c>
    </row>
    <row r="412" spans="1:8" x14ac:dyDescent="0.3">
      <c r="A412" s="128" t="s">
        <v>186</v>
      </c>
      <c r="B412" s="129" t="s">
        <v>257</v>
      </c>
      <c r="C412" s="129" t="s">
        <v>195</v>
      </c>
      <c r="D412" s="129" t="str">
        <f t="shared" si="30"/>
        <v>Комплекс коммерческий Главный Бухгалтер ПРОФЭКСПЕРТОПТИМАЛЬНЫЙБАЗОВЫЙ7</v>
      </c>
      <c r="E412" s="151">
        <v>0.05</v>
      </c>
      <c r="F412" s="152">
        <v>7</v>
      </c>
      <c r="G412" s="152" t="s">
        <v>231</v>
      </c>
      <c r="H412" s="239" t="str">
        <f t="shared" si="31"/>
        <v>Акция_Пр.88 (15мая-31июля25)</v>
      </c>
    </row>
    <row r="413" spans="1:8" x14ac:dyDescent="0.3">
      <c r="A413" s="128" t="s">
        <v>186</v>
      </c>
      <c r="B413" s="129" t="s">
        <v>260</v>
      </c>
      <c r="C413" s="129" t="s">
        <v>194</v>
      </c>
      <c r="D413" s="129" t="str">
        <f t="shared" si="30"/>
        <v>Комплекс коммерческий VIP ПредприятиеЭКСПЕРТОПТИМАЛЬНЫЙМИНИМАЛЬНЫЙ7</v>
      </c>
      <c r="E413" s="151">
        <v>0.05</v>
      </c>
      <c r="F413" s="152">
        <v>7</v>
      </c>
      <c r="G413" s="152" t="s">
        <v>231</v>
      </c>
      <c r="H413" s="239" t="str">
        <f t="shared" si="31"/>
        <v>Акция_Пр.88 (15мая-31июля25)</v>
      </c>
    </row>
    <row r="414" spans="1:8" x14ac:dyDescent="0.3">
      <c r="A414" s="128" t="s">
        <v>187</v>
      </c>
      <c r="B414" s="129" t="s">
        <v>262</v>
      </c>
      <c r="C414" s="129" t="s">
        <v>20</v>
      </c>
      <c r="D414" s="129" t="str">
        <f t="shared" ref="D414:D420" si="32">_xlfn.CONCAT(B414,C414,F414)</f>
        <v>Комплекс коммерческий Предприятие (1 пользователь)ЭКСПЕРТ8</v>
      </c>
      <c r="E414" s="325">
        <v>0.05</v>
      </c>
      <c r="F414" s="144">
        <v>8</v>
      </c>
      <c r="G414" s="144" t="s">
        <v>231</v>
      </c>
      <c r="H414" s="239" t="str">
        <f t="shared" si="31"/>
        <v>Акция_Пр.88 (15мая-31июля25)</v>
      </c>
    </row>
    <row r="415" spans="1:8" x14ac:dyDescent="0.3">
      <c r="A415" s="128" t="s">
        <v>187</v>
      </c>
      <c r="B415" s="129" t="s">
        <v>263</v>
      </c>
      <c r="C415" s="129" t="s">
        <v>20</v>
      </c>
      <c r="D415" s="129" t="str">
        <f t="shared" si="32"/>
        <v>Комплекс коммерческий Предприятие ПРОФ (1 пользователь)ЭКСПЕРТ8</v>
      </c>
      <c r="E415" s="145">
        <v>0.05</v>
      </c>
      <c r="F415" s="144">
        <v>8</v>
      </c>
      <c r="G415" s="144" t="s">
        <v>231</v>
      </c>
      <c r="H415" s="239" t="str">
        <f t="shared" si="31"/>
        <v>Акция_Пр.88 (15мая-31июля25)</v>
      </c>
    </row>
    <row r="416" spans="1:8" x14ac:dyDescent="0.3">
      <c r="A416" s="128" t="s">
        <v>187</v>
      </c>
      <c r="B416" s="129" t="s">
        <v>261</v>
      </c>
      <c r="C416" s="129" t="s">
        <v>20</v>
      </c>
      <c r="D416" s="129" t="str">
        <f t="shared" si="32"/>
        <v>Комплекс коммерческий Главный Бухгалтер ПРОФ (1 пользователь)ЭКСПЕРТ8</v>
      </c>
      <c r="E416" s="145">
        <v>0.05</v>
      </c>
      <c r="F416" s="144">
        <v>8</v>
      </c>
      <c r="G416" s="144" t="s">
        <v>231</v>
      </c>
      <c r="H416" s="239" t="str">
        <f t="shared" si="31"/>
        <v>Акция_Пр.88 (15мая-31июля25)</v>
      </c>
    </row>
    <row r="417" spans="1:8" x14ac:dyDescent="0.3">
      <c r="A417" s="128" t="s">
        <v>187</v>
      </c>
      <c r="B417" s="129" t="s">
        <v>264</v>
      </c>
      <c r="C417" s="129" t="s">
        <v>20</v>
      </c>
      <c r="D417" s="129" t="str">
        <f t="shared" si="32"/>
        <v>Комплекс коммерческий VIP Предприятие (1 пользователь)ЭКСПЕРТ8</v>
      </c>
      <c r="E417" s="145">
        <v>0.05</v>
      </c>
      <c r="F417" s="144">
        <v>8</v>
      </c>
      <c r="G417" s="144" t="s">
        <v>231</v>
      </c>
      <c r="H417" s="239" t="str">
        <f t="shared" si="31"/>
        <v>Акция_Пр.88 (15мая-31июля25)</v>
      </c>
    </row>
    <row r="418" spans="1:8" x14ac:dyDescent="0.3">
      <c r="A418" s="128" t="s">
        <v>187</v>
      </c>
      <c r="B418" s="129" t="s">
        <v>262</v>
      </c>
      <c r="C418" s="129" t="s">
        <v>21</v>
      </c>
      <c r="D418" s="129" t="str">
        <f t="shared" si="32"/>
        <v>Комплекс коммерческий Предприятие (1 пользователь)ОПТИМАЛЬНЫЙ8</v>
      </c>
      <c r="E418" s="325">
        <v>0.05</v>
      </c>
      <c r="F418" s="144">
        <v>8</v>
      </c>
      <c r="G418" s="144" t="s">
        <v>231</v>
      </c>
      <c r="H418" s="239" t="str">
        <f t="shared" si="31"/>
        <v>Акция_Пр.88 (15мая-31июля25)</v>
      </c>
    </row>
    <row r="419" spans="1:8" x14ac:dyDescent="0.3">
      <c r="A419" s="128" t="s">
        <v>187</v>
      </c>
      <c r="B419" s="129" t="s">
        <v>263</v>
      </c>
      <c r="C419" s="129" t="s">
        <v>21</v>
      </c>
      <c r="D419" s="129" t="str">
        <f t="shared" si="32"/>
        <v>Комплекс коммерческий Предприятие ПРОФ (1 пользователь)ОПТИМАЛЬНЫЙ8</v>
      </c>
      <c r="E419" s="145">
        <v>0.05</v>
      </c>
      <c r="F419" s="144">
        <v>8</v>
      </c>
      <c r="G419" s="144" t="s">
        <v>231</v>
      </c>
      <c r="H419" s="239" t="str">
        <f t="shared" si="31"/>
        <v>Акция_Пр.88 (15мая-31июля25)</v>
      </c>
    </row>
    <row r="420" spans="1:8" x14ac:dyDescent="0.3">
      <c r="A420" s="128" t="s">
        <v>187</v>
      </c>
      <c r="B420" s="129" t="s">
        <v>264</v>
      </c>
      <c r="C420" s="129" t="s">
        <v>21</v>
      </c>
      <c r="D420" s="129" t="str">
        <f t="shared" si="32"/>
        <v>Комплекс коммерческий VIP Предприятие (1 пользователь)ОПТИМАЛЬНЫЙ8</v>
      </c>
      <c r="E420" s="145">
        <v>0.05</v>
      </c>
      <c r="F420" s="144">
        <v>8</v>
      </c>
      <c r="G420" s="144" t="s">
        <v>231</v>
      </c>
      <c r="H420" s="239" t="str">
        <f t="shared" si="31"/>
        <v>Акция_Пр.88 (15мая-31июля25)</v>
      </c>
    </row>
    <row r="421" spans="1:8" x14ac:dyDescent="0.3">
      <c r="A421" s="128" t="s">
        <v>186</v>
      </c>
      <c r="B421" s="129" t="s">
        <v>259</v>
      </c>
      <c r="C421" s="129" t="s">
        <v>20</v>
      </c>
      <c r="D421" s="129" t="str">
        <f t="shared" ref="D421:D444" si="33">CONCATENATE(B421,C421,F421)</f>
        <v>Комплекс коммерческий Предприятие ПРОФЭКСПЕРТ8</v>
      </c>
      <c r="E421" s="145">
        <v>0.05</v>
      </c>
      <c r="F421" s="144">
        <v>8</v>
      </c>
      <c r="G421" s="144" t="s">
        <v>231</v>
      </c>
      <c r="H421" s="239" t="str">
        <f t="shared" si="31"/>
        <v>Акция_Пр.88 (15мая-31июля25)</v>
      </c>
    </row>
    <row r="422" spans="1:8" x14ac:dyDescent="0.3">
      <c r="A422" s="128" t="s">
        <v>186</v>
      </c>
      <c r="B422" s="129" t="s">
        <v>258</v>
      </c>
      <c r="C422" s="129" t="s">
        <v>20</v>
      </c>
      <c r="D422" s="129" t="str">
        <f t="shared" si="33"/>
        <v>Комплекс коммерческий ПредприятиеЭКСПЕРТ8</v>
      </c>
      <c r="E422" s="145">
        <v>0.05</v>
      </c>
      <c r="F422" s="144">
        <v>8</v>
      </c>
      <c r="G422" s="144" t="s">
        <v>231</v>
      </c>
      <c r="H422" s="239" t="str">
        <f t="shared" si="31"/>
        <v>Акция_Пр.88 (15мая-31июля25)</v>
      </c>
    </row>
    <row r="423" spans="1:8" x14ac:dyDescent="0.3">
      <c r="A423" s="128" t="s">
        <v>186</v>
      </c>
      <c r="B423" s="129" t="s">
        <v>257</v>
      </c>
      <c r="C423" s="129" t="s">
        <v>20</v>
      </c>
      <c r="D423" s="129" t="str">
        <f t="shared" si="33"/>
        <v>Комплекс коммерческий Главный Бухгалтер ПРОФЭКСПЕРТ8</v>
      </c>
      <c r="E423" s="145">
        <v>0.05</v>
      </c>
      <c r="F423" s="144">
        <v>8</v>
      </c>
      <c r="G423" s="144" t="s">
        <v>231</v>
      </c>
      <c r="H423" s="239" t="str">
        <f t="shared" si="31"/>
        <v>Акция_Пр.88 (15мая-31июля25)</v>
      </c>
    </row>
    <row r="424" spans="1:8" x14ac:dyDescent="0.3">
      <c r="A424" s="128" t="s">
        <v>186</v>
      </c>
      <c r="B424" s="129" t="s">
        <v>260</v>
      </c>
      <c r="C424" s="129" t="s">
        <v>20</v>
      </c>
      <c r="D424" s="129" t="str">
        <f t="shared" si="33"/>
        <v>Комплекс коммерческий VIP ПредприятиеЭКСПЕРТ8</v>
      </c>
      <c r="E424" s="145">
        <v>0.05</v>
      </c>
      <c r="F424" s="144">
        <v>8</v>
      </c>
      <c r="G424" s="144" t="s">
        <v>231</v>
      </c>
      <c r="H424" s="239" t="str">
        <f t="shared" si="31"/>
        <v>Акция_Пр.88 (15мая-31июля25)</v>
      </c>
    </row>
    <row r="425" spans="1:8" x14ac:dyDescent="0.3">
      <c r="A425" s="128" t="s">
        <v>186</v>
      </c>
      <c r="B425" s="129" t="s">
        <v>259</v>
      </c>
      <c r="C425" s="129" t="s">
        <v>21</v>
      </c>
      <c r="D425" s="129" t="str">
        <f t="shared" si="33"/>
        <v>Комплекс коммерческий Предприятие ПРОФОПТИМАЛЬНЫЙ8</v>
      </c>
      <c r="E425" s="145">
        <v>0.05</v>
      </c>
      <c r="F425" s="144">
        <v>8</v>
      </c>
      <c r="G425" s="144" t="s">
        <v>231</v>
      </c>
      <c r="H425" s="239" t="str">
        <f t="shared" si="31"/>
        <v>Акция_Пр.88 (15мая-31июля25)</v>
      </c>
    </row>
    <row r="426" spans="1:8" x14ac:dyDescent="0.3">
      <c r="A426" s="128" t="s">
        <v>186</v>
      </c>
      <c r="B426" s="129" t="s">
        <v>258</v>
      </c>
      <c r="C426" s="129" t="s">
        <v>21</v>
      </c>
      <c r="D426" s="129" t="str">
        <f t="shared" si="33"/>
        <v>Комплекс коммерческий ПредприятиеОПТИМАЛЬНЫЙ8</v>
      </c>
      <c r="E426" s="145">
        <v>0.05</v>
      </c>
      <c r="F426" s="144">
        <v>8</v>
      </c>
      <c r="G426" s="144" t="s">
        <v>231</v>
      </c>
      <c r="H426" s="239" t="str">
        <f t="shared" si="31"/>
        <v>Акция_Пр.88 (15мая-31июля25)</v>
      </c>
    </row>
    <row r="427" spans="1:8" x14ac:dyDescent="0.3">
      <c r="A427" s="128" t="s">
        <v>186</v>
      </c>
      <c r="B427" s="129" t="s">
        <v>257</v>
      </c>
      <c r="C427" s="129" t="s">
        <v>21</v>
      </c>
      <c r="D427" s="129" t="str">
        <f t="shared" si="33"/>
        <v>Комплекс коммерческий Главный Бухгалтер ПРОФОПТИМАЛЬНЫЙ8</v>
      </c>
      <c r="E427" s="145">
        <v>0.05</v>
      </c>
      <c r="F427" s="144">
        <v>8</v>
      </c>
      <c r="G427" s="144" t="s">
        <v>231</v>
      </c>
      <c r="H427" s="239" t="str">
        <f t="shared" si="31"/>
        <v>Акция_Пр.88 (15мая-31июля25)</v>
      </c>
    </row>
    <row r="428" spans="1:8" x14ac:dyDescent="0.3">
      <c r="A428" s="128" t="s">
        <v>186</v>
      </c>
      <c r="B428" s="129" t="s">
        <v>260</v>
      </c>
      <c r="C428" s="129" t="s">
        <v>21</v>
      </c>
      <c r="D428" s="129" t="str">
        <f t="shared" si="33"/>
        <v>Комплекс коммерческий VIP ПредприятиеОПТИМАЛЬНЫЙ8</v>
      </c>
      <c r="E428" s="145">
        <v>0.05</v>
      </c>
      <c r="F428" s="144">
        <v>8</v>
      </c>
      <c r="G428" s="144" t="s">
        <v>231</v>
      </c>
      <c r="H428" s="239" t="str">
        <f t="shared" si="31"/>
        <v>Акция_Пр.88 (15мая-31июля25)</v>
      </c>
    </row>
    <row r="429" spans="1:8" x14ac:dyDescent="0.3">
      <c r="A429" s="128" t="s">
        <v>186</v>
      </c>
      <c r="B429" s="129" t="s">
        <v>259</v>
      </c>
      <c r="C429" s="129" t="s">
        <v>189</v>
      </c>
      <c r="D429" s="129" t="str">
        <f t="shared" si="33"/>
        <v>Комплекс коммерческий Предприятие ПРОФЭКСПЕРТОПТИМАЛЬНЫЙ8</v>
      </c>
      <c r="E429" s="145">
        <v>0.05</v>
      </c>
      <c r="F429" s="144">
        <v>8</v>
      </c>
      <c r="G429" s="144" t="s">
        <v>231</v>
      </c>
      <c r="H429" s="239" t="str">
        <f t="shared" si="31"/>
        <v>Акция_Пр.88 (15мая-31июля25)</v>
      </c>
    </row>
    <row r="430" spans="1:8" x14ac:dyDescent="0.3">
      <c r="A430" s="128" t="s">
        <v>186</v>
      </c>
      <c r="B430" s="129" t="s">
        <v>258</v>
      </c>
      <c r="C430" s="129" t="s">
        <v>189</v>
      </c>
      <c r="D430" s="129" t="str">
        <f t="shared" si="33"/>
        <v>Комплекс коммерческий ПредприятиеЭКСПЕРТОПТИМАЛЬНЫЙ8</v>
      </c>
      <c r="E430" s="145">
        <v>0.05</v>
      </c>
      <c r="F430" s="144">
        <v>8</v>
      </c>
      <c r="G430" s="144" t="s">
        <v>231</v>
      </c>
      <c r="H430" s="239" t="str">
        <f t="shared" si="31"/>
        <v>Акция_Пр.88 (15мая-31июля25)</v>
      </c>
    </row>
    <row r="431" spans="1:8" x14ac:dyDescent="0.3">
      <c r="A431" s="128" t="s">
        <v>186</v>
      </c>
      <c r="B431" s="129" t="s">
        <v>257</v>
      </c>
      <c r="C431" s="129" t="s">
        <v>189</v>
      </c>
      <c r="D431" s="129" t="str">
        <f t="shared" si="33"/>
        <v>Комплекс коммерческий Главный Бухгалтер ПРОФЭКСПЕРТОПТИМАЛЬНЫЙ8</v>
      </c>
      <c r="E431" s="145">
        <v>0.05</v>
      </c>
      <c r="F431" s="144">
        <v>8</v>
      </c>
      <c r="G431" s="144" t="s">
        <v>231</v>
      </c>
      <c r="H431" s="239" t="str">
        <f t="shared" si="31"/>
        <v>Акция_Пр.88 (15мая-31июля25)</v>
      </c>
    </row>
    <row r="432" spans="1:8" x14ac:dyDescent="0.3">
      <c r="A432" s="128" t="s">
        <v>186</v>
      </c>
      <c r="B432" s="129" t="s">
        <v>260</v>
      </c>
      <c r="C432" s="129" t="s">
        <v>189</v>
      </c>
      <c r="D432" s="129" t="str">
        <f t="shared" si="33"/>
        <v>Комплекс коммерческий VIP ПредприятиеЭКСПЕРТОПТИМАЛЬНЫЙ8</v>
      </c>
      <c r="E432" s="145">
        <v>0.05</v>
      </c>
      <c r="F432" s="144">
        <v>8</v>
      </c>
      <c r="G432" s="144" t="s">
        <v>231</v>
      </c>
      <c r="H432" s="239" t="str">
        <f t="shared" si="31"/>
        <v>Акция_Пр.88 (15мая-31июля25)</v>
      </c>
    </row>
    <row r="433" spans="1:8" x14ac:dyDescent="0.3">
      <c r="A433" s="128" t="s">
        <v>186</v>
      </c>
      <c r="B433" s="129" t="s">
        <v>259</v>
      </c>
      <c r="C433" s="129" t="s">
        <v>190</v>
      </c>
      <c r="D433" s="129" t="str">
        <f t="shared" si="33"/>
        <v>Комплекс коммерческий Предприятие ПРОФЭКСПЕРТМИНИМАЛЬНЫЙ8</v>
      </c>
      <c r="E433" s="145">
        <v>0.05</v>
      </c>
      <c r="F433" s="144">
        <v>8</v>
      </c>
      <c r="G433" s="144" t="s">
        <v>231</v>
      </c>
      <c r="H433" s="239" t="str">
        <f t="shared" si="31"/>
        <v>Акция_Пр.88 (15мая-31июля25)</v>
      </c>
    </row>
    <row r="434" spans="1:8" x14ac:dyDescent="0.3">
      <c r="A434" s="128" t="s">
        <v>186</v>
      </c>
      <c r="B434" s="129" t="s">
        <v>258</v>
      </c>
      <c r="C434" s="129" t="s">
        <v>190</v>
      </c>
      <c r="D434" s="129" t="str">
        <f t="shared" si="33"/>
        <v>Комплекс коммерческий ПредприятиеЭКСПЕРТМИНИМАЛЬНЫЙ8</v>
      </c>
      <c r="E434" s="145">
        <v>0.05</v>
      </c>
      <c r="F434" s="144">
        <v>8</v>
      </c>
      <c r="G434" s="144" t="s">
        <v>231</v>
      </c>
      <c r="H434" s="239" t="str">
        <f t="shared" si="31"/>
        <v>Акция_Пр.88 (15мая-31июля25)</v>
      </c>
    </row>
    <row r="435" spans="1:8" x14ac:dyDescent="0.3">
      <c r="A435" s="128" t="s">
        <v>186</v>
      </c>
      <c r="B435" s="129" t="s">
        <v>257</v>
      </c>
      <c r="C435" s="129" t="s">
        <v>192</v>
      </c>
      <c r="D435" s="129" t="str">
        <f t="shared" si="33"/>
        <v>Комплекс коммерческий Главный Бухгалтер ПРОФЭКСПЕРТБАЗОВЫЙ8</v>
      </c>
      <c r="E435" s="145">
        <v>0.05</v>
      </c>
      <c r="F435" s="144">
        <v>8</v>
      </c>
      <c r="G435" s="144" t="s">
        <v>231</v>
      </c>
      <c r="H435" s="239" t="str">
        <f t="shared" si="31"/>
        <v>Акция_Пр.88 (15мая-31июля25)</v>
      </c>
    </row>
    <row r="436" spans="1:8" x14ac:dyDescent="0.3">
      <c r="A436" s="128" t="s">
        <v>186</v>
      </c>
      <c r="B436" s="129" t="s">
        <v>260</v>
      </c>
      <c r="C436" s="129" t="s">
        <v>190</v>
      </c>
      <c r="D436" s="129" t="str">
        <f t="shared" si="33"/>
        <v>Комплекс коммерческий VIP ПредприятиеЭКСПЕРТМИНИМАЛЬНЫЙ8</v>
      </c>
      <c r="E436" s="145">
        <v>0.05</v>
      </c>
      <c r="F436" s="144">
        <v>8</v>
      </c>
      <c r="G436" s="144" t="s">
        <v>231</v>
      </c>
      <c r="H436" s="239" t="str">
        <f t="shared" si="31"/>
        <v>Акция_Пр.88 (15мая-31июля25)</v>
      </c>
    </row>
    <row r="437" spans="1:8" x14ac:dyDescent="0.3">
      <c r="A437" s="128" t="s">
        <v>186</v>
      </c>
      <c r="B437" s="129" t="s">
        <v>259</v>
      </c>
      <c r="C437" s="129" t="s">
        <v>191</v>
      </c>
      <c r="D437" s="129" t="str">
        <f t="shared" si="33"/>
        <v>Комплекс коммерческий Предприятие ПРОФОПТИМАЛЬНЫЙМИНИМАЛЬНЫЙ</v>
      </c>
      <c r="E437" s="130"/>
      <c r="F437" s="129"/>
      <c r="G437" s="129"/>
      <c r="H437" s="138"/>
    </row>
    <row r="438" spans="1:8" x14ac:dyDescent="0.3">
      <c r="A438" s="128" t="s">
        <v>186</v>
      </c>
      <c r="B438" s="129" t="s">
        <v>258</v>
      </c>
      <c r="C438" s="129" t="s">
        <v>191</v>
      </c>
      <c r="D438" s="129" t="str">
        <f t="shared" si="33"/>
        <v>Комплекс коммерческий ПредприятиеОПТИМАЛЬНЫЙМИНИМАЛЬНЫЙ</v>
      </c>
      <c r="E438" s="130"/>
      <c r="F438" s="129"/>
      <c r="G438" s="129"/>
      <c r="H438" s="138"/>
    </row>
    <row r="439" spans="1:8" x14ac:dyDescent="0.3">
      <c r="A439" s="128" t="s">
        <v>186</v>
      </c>
      <c r="B439" s="129" t="s">
        <v>257</v>
      </c>
      <c r="C439" s="129" t="s">
        <v>234</v>
      </c>
      <c r="D439" s="129" t="str">
        <f t="shared" si="33"/>
        <v>Комплекс коммерческий Главный Бухгалтер ПРОФОПТИМАЛЬНЫЙБАЗОВЫЙ</v>
      </c>
      <c r="E439" s="130"/>
      <c r="F439" s="129"/>
      <c r="G439" s="129"/>
      <c r="H439" s="138"/>
    </row>
    <row r="440" spans="1:8" x14ac:dyDescent="0.3">
      <c r="A440" s="128" t="s">
        <v>186</v>
      </c>
      <c r="B440" s="129" t="s">
        <v>260</v>
      </c>
      <c r="C440" s="129" t="s">
        <v>191</v>
      </c>
      <c r="D440" s="129" t="str">
        <f t="shared" si="33"/>
        <v>Комплекс коммерческий VIP ПредприятиеОПТИМАЛЬНЫЙМИНИМАЛЬНЫЙ</v>
      </c>
      <c r="E440" s="130"/>
      <c r="F440" s="129"/>
      <c r="G440" s="129"/>
      <c r="H440" s="138"/>
    </row>
    <row r="441" spans="1:8" x14ac:dyDescent="0.3">
      <c r="A441" s="128" t="s">
        <v>186</v>
      </c>
      <c r="B441" s="129" t="s">
        <v>259</v>
      </c>
      <c r="C441" s="129" t="s">
        <v>194</v>
      </c>
      <c r="D441" s="129" t="str">
        <f t="shared" si="33"/>
        <v>Комплекс коммерческий Предприятие ПРОФЭКСПЕРТОПТИМАЛЬНЫЙМИНИМАЛЬНЫЙ8</v>
      </c>
      <c r="E441" s="151">
        <v>0.05</v>
      </c>
      <c r="F441" s="152">
        <v>8</v>
      </c>
      <c r="G441" s="152" t="s">
        <v>231</v>
      </c>
      <c r="H441" s="239" t="str">
        <f t="shared" ref="H441:H467" si="34">$B$42</f>
        <v>Акция_Пр.88 (15мая-31июля25)</v>
      </c>
    </row>
    <row r="442" spans="1:8" x14ac:dyDescent="0.3">
      <c r="A442" s="128" t="s">
        <v>186</v>
      </c>
      <c r="B442" s="129" t="s">
        <v>258</v>
      </c>
      <c r="C442" s="129" t="s">
        <v>194</v>
      </c>
      <c r="D442" s="129" t="str">
        <f t="shared" si="33"/>
        <v>Комплекс коммерческий ПредприятиеЭКСПЕРТОПТИМАЛЬНЫЙМИНИМАЛЬНЫЙ8</v>
      </c>
      <c r="E442" s="151">
        <v>0.05</v>
      </c>
      <c r="F442" s="152">
        <v>8</v>
      </c>
      <c r="G442" s="152" t="s">
        <v>231</v>
      </c>
      <c r="H442" s="239" t="str">
        <f t="shared" si="34"/>
        <v>Акция_Пр.88 (15мая-31июля25)</v>
      </c>
    </row>
    <row r="443" spans="1:8" x14ac:dyDescent="0.3">
      <c r="A443" s="128" t="s">
        <v>186</v>
      </c>
      <c r="B443" s="129" t="s">
        <v>257</v>
      </c>
      <c r="C443" s="129" t="s">
        <v>195</v>
      </c>
      <c r="D443" s="129" t="str">
        <f t="shared" si="33"/>
        <v>Комплекс коммерческий Главный Бухгалтер ПРОФЭКСПЕРТОПТИМАЛЬНЫЙБАЗОВЫЙ8</v>
      </c>
      <c r="E443" s="151">
        <v>0.05</v>
      </c>
      <c r="F443" s="152">
        <v>8</v>
      </c>
      <c r="G443" s="152" t="s">
        <v>231</v>
      </c>
      <c r="H443" s="239" t="str">
        <f t="shared" si="34"/>
        <v>Акция_Пр.88 (15мая-31июля25)</v>
      </c>
    </row>
    <row r="444" spans="1:8" x14ac:dyDescent="0.3">
      <c r="A444" s="128" t="s">
        <v>186</v>
      </c>
      <c r="B444" s="129" t="s">
        <v>260</v>
      </c>
      <c r="C444" s="129" t="s">
        <v>194</v>
      </c>
      <c r="D444" s="129" t="str">
        <f t="shared" si="33"/>
        <v>Комплекс коммерческий VIP ПредприятиеЭКСПЕРТОПТИМАЛЬНЫЙМИНИМАЛЬНЫЙ8</v>
      </c>
      <c r="E444" s="151">
        <v>0.05</v>
      </c>
      <c r="F444" s="152">
        <v>8</v>
      </c>
      <c r="G444" s="152" t="s">
        <v>231</v>
      </c>
      <c r="H444" s="239" t="str">
        <f t="shared" si="34"/>
        <v>Акция_Пр.88 (15мая-31июля25)</v>
      </c>
    </row>
    <row r="445" spans="1:8" x14ac:dyDescent="0.3">
      <c r="A445" s="128" t="s">
        <v>187</v>
      </c>
      <c r="B445" s="129" t="s">
        <v>262</v>
      </c>
      <c r="C445" s="129" t="s">
        <v>20</v>
      </c>
      <c r="D445" s="129" t="str">
        <f t="shared" ref="D445:D451" si="35">_xlfn.CONCAT(B445,C445,F445)</f>
        <v>Комплекс коммерческий Предприятие (1 пользователь)ЭКСПЕРТ9</v>
      </c>
      <c r="E445" s="325">
        <v>0.05</v>
      </c>
      <c r="F445" s="144">
        <v>9</v>
      </c>
      <c r="G445" s="144" t="s">
        <v>231</v>
      </c>
      <c r="H445" s="239" t="str">
        <f t="shared" si="34"/>
        <v>Акция_Пр.88 (15мая-31июля25)</v>
      </c>
    </row>
    <row r="446" spans="1:8" x14ac:dyDescent="0.3">
      <c r="A446" s="128" t="s">
        <v>187</v>
      </c>
      <c r="B446" s="129" t="s">
        <v>263</v>
      </c>
      <c r="C446" s="129" t="s">
        <v>20</v>
      </c>
      <c r="D446" s="129" t="str">
        <f t="shared" si="35"/>
        <v>Комплекс коммерческий Предприятие ПРОФ (1 пользователь)ЭКСПЕРТ9</v>
      </c>
      <c r="E446" s="145">
        <v>0.05</v>
      </c>
      <c r="F446" s="144">
        <v>9</v>
      </c>
      <c r="G446" s="144" t="s">
        <v>231</v>
      </c>
      <c r="H446" s="239" t="str">
        <f t="shared" si="34"/>
        <v>Акция_Пр.88 (15мая-31июля25)</v>
      </c>
    </row>
    <row r="447" spans="1:8" x14ac:dyDescent="0.3">
      <c r="A447" s="128" t="s">
        <v>187</v>
      </c>
      <c r="B447" s="129" t="s">
        <v>261</v>
      </c>
      <c r="C447" s="129" t="s">
        <v>20</v>
      </c>
      <c r="D447" s="129" t="str">
        <f t="shared" si="35"/>
        <v>Комплекс коммерческий Главный Бухгалтер ПРОФ (1 пользователь)ЭКСПЕРТ9</v>
      </c>
      <c r="E447" s="145">
        <v>0.05</v>
      </c>
      <c r="F447" s="144">
        <v>9</v>
      </c>
      <c r="G447" s="144" t="s">
        <v>231</v>
      </c>
      <c r="H447" s="239" t="str">
        <f t="shared" si="34"/>
        <v>Акция_Пр.88 (15мая-31июля25)</v>
      </c>
    </row>
    <row r="448" spans="1:8" x14ac:dyDescent="0.3">
      <c r="A448" s="128" t="s">
        <v>187</v>
      </c>
      <c r="B448" s="129" t="s">
        <v>264</v>
      </c>
      <c r="C448" s="129" t="s">
        <v>20</v>
      </c>
      <c r="D448" s="129" t="str">
        <f t="shared" si="35"/>
        <v>Комплекс коммерческий VIP Предприятие (1 пользователь)ЭКСПЕРТ9</v>
      </c>
      <c r="E448" s="145">
        <v>0.05</v>
      </c>
      <c r="F448" s="144">
        <v>9</v>
      </c>
      <c r="G448" s="144" t="s">
        <v>231</v>
      </c>
      <c r="H448" s="239" t="str">
        <f t="shared" si="34"/>
        <v>Акция_Пр.88 (15мая-31июля25)</v>
      </c>
    </row>
    <row r="449" spans="1:8" x14ac:dyDescent="0.3">
      <c r="A449" s="128" t="s">
        <v>187</v>
      </c>
      <c r="B449" s="129" t="s">
        <v>262</v>
      </c>
      <c r="C449" s="129" t="s">
        <v>21</v>
      </c>
      <c r="D449" s="129" t="str">
        <f t="shared" si="35"/>
        <v>Комплекс коммерческий Предприятие (1 пользователь)ОПТИМАЛЬНЫЙ9</v>
      </c>
      <c r="E449" s="325">
        <v>0.05</v>
      </c>
      <c r="F449" s="144">
        <v>9</v>
      </c>
      <c r="G449" s="144" t="s">
        <v>231</v>
      </c>
      <c r="H449" s="239" t="str">
        <f t="shared" si="34"/>
        <v>Акция_Пр.88 (15мая-31июля25)</v>
      </c>
    </row>
    <row r="450" spans="1:8" x14ac:dyDescent="0.3">
      <c r="A450" s="128" t="s">
        <v>187</v>
      </c>
      <c r="B450" s="129" t="s">
        <v>263</v>
      </c>
      <c r="C450" s="129" t="s">
        <v>21</v>
      </c>
      <c r="D450" s="129" t="str">
        <f t="shared" si="35"/>
        <v>Комплекс коммерческий Предприятие ПРОФ (1 пользователь)ОПТИМАЛЬНЫЙ9</v>
      </c>
      <c r="E450" s="145">
        <v>0.05</v>
      </c>
      <c r="F450" s="144">
        <v>9</v>
      </c>
      <c r="G450" s="144" t="s">
        <v>231</v>
      </c>
      <c r="H450" s="239" t="str">
        <f t="shared" si="34"/>
        <v>Акция_Пр.88 (15мая-31июля25)</v>
      </c>
    </row>
    <row r="451" spans="1:8" x14ac:dyDescent="0.3">
      <c r="A451" s="128" t="s">
        <v>187</v>
      </c>
      <c r="B451" s="129" t="s">
        <v>264</v>
      </c>
      <c r="C451" s="129" t="s">
        <v>21</v>
      </c>
      <c r="D451" s="129" t="str">
        <f t="shared" si="35"/>
        <v>Комплекс коммерческий VIP Предприятие (1 пользователь)ОПТИМАЛЬНЫЙ9</v>
      </c>
      <c r="E451" s="145">
        <v>0.05</v>
      </c>
      <c r="F451" s="144">
        <v>9</v>
      </c>
      <c r="G451" s="144" t="s">
        <v>231</v>
      </c>
      <c r="H451" s="239" t="str">
        <f t="shared" si="34"/>
        <v>Акция_Пр.88 (15мая-31июля25)</v>
      </c>
    </row>
    <row r="452" spans="1:8" x14ac:dyDescent="0.3">
      <c r="A452" s="128" t="s">
        <v>186</v>
      </c>
      <c r="B452" s="129" t="s">
        <v>259</v>
      </c>
      <c r="C452" s="129" t="s">
        <v>20</v>
      </c>
      <c r="D452" s="129" t="str">
        <f t="shared" ref="D452:D475" si="36">CONCATENATE(B452,C452,F452)</f>
        <v>Комплекс коммерческий Предприятие ПРОФЭКСПЕРТ9</v>
      </c>
      <c r="E452" s="145">
        <v>0.05</v>
      </c>
      <c r="F452" s="144">
        <v>9</v>
      </c>
      <c r="G452" s="144" t="s">
        <v>231</v>
      </c>
      <c r="H452" s="239" t="str">
        <f t="shared" si="34"/>
        <v>Акция_Пр.88 (15мая-31июля25)</v>
      </c>
    </row>
    <row r="453" spans="1:8" x14ac:dyDescent="0.3">
      <c r="A453" s="128" t="s">
        <v>186</v>
      </c>
      <c r="B453" s="129" t="s">
        <v>258</v>
      </c>
      <c r="C453" s="129" t="s">
        <v>20</v>
      </c>
      <c r="D453" s="129" t="str">
        <f t="shared" si="36"/>
        <v>Комплекс коммерческий ПредприятиеЭКСПЕРТ9</v>
      </c>
      <c r="E453" s="145">
        <v>0.05</v>
      </c>
      <c r="F453" s="144">
        <v>9</v>
      </c>
      <c r="G453" s="144" t="s">
        <v>231</v>
      </c>
      <c r="H453" s="239" t="str">
        <f t="shared" si="34"/>
        <v>Акция_Пр.88 (15мая-31июля25)</v>
      </c>
    </row>
    <row r="454" spans="1:8" x14ac:dyDescent="0.3">
      <c r="A454" s="128" t="s">
        <v>186</v>
      </c>
      <c r="B454" s="129" t="s">
        <v>257</v>
      </c>
      <c r="C454" s="129" t="s">
        <v>20</v>
      </c>
      <c r="D454" s="129" t="str">
        <f t="shared" si="36"/>
        <v>Комплекс коммерческий Главный Бухгалтер ПРОФЭКСПЕРТ9</v>
      </c>
      <c r="E454" s="145">
        <v>0.05</v>
      </c>
      <c r="F454" s="144">
        <v>9</v>
      </c>
      <c r="G454" s="144" t="s">
        <v>231</v>
      </c>
      <c r="H454" s="239" t="str">
        <f t="shared" si="34"/>
        <v>Акция_Пр.88 (15мая-31июля25)</v>
      </c>
    </row>
    <row r="455" spans="1:8" x14ac:dyDescent="0.3">
      <c r="A455" s="128" t="s">
        <v>186</v>
      </c>
      <c r="B455" s="129" t="s">
        <v>260</v>
      </c>
      <c r="C455" s="129" t="s">
        <v>20</v>
      </c>
      <c r="D455" s="129" t="str">
        <f t="shared" si="36"/>
        <v>Комплекс коммерческий VIP ПредприятиеЭКСПЕРТ9</v>
      </c>
      <c r="E455" s="145">
        <v>0.05</v>
      </c>
      <c r="F455" s="144">
        <v>9</v>
      </c>
      <c r="G455" s="144" t="s">
        <v>231</v>
      </c>
      <c r="H455" s="239" t="str">
        <f t="shared" si="34"/>
        <v>Акция_Пр.88 (15мая-31июля25)</v>
      </c>
    </row>
    <row r="456" spans="1:8" x14ac:dyDescent="0.3">
      <c r="A456" s="128" t="s">
        <v>186</v>
      </c>
      <c r="B456" s="129" t="s">
        <v>259</v>
      </c>
      <c r="C456" s="129" t="s">
        <v>21</v>
      </c>
      <c r="D456" s="129" t="str">
        <f t="shared" si="36"/>
        <v>Комплекс коммерческий Предприятие ПРОФОПТИМАЛЬНЫЙ9</v>
      </c>
      <c r="E456" s="145">
        <v>0.05</v>
      </c>
      <c r="F456" s="144">
        <v>9</v>
      </c>
      <c r="G456" s="144" t="s">
        <v>231</v>
      </c>
      <c r="H456" s="239" t="str">
        <f t="shared" si="34"/>
        <v>Акция_Пр.88 (15мая-31июля25)</v>
      </c>
    </row>
    <row r="457" spans="1:8" x14ac:dyDescent="0.3">
      <c r="A457" s="128" t="s">
        <v>186</v>
      </c>
      <c r="B457" s="129" t="s">
        <v>258</v>
      </c>
      <c r="C457" s="129" t="s">
        <v>21</v>
      </c>
      <c r="D457" s="129" t="str">
        <f t="shared" si="36"/>
        <v>Комплекс коммерческий ПредприятиеОПТИМАЛЬНЫЙ9</v>
      </c>
      <c r="E457" s="145">
        <v>0.05</v>
      </c>
      <c r="F457" s="144">
        <v>9</v>
      </c>
      <c r="G457" s="144" t="s">
        <v>231</v>
      </c>
      <c r="H457" s="239" t="str">
        <f t="shared" si="34"/>
        <v>Акция_Пр.88 (15мая-31июля25)</v>
      </c>
    </row>
    <row r="458" spans="1:8" x14ac:dyDescent="0.3">
      <c r="A458" s="128" t="s">
        <v>186</v>
      </c>
      <c r="B458" s="129" t="s">
        <v>257</v>
      </c>
      <c r="C458" s="129" t="s">
        <v>21</v>
      </c>
      <c r="D458" s="129" t="str">
        <f t="shared" si="36"/>
        <v>Комплекс коммерческий Главный Бухгалтер ПРОФОПТИМАЛЬНЫЙ9</v>
      </c>
      <c r="E458" s="145">
        <v>0.05</v>
      </c>
      <c r="F458" s="144">
        <v>9</v>
      </c>
      <c r="G458" s="144" t="s">
        <v>231</v>
      </c>
      <c r="H458" s="239" t="str">
        <f t="shared" si="34"/>
        <v>Акция_Пр.88 (15мая-31июля25)</v>
      </c>
    </row>
    <row r="459" spans="1:8" x14ac:dyDescent="0.3">
      <c r="A459" s="128" t="s">
        <v>186</v>
      </c>
      <c r="B459" s="129" t="s">
        <v>260</v>
      </c>
      <c r="C459" s="129" t="s">
        <v>21</v>
      </c>
      <c r="D459" s="129" t="str">
        <f t="shared" si="36"/>
        <v>Комплекс коммерческий VIP ПредприятиеОПТИМАЛЬНЫЙ9</v>
      </c>
      <c r="E459" s="145">
        <v>0.05</v>
      </c>
      <c r="F459" s="144">
        <v>9</v>
      </c>
      <c r="G459" s="144" t="s">
        <v>231</v>
      </c>
      <c r="H459" s="239" t="str">
        <f t="shared" si="34"/>
        <v>Акция_Пр.88 (15мая-31июля25)</v>
      </c>
    </row>
    <row r="460" spans="1:8" x14ac:dyDescent="0.3">
      <c r="A460" s="128" t="s">
        <v>186</v>
      </c>
      <c r="B460" s="129" t="s">
        <v>259</v>
      </c>
      <c r="C460" s="129" t="s">
        <v>189</v>
      </c>
      <c r="D460" s="129" t="str">
        <f t="shared" si="36"/>
        <v>Комплекс коммерческий Предприятие ПРОФЭКСПЕРТОПТИМАЛЬНЫЙ9</v>
      </c>
      <c r="E460" s="145">
        <v>0.05</v>
      </c>
      <c r="F460" s="144">
        <v>9</v>
      </c>
      <c r="G460" s="144" t="s">
        <v>231</v>
      </c>
      <c r="H460" s="239" t="str">
        <f t="shared" si="34"/>
        <v>Акция_Пр.88 (15мая-31июля25)</v>
      </c>
    </row>
    <row r="461" spans="1:8" x14ac:dyDescent="0.3">
      <c r="A461" s="128" t="s">
        <v>186</v>
      </c>
      <c r="B461" s="129" t="s">
        <v>258</v>
      </c>
      <c r="C461" s="129" t="s">
        <v>189</v>
      </c>
      <c r="D461" s="129" t="str">
        <f t="shared" si="36"/>
        <v>Комплекс коммерческий ПредприятиеЭКСПЕРТОПТИМАЛЬНЫЙ9</v>
      </c>
      <c r="E461" s="145">
        <v>0.05</v>
      </c>
      <c r="F461" s="144">
        <v>9</v>
      </c>
      <c r="G461" s="144" t="s">
        <v>231</v>
      </c>
      <c r="H461" s="239" t="str">
        <f t="shared" si="34"/>
        <v>Акция_Пр.88 (15мая-31июля25)</v>
      </c>
    </row>
    <row r="462" spans="1:8" x14ac:dyDescent="0.3">
      <c r="A462" s="128" t="s">
        <v>186</v>
      </c>
      <c r="B462" s="129" t="s">
        <v>257</v>
      </c>
      <c r="C462" s="129" t="s">
        <v>189</v>
      </c>
      <c r="D462" s="129" t="str">
        <f t="shared" si="36"/>
        <v>Комплекс коммерческий Главный Бухгалтер ПРОФЭКСПЕРТОПТИМАЛЬНЫЙ9</v>
      </c>
      <c r="E462" s="145">
        <v>0.05</v>
      </c>
      <c r="F462" s="144">
        <v>9</v>
      </c>
      <c r="G462" s="144" t="s">
        <v>231</v>
      </c>
      <c r="H462" s="239" t="str">
        <f t="shared" si="34"/>
        <v>Акция_Пр.88 (15мая-31июля25)</v>
      </c>
    </row>
    <row r="463" spans="1:8" x14ac:dyDescent="0.3">
      <c r="A463" s="128" t="s">
        <v>186</v>
      </c>
      <c r="B463" s="129" t="s">
        <v>260</v>
      </c>
      <c r="C463" s="129" t="s">
        <v>189</v>
      </c>
      <c r="D463" s="129" t="str">
        <f t="shared" si="36"/>
        <v>Комплекс коммерческий VIP ПредприятиеЭКСПЕРТОПТИМАЛЬНЫЙ9</v>
      </c>
      <c r="E463" s="145">
        <v>0.05</v>
      </c>
      <c r="F463" s="144">
        <v>9</v>
      </c>
      <c r="G463" s="144" t="s">
        <v>231</v>
      </c>
      <c r="H463" s="239" t="str">
        <f t="shared" si="34"/>
        <v>Акция_Пр.88 (15мая-31июля25)</v>
      </c>
    </row>
    <row r="464" spans="1:8" x14ac:dyDescent="0.3">
      <c r="A464" s="128" t="s">
        <v>186</v>
      </c>
      <c r="B464" s="129" t="s">
        <v>259</v>
      </c>
      <c r="C464" s="129" t="s">
        <v>190</v>
      </c>
      <c r="D464" s="129" t="str">
        <f t="shared" si="36"/>
        <v>Комплекс коммерческий Предприятие ПРОФЭКСПЕРТМИНИМАЛЬНЫЙ9</v>
      </c>
      <c r="E464" s="145">
        <v>0.05</v>
      </c>
      <c r="F464" s="144">
        <v>9</v>
      </c>
      <c r="G464" s="144" t="s">
        <v>231</v>
      </c>
      <c r="H464" s="239" t="str">
        <f t="shared" si="34"/>
        <v>Акция_Пр.88 (15мая-31июля25)</v>
      </c>
    </row>
    <row r="465" spans="1:8" x14ac:dyDescent="0.3">
      <c r="A465" s="128" t="s">
        <v>186</v>
      </c>
      <c r="B465" s="129" t="s">
        <v>258</v>
      </c>
      <c r="C465" s="129" t="s">
        <v>190</v>
      </c>
      <c r="D465" s="129" t="str">
        <f t="shared" si="36"/>
        <v>Комплекс коммерческий ПредприятиеЭКСПЕРТМИНИМАЛЬНЫЙ9</v>
      </c>
      <c r="E465" s="145">
        <v>0.05</v>
      </c>
      <c r="F465" s="144">
        <v>9</v>
      </c>
      <c r="G465" s="144" t="s">
        <v>231</v>
      </c>
      <c r="H465" s="239" t="str">
        <f t="shared" si="34"/>
        <v>Акция_Пр.88 (15мая-31июля25)</v>
      </c>
    </row>
    <row r="466" spans="1:8" x14ac:dyDescent="0.3">
      <c r="A466" s="128" t="s">
        <v>186</v>
      </c>
      <c r="B466" s="129" t="s">
        <v>257</v>
      </c>
      <c r="C466" s="129" t="s">
        <v>192</v>
      </c>
      <c r="D466" s="129" t="str">
        <f t="shared" si="36"/>
        <v>Комплекс коммерческий Главный Бухгалтер ПРОФЭКСПЕРТБАЗОВЫЙ9</v>
      </c>
      <c r="E466" s="145">
        <v>0.05</v>
      </c>
      <c r="F466" s="144">
        <v>9</v>
      </c>
      <c r="G466" s="144" t="s">
        <v>231</v>
      </c>
      <c r="H466" s="239" t="str">
        <f t="shared" si="34"/>
        <v>Акция_Пр.88 (15мая-31июля25)</v>
      </c>
    </row>
    <row r="467" spans="1:8" x14ac:dyDescent="0.3">
      <c r="A467" s="128" t="s">
        <v>186</v>
      </c>
      <c r="B467" s="129" t="s">
        <v>260</v>
      </c>
      <c r="C467" s="129" t="s">
        <v>190</v>
      </c>
      <c r="D467" s="129" t="str">
        <f t="shared" si="36"/>
        <v>Комплекс коммерческий VIP ПредприятиеЭКСПЕРТМИНИМАЛЬНЫЙ9</v>
      </c>
      <c r="E467" s="145">
        <v>0.05</v>
      </c>
      <c r="F467" s="144">
        <v>9</v>
      </c>
      <c r="G467" s="144" t="s">
        <v>231</v>
      </c>
      <c r="H467" s="239" t="str">
        <f t="shared" si="34"/>
        <v>Акция_Пр.88 (15мая-31июля25)</v>
      </c>
    </row>
    <row r="468" spans="1:8" x14ac:dyDescent="0.3">
      <c r="A468" s="128" t="s">
        <v>186</v>
      </c>
      <c r="B468" s="129" t="s">
        <v>259</v>
      </c>
      <c r="C468" s="129" t="s">
        <v>191</v>
      </c>
      <c r="D468" s="129" t="str">
        <f t="shared" si="36"/>
        <v>Комплекс коммерческий Предприятие ПРОФОПТИМАЛЬНЫЙМИНИМАЛЬНЫЙ</v>
      </c>
      <c r="E468" s="130"/>
      <c r="F468" s="129"/>
      <c r="G468" s="129"/>
      <c r="H468" s="138"/>
    </row>
    <row r="469" spans="1:8" x14ac:dyDescent="0.3">
      <c r="A469" s="128" t="s">
        <v>186</v>
      </c>
      <c r="B469" s="129" t="s">
        <v>258</v>
      </c>
      <c r="C469" s="129" t="s">
        <v>191</v>
      </c>
      <c r="D469" s="129" t="str">
        <f t="shared" si="36"/>
        <v>Комплекс коммерческий ПредприятиеОПТИМАЛЬНЫЙМИНИМАЛЬНЫЙ</v>
      </c>
      <c r="E469" s="130"/>
      <c r="F469" s="129"/>
      <c r="G469" s="129"/>
      <c r="H469" s="138"/>
    </row>
    <row r="470" spans="1:8" x14ac:dyDescent="0.3">
      <c r="A470" s="128" t="s">
        <v>186</v>
      </c>
      <c r="B470" s="129" t="s">
        <v>257</v>
      </c>
      <c r="C470" s="129" t="s">
        <v>234</v>
      </c>
      <c r="D470" s="129" t="str">
        <f t="shared" si="36"/>
        <v>Комплекс коммерческий Главный Бухгалтер ПРОФОПТИМАЛЬНЫЙБАЗОВЫЙ</v>
      </c>
      <c r="E470" s="130"/>
      <c r="F470" s="129"/>
      <c r="G470" s="129"/>
      <c r="H470" s="138"/>
    </row>
    <row r="471" spans="1:8" x14ac:dyDescent="0.3">
      <c r="A471" s="128" t="s">
        <v>186</v>
      </c>
      <c r="B471" s="129" t="s">
        <v>260</v>
      </c>
      <c r="C471" s="129" t="s">
        <v>191</v>
      </c>
      <c r="D471" s="129" t="str">
        <f t="shared" si="36"/>
        <v>Комплекс коммерческий VIP ПредприятиеОПТИМАЛЬНЫЙМИНИМАЛЬНЫЙ</v>
      </c>
      <c r="E471" s="130"/>
      <c r="F471" s="129"/>
      <c r="G471" s="129"/>
      <c r="H471" s="138"/>
    </row>
    <row r="472" spans="1:8" x14ac:dyDescent="0.3">
      <c r="A472" s="128" t="s">
        <v>186</v>
      </c>
      <c r="B472" s="129" t="s">
        <v>259</v>
      </c>
      <c r="C472" s="129" t="s">
        <v>194</v>
      </c>
      <c r="D472" s="129" t="str">
        <f t="shared" si="36"/>
        <v>Комплекс коммерческий Предприятие ПРОФЭКСПЕРТОПТИМАЛЬНЫЙМИНИМАЛЬНЫЙ9</v>
      </c>
      <c r="E472" s="151">
        <v>0.05</v>
      </c>
      <c r="F472" s="152">
        <v>9</v>
      </c>
      <c r="G472" s="152" t="s">
        <v>231</v>
      </c>
      <c r="H472" s="239" t="str">
        <f t="shared" ref="H472:H498" si="37">$B$42</f>
        <v>Акция_Пр.88 (15мая-31июля25)</v>
      </c>
    </row>
    <row r="473" spans="1:8" x14ac:dyDescent="0.3">
      <c r="A473" s="128" t="s">
        <v>186</v>
      </c>
      <c r="B473" s="129" t="s">
        <v>258</v>
      </c>
      <c r="C473" s="129" t="s">
        <v>194</v>
      </c>
      <c r="D473" s="129" t="str">
        <f t="shared" si="36"/>
        <v>Комплекс коммерческий ПредприятиеЭКСПЕРТОПТИМАЛЬНЫЙМИНИМАЛЬНЫЙ9</v>
      </c>
      <c r="E473" s="151">
        <v>0.05</v>
      </c>
      <c r="F473" s="152">
        <v>9</v>
      </c>
      <c r="G473" s="152" t="s">
        <v>231</v>
      </c>
      <c r="H473" s="239" t="str">
        <f t="shared" si="37"/>
        <v>Акция_Пр.88 (15мая-31июля25)</v>
      </c>
    </row>
    <row r="474" spans="1:8" x14ac:dyDescent="0.3">
      <c r="A474" s="128" t="s">
        <v>186</v>
      </c>
      <c r="B474" s="129" t="s">
        <v>257</v>
      </c>
      <c r="C474" s="129" t="s">
        <v>195</v>
      </c>
      <c r="D474" s="129" t="str">
        <f t="shared" si="36"/>
        <v>Комплекс коммерческий Главный Бухгалтер ПРОФЭКСПЕРТОПТИМАЛЬНЫЙБАЗОВЫЙ9</v>
      </c>
      <c r="E474" s="151">
        <v>0.05</v>
      </c>
      <c r="F474" s="152">
        <v>9</v>
      </c>
      <c r="G474" s="152" t="s">
        <v>231</v>
      </c>
      <c r="H474" s="239" t="str">
        <f t="shared" si="37"/>
        <v>Акция_Пр.88 (15мая-31июля25)</v>
      </c>
    </row>
    <row r="475" spans="1:8" x14ac:dyDescent="0.3">
      <c r="A475" s="128" t="s">
        <v>186</v>
      </c>
      <c r="B475" s="129" t="s">
        <v>260</v>
      </c>
      <c r="C475" s="129" t="s">
        <v>194</v>
      </c>
      <c r="D475" s="129" t="str">
        <f t="shared" si="36"/>
        <v>Комплекс коммерческий VIP ПредприятиеЭКСПЕРТОПТИМАЛЬНЫЙМИНИМАЛЬНЫЙ9</v>
      </c>
      <c r="E475" s="151">
        <v>0.05</v>
      </c>
      <c r="F475" s="152">
        <v>9</v>
      </c>
      <c r="G475" s="152" t="s">
        <v>231</v>
      </c>
      <c r="H475" s="239" t="str">
        <f t="shared" si="37"/>
        <v>Акция_Пр.88 (15мая-31июля25)</v>
      </c>
    </row>
    <row r="476" spans="1:8" x14ac:dyDescent="0.3">
      <c r="A476" s="128" t="s">
        <v>187</v>
      </c>
      <c r="B476" s="129" t="s">
        <v>262</v>
      </c>
      <c r="C476" s="129" t="s">
        <v>20</v>
      </c>
      <c r="D476" s="129" t="str">
        <f t="shared" ref="D476:D482" si="38">_xlfn.CONCAT(B476,C476,F476)</f>
        <v>Комплекс коммерческий Предприятие (1 пользователь)ЭКСПЕРТ10</v>
      </c>
      <c r="E476" s="325">
        <v>0.05</v>
      </c>
      <c r="F476" s="144">
        <v>10</v>
      </c>
      <c r="G476" s="144" t="s">
        <v>231</v>
      </c>
      <c r="H476" s="239" t="str">
        <f t="shared" si="37"/>
        <v>Акция_Пр.88 (15мая-31июля25)</v>
      </c>
    </row>
    <row r="477" spans="1:8" x14ac:dyDescent="0.3">
      <c r="A477" s="128" t="s">
        <v>187</v>
      </c>
      <c r="B477" s="129" t="s">
        <v>263</v>
      </c>
      <c r="C477" s="129" t="s">
        <v>20</v>
      </c>
      <c r="D477" s="129" t="str">
        <f t="shared" si="38"/>
        <v>Комплекс коммерческий Предприятие ПРОФ (1 пользователь)ЭКСПЕРТ10</v>
      </c>
      <c r="E477" s="145">
        <v>0.05</v>
      </c>
      <c r="F477" s="144">
        <v>10</v>
      </c>
      <c r="G477" s="144" t="s">
        <v>231</v>
      </c>
      <c r="H477" s="239" t="str">
        <f t="shared" si="37"/>
        <v>Акция_Пр.88 (15мая-31июля25)</v>
      </c>
    </row>
    <row r="478" spans="1:8" x14ac:dyDescent="0.3">
      <c r="A478" s="128" t="s">
        <v>187</v>
      </c>
      <c r="B478" s="129" t="s">
        <v>261</v>
      </c>
      <c r="C478" s="129" t="s">
        <v>20</v>
      </c>
      <c r="D478" s="129" t="str">
        <f t="shared" si="38"/>
        <v>Комплекс коммерческий Главный Бухгалтер ПРОФ (1 пользователь)ЭКСПЕРТ10</v>
      </c>
      <c r="E478" s="145">
        <v>0.05</v>
      </c>
      <c r="F478" s="144">
        <v>10</v>
      </c>
      <c r="G478" s="144" t="s">
        <v>231</v>
      </c>
      <c r="H478" s="239" t="str">
        <f t="shared" si="37"/>
        <v>Акция_Пр.88 (15мая-31июля25)</v>
      </c>
    </row>
    <row r="479" spans="1:8" x14ac:dyDescent="0.3">
      <c r="A479" s="128" t="s">
        <v>187</v>
      </c>
      <c r="B479" s="129" t="s">
        <v>264</v>
      </c>
      <c r="C479" s="129" t="s">
        <v>20</v>
      </c>
      <c r="D479" s="129" t="str">
        <f t="shared" si="38"/>
        <v>Комплекс коммерческий VIP Предприятие (1 пользователь)ЭКСПЕРТ10</v>
      </c>
      <c r="E479" s="145">
        <v>0.05</v>
      </c>
      <c r="F479" s="144">
        <v>10</v>
      </c>
      <c r="G479" s="144" t="s">
        <v>231</v>
      </c>
      <c r="H479" s="239" t="str">
        <f t="shared" si="37"/>
        <v>Акция_Пр.88 (15мая-31июля25)</v>
      </c>
    </row>
    <row r="480" spans="1:8" x14ac:dyDescent="0.3">
      <c r="A480" s="128" t="s">
        <v>187</v>
      </c>
      <c r="B480" s="129" t="s">
        <v>262</v>
      </c>
      <c r="C480" s="129" t="s">
        <v>21</v>
      </c>
      <c r="D480" s="129" t="str">
        <f t="shared" si="38"/>
        <v>Комплекс коммерческий Предприятие (1 пользователь)ОПТИМАЛЬНЫЙ10</v>
      </c>
      <c r="E480" s="325">
        <v>0.05</v>
      </c>
      <c r="F480" s="144">
        <v>10</v>
      </c>
      <c r="G480" s="144" t="s">
        <v>231</v>
      </c>
      <c r="H480" s="239" t="str">
        <f t="shared" si="37"/>
        <v>Акция_Пр.88 (15мая-31июля25)</v>
      </c>
    </row>
    <row r="481" spans="1:8" x14ac:dyDescent="0.3">
      <c r="A481" s="128" t="s">
        <v>187</v>
      </c>
      <c r="B481" s="129" t="s">
        <v>263</v>
      </c>
      <c r="C481" s="129" t="s">
        <v>21</v>
      </c>
      <c r="D481" s="129" t="str">
        <f t="shared" si="38"/>
        <v>Комплекс коммерческий Предприятие ПРОФ (1 пользователь)ОПТИМАЛЬНЫЙ10</v>
      </c>
      <c r="E481" s="145">
        <v>0.05</v>
      </c>
      <c r="F481" s="144">
        <v>10</v>
      </c>
      <c r="G481" s="144" t="s">
        <v>231</v>
      </c>
      <c r="H481" s="239" t="str">
        <f t="shared" si="37"/>
        <v>Акция_Пр.88 (15мая-31июля25)</v>
      </c>
    </row>
    <row r="482" spans="1:8" x14ac:dyDescent="0.3">
      <c r="A482" s="128" t="s">
        <v>187</v>
      </c>
      <c r="B482" s="129" t="s">
        <v>264</v>
      </c>
      <c r="C482" s="129" t="s">
        <v>21</v>
      </c>
      <c r="D482" s="129" t="str">
        <f t="shared" si="38"/>
        <v>Комплекс коммерческий VIP Предприятие (1 пользователь)ОПТИМАЛЬНЫЙ10</v>
      </c>
      <c r="E482" s="145">
        <v>0.05</v>
      </c>
      <c r="F482" s="144">
        <v>10</v>
      </c>
      <c r="G482" s="144" t="s">
        <v>231</v>
      </c>
      <c r="H482" s="239" t="str">
        <f t="shared" si="37"/>
        <v>Акция_Пр.88 (15мая-31июля25)</v>
      </c>
    </row>
    <row r="483" spans="1:8" x14ac:dyDescent="0.3">
      <c r="A483" s="128" t="s">
        <v>186</v>
      </c>
      <c r="B483" s="129" t="s">
        <v>259</v>
      </c>
      <c r="C483" s="129" t="s">
        <v>20</v>
      </c>
      <c r="D483" s="129" t="str">
        <f t="shared" ref="D483:D506" si="39">CONCATENATE(B483,C483,F483)</f>
        <v>Комплекс коммерческий Предприятие ПРОФЭКСПЕРТ10</v>
      </c>
      <c r="E483" s="145">
        <v>0.05</v>
      </c>
      <c r="F483" s="144">
        <v>10</v>
      </c>
      <c r="G483" s="144" t="s">
        <v>231</v>
      </c>
      <c r="H483" s="239" t="str">
        <f t="shared" si="37"/>
        <v>Акция_Пр.88 (15мая-31июля25)</v>
      </c>
    </row>
    <row r="484" spans="1:8" x14ac:dyDescent="0.3">
      <c r="A484" s="128" t="s">
        <v>186</v>
      </c>
      <c r="B484" s="129" t="s">
        <v>258</v>
      </c>
      <c r="C484" s="129" t="s">
        <v>20</v>
      </c>
      <c r="D484" s="129" t="str">
        <f t="shared" si="39"/>
        <v>Комплекс коммерческий ПредприятиеЭКСПЕРТ10</v>
      </c>
      <c r="E484" s="145">
        <v>0.05</v>
      </c>
      <c r="F484" s="144">
        <v>10</v>
      </c>
      <c r="G484" s="144" t="s">
        <v>231</v>
      </c>
      <c r="H484" s="239" t="str">
        <f t="shared" si="37"/>
        <v>Акция_Пр.88 (15мая-31июля25)</v>
      </c>
    </row>
    <row r="485" spans="1:8" x14ac:dyDescent="0.3">
      <c r="A485" s="128" t="s">
        <v>186</v>
      </c>
      <c r="B485" s="129" t="s">
        <v>257</v>
      </c>
      <c r="C485" s="129" t="s">
        <v>20</v>
      </c>
      <c r="D485" s="129" t="str">
        <f t="shared" si="39"/>
        <v>Комплекс коммерческий Главный Бухгалтер ПРОФЭКСПЕРТ10</v>
      </c>
      <c r="E485" s="145">
        <v>0.05</v>
      </c>
      <c r="F485" s="144">
        <v>10</v>
      </c>
      <c r="G485" s="144" t="s">
        <v>231</v>
      </c>
      <c r="H485" s="239" t="str">
        <f t="shared" si="37"/>
        <v>Акция_Пр.88 (15мая-31июля25)</v>
      </c>
    </row>
    <row r="486" spans="1:8" x14ac:dyDescent="0.3">
      <c r="A486" s="128" t="s">
        <v>186</v>
      </c>
      <c r="B486" s="129" t="s">
        <v>260</v>
      </c>
      <c r="C486" s="129" t="s">
        <v>20</v>
      </c>
      <c r="D486" s="129" t="str">
        <f t="shared" si="39"/>
        <v>Комплекс коммерческий VIP ПредприятиеЭКСПЕРТ10</v>
      </c>
      <c r="E486" s="145">
        <v>0.05</v>
      </c>
      <c r="F486" s="144">
        <v>10</v>
      </c>
      <c r="G486" s="144" t="s">
        <v>231</v>
      </c>
      <c r="H486" s="239" t="str">
        <f t="shared" si="37"/>
        <v>Акция_Пр.88 (15мая-31июля25)</v>
      </c>
    </row>
    <row r="487" spans="1:8" x14ac:dyDescent="0.3">
      <c r="A487" s="128" t="s">
        <v>186</v>
      </c>
      <c r="B487" s="129" t="s">
        <v>259</v>
      </c>
      <c r="C487" s="129" t="s">
        <v>21</v>
      </c>
      <c r="D487" s="129" t="str">
        <f t="shared" si="39"/>
        <v>Комплекс коммерческий Предприятие ПРОФОПТИМАЛЬНЫЙ10</v>
      </c>
      <c r="E487" s="145">
        <v>0.05</v>
      </c>
      <c r="F487" s="144">
        <v>10</v>
      </c>
      <c r="G487" s="144" t="s">
        <v>231</v>
      </c>
      <c r="H487" s="239" t="str">
        <f t="shared" si="37"/>
        <v>Акция_Пр.88 (15мая-31июля25)</v>
      </c>
    </row>
    <row r="488" spans="1:8" x14ac:dyDescent="0.3">
      <c r="A488" s="128" t="s">
        <v>186</v>
      </c>
      <c r="B488" s="129" t="s">
        <v>258</v>
      </c>
      <c r="C488" s="129" t="s">
        <v>21</v>
      </c>
      <c r="D488" s="129" t="str">
        <f t="shared" si="39"/>
        <v>Комплекс коммерческий ПредприятиеОПТИМАЛЬНЫЙ10</v>
      </c>
      <c r="E488" s="145">
        <v>0.05</v>
      </c>
      <c r="F488" s="144">
        <v>10</v>
      </c>
      <c r="G488" s="144" t="s">
        <v>231</v>
      </c>
      <c r="H488" s="239" t="str">
        <f t="shared" si="37"/>
        <v>Акция_Пр.88 (15мая-31июля25)</v>
      </c>
    </row>
    <row r="489" spans="1:8" x14ac:dyDescent="0.3">
      <c r="A489" s="128" t="s">
        <v>186</v>
      </c>
      <c r="B489" s="129" t="s">
        <v>257</v>
      </c>
      <c r="C489" s="129" t="s">
        <v>21</v>
      </c>
      <c r="D489" s="129" t="str">
        <f t="shared" si="39"/>
        <v>Комплекс коммерческий Главный Бухгалтер ПРОФОПТИМАЛЬНЫЙ10</v>
      </c>
      <c r="E489" s="145">
        <v>0.05</v>
      </c>
      <c r="F489" s="144">
        <v>10</v>
      </c>
      <c r="G489" s="144" t="s">
        <v>231</v>
      </c>
      <c r="H489" s="239" t="str">
        <f t="shared" si="37"/>
        <v>Акция_Пр.88 (15мая-31июля25)</v>
      </c>
    </row>
    <row r="490" spans="1:8" x14ac:dyDescent="0.3">
      <c r="A490" s="128" t="s">
        <v>186</v>
      </c>
      <c r="B490" s="129" t="s">
        <v>260</v>
      </c>
      <c r="C490" s="129" t="s">
        <v>21</v>
      </c>
      <c r="D490" s="129" t="str">
        <f t="shared" si="39"/>
        <v>Комплекс коммерческий VIP ПредприятиеОПТИМАЛЬНЫЙ10</v>
      </c>
      <c r="E490" s="145">
        <v>0.05</v>
      </c>
      <c r="F490" s="144">
        <v>10</v>
      </c>
      <c r="G490" s="144" t="s">
        <v>231</v>
      </c>
      <c r="H490" s="239" t="str">
        <f t="shared" si="37"/>
        <v>Акция_Пр.88 (15мая-31июля25)</v>
      </c>
    </row>
    <row r="491" spans="1:8" x14ac:dyDescent="0.3">
      <c r="A491" s="128" t="s">
        <v>186</v>
      </c>
      <c r="B491" s="129" t="s">
        <v>259</v>
      </c>
      <c r="C491" s="129" t="s">
        <v>189</v>
      </c>
      <c r="D491" s="129" t="str">
        <f t="shared" si="39"/>
        <v>Комплекс коммерческий Предприятие ПРОФЭКСПЕРТОПТИМАЛЬНЫЙ10</v>
      </c>
      <c r="E491" s="145">
        <v>0.05</v>
      </c>
      <c r="F491" s="144">
        <v>10</v>
      </c>
      <c r="G491" s="144" t="s">
        <v>231</v>
      </c>
      <c r="H491" s="239" t="str">
        <f t="shared" si="37"/>
        <v>Акция_Пр.88 (15мая-31июля25)</v>
      </c>
    </row>
    <row r="492" spans="1:8" x14ac:dyDescent="0.3">
      <c r="A492" s="128" t="s">
        <v>186</v>
      </c>
      <c r="B492" s="129" t="s">
        <v>258</v>
      </c>
      <c r="C492" s="129" t="s">
        <v>189</v>
      </c>
      <c r="D492" s="129" t="str">
        <f t="shared" si="39"/>
        <v>Комплекс коммерческий ПредприятиеЭКСПЕРТОПТИМАЛЬНЫЙ10</v>
      </c>
      <c r="E492" s="145">
        <v>0.05</v>
      </c>
      <c r="F492" s="144">
        <v>10</v>
      </c>
      <c r="G492" s="144" t="s">
        <v>231</v>
      </c>
      <c r="H492" s="239" t="str">
        <f t="shared" si="37"/>
        <v>Акция_Пр.88 (15мая-31июля25)</v>
      </c>
    </row>
    <row r="493" spans="1:8" x14ac:dyDescent="0.3">
      <c r="A493" s="128" t="s">
        <v>186</v>
      </c>
      <c r="B493" s="129" t="s">
        <v>257</v>
      </c>
      <c r="C493" s="129" t="s">
        <v>189</v>
      </c>
      <c r="D493" s="129" t="str">
        <f t="shared" si="39"/>
        <v>Комплекс коммерческий Главный Бухгалтер ПРОФЭКСПЕРТОПТИМАЛЬНЫЙ10</v>
      </c>
      <c r="E493" s="145">
        <v>0.05</v>
      </c>
      <c r="F493" s="144">
        <v>10</v>
      </c>
      <c r="G493" s="144" t="s">
        <v>231</v>
      </c>
      <c r="H493" s="239" t="str">
        <f t="shared" si="37"/>
        <v>Акция_Пр.88 (15мая-31июля25)</v>
      </c>
    </row>
    <row r="494" spans="1:8" x14ac:dyDescent="0.3">
      <c r="A494" s="128" t="s">
        <v>186</v>
      </c>
      <c r="B494" s="129" t="s">
        <v>260</v>
      </c>
      <c r="C494" s="129" t="s">
        <v>189</v>
      </c>
      <c r="D494" s="129" t="str">
        <f t="shared" si="39"/>
        <v>Комплекс коммерческий VIP ПредприятиеЭКСПЕРТОПТИМАЛЬНЫЙ10</v>
      </c>
      <c r="E494" s="145">
        <v>0.05</v>
      </c>
      <c r="F494" s="144">
        <v>10</v>
      </c>
      <c r="G494" s="144" t="s">
        <v>231</v>
      </c>
      <c r="H494" s="239" t="str">
        <f t="shared" si="37"/>
        <v>Акция_Пр.88 (15мая-31июля25)</v>
      </c>
    </row>
    <row r="495" spans="1:8" x14ac:dyDescent="0.3">
      <c r="A495" s="128" t="s">
        <v>186</v>
      </c>
      <c r="B495" s="129" t="s">
        <v>259</v>
      </c>
      <c r="C495" s="129" t="s">
        <v>190</v>
      </c>
      <c r="D495" s="129" t="str">
        <f t="shared" si="39"/>
        <v>Комплекс коммерческий Предприятие ПРОФЭКСПЕРТМИНИМАЛЬНЫЙ10</v>
      </c>
      <c r="E495" s="145">
        <v>0.05</v>
      </c>
      <c r="F495" s="144">
        <v>10</v>
      </c>
      <c r="G495" s="144" t="s">
        <v>231</v>
      </c>
      <c r="H495" s="239" t="str">
        <f t="shared" si="37"/>
        <v>Акция_Пр.88 (15мая-31июля25)</v>
      </c>
    </row>
    <row r="496" spans="1:8" x14ac:dyDescent="0.3">
      <c r="A496" s="128" t="s">
        <v>186</v>
      </c>
      <c r="B496" s="129" t="s">
        <v>258</v>
      </c>
      <c r="C496" s="129" t="s">
        <v>190</v>
      </c>
      <c r="D496" s="129" t="str">
        <f t="shared" si="39"/>
        <v>Комплекс коммерческий ПредприятиеЭКСПЕРТМИНИМАЛЬНЫЙ10</v>
      </c>
      <c r="E496" s="145">
        <v>0.05</v>
      </c>
      <c r="F496" s="144">
        <v>10</v>
      </c>
      <c r="G496" s="144" t="s">
        <v>231</v>
      </c>
      <c r="H496" s="239" t="str">
        <f t="shared" si="37"/>
        <v>Акция_Пр.88 (15мая-31июля25)</v>
      </c>
    </row>
    <row r="497" spans="1:8" x14ac:dyDescent="0.3">
      <c r="A497" s="128" t="s">
        <v>186</v>
      </c>
      <c r="B497" s="129" t="s">
        <v>257</v>
      </c>
      <c r="C497" s="129" t="s">
        <v>192</v>
      </c>
      <c r="D497" s="129" t="str">
        <f t="shared" si="39"/>
        <v>Комплекс коммерческий Главный Бухгалтер ПРОФЭКСПЕРТБАЗОВЫЙ10</v>
      </c>
      <c r="E497" s="145">
        <v>0.05</v>
      </c>
      <c r="F497" s="144">
        <v>10</v>
      </c>
      <c r="G497" s="144" t="s">
        <v>231</v>
      </c>
      <c r="H497" s="239" t="str">
        <f t="shared" si="37"/>
        <v>Акция_Пр.88 (15мая-31июля25)</v>
      </c>
    </row>
    <row r="498" spans="1:8" x14ac:dyDescent="0.3">
      <c r="A498" s="128" t="s">
        <v>186</v>
      </c>
      <c r="B498" s="129" t="s">
        <v>260</v>
      </c>
      <c r="C498" s="129" t="s">
        <v>190</v>
      </c>
      <c r="D498" s="129" t="str">
        <f t="shared" si="39"/>
        <v>Комплекс коммерческий VIP ПредприятиеЭКСПЕРТМИНИМАЛЬНЫЙ10</v>
      </c>
      <c r="E498" s="145">
        <v>0.05</v>
      </c>
      <c r="F498" s="144">
        <v>10</v>
      </c>
      <c r="G498" s="144" t="s">
        <v>231</v>
      </c>
      <c r="H498" s="239" t="str">
        <f t="shared" si="37"/>
        <v>Акция_Пр.88 (15мая-31июля25)</v>
      </c>
    </row>
    <row r="499" spans="1:8" x14ac:dyDescent="0.3">
      <c r="A499" s="128" t="s">
        <v>186</v>
      </c>
      <c r="B499" s="129" t="s">
        <v>259</v>
      </c>
      <c r="C499" s="129" t="s">
        <v>191</v>
      </c>
      <c r="D499" s="129" t="str">
        <f t="shared" si="39"/>
        <v>Комплекс коммерческий Предприятие ПРОФОПТИМАЛЬНЫЙМИНИМАЛЬНЫЙ</v>
      </c>
      <c r="E499" s="130"/>
      <c r="F499" s="129"/>
      <c r="G499" s="129"/>
      <c r="H499" s="138"/>
    </row>
    <row r="500" spans="1:8" x14ac:dyDescent="0.3">
      <c r="A500" s="128" t="s">
        <v>186</v>
      </c>
      <c r="B500" s="129" t="s">
        <v>258</v>
      </c>
      <c r="C500" s="129" t="s">
        <v>191</v>
      </c>
      <c r="D500" s="129" t="str">
        <f t="shared" si="39"/>
        <v>Комплекс коммерческий ПредприятиеОПТИМАЛЬНЫЙМИНИМАЛЬНЫЙ</v>
      </c>
      <c r="E500" s="130"/>
      <c r="F500" s="129"/>
      <c r="G500" s="129"/>
      <c r="H500" s="138"/>
    </row>
    <row r="501" spans="1:8" x14ac:dyDescent="0.3">
      <c r="A501" s="128" t="s">
        <v>186</v>
      </c>
      <c r="B501" s="129" t="s">
        <v>257</v>
      </c>
      <c r="C501" s="129" t="s">
        <v>234</v>
      </c>
      <c r="D501" s="129" t="str">
        <f t="shared" si="39"/>
        <v>Комплекс коммерческий Главный Бухгалтер ПРОФОПТИМАЛЬНЫЙБАЗОВЫЙ</v>
      </c>
      <c r="E501" s="130"/>
      <c r="F501" s="129"/>
      <c r="G501" s="129"/>
      <c r="H501" s="138"/>
    </row>
    <row r="502" spans="1:8" x14ac:dyDescent="0.3">
      <c r="A502" s="128" t="s">
        <v>186</v>
      </c>
      <c r="B502" s="129" t="s">
        <v>260</v>
      </c>
      <c r="C502" s="129" t="s">
        <v>191</v>
      </c>
      <c r="D502" s="129" t="str">
        <f t="shared" si="39"/>
        <v>Комплекс коммерческий VIP ПредприятиеОПТИМАЛЬНЫЙМИНИМАЛЬНЫЙ</v>
      </c>
      <c r="E502" s="130"/>
      <c r="F502" s="129"/>
      <c r="G502" s="129"/>
      <c r="H502" s="138"/>
    </row>
    <row r="503" spans="1:8" x14ac:dyDescent="0.3">
      <c r="A503" s="128" t="s">
        <v>186</v>
      </c>
      <c r="B503" s="129" t="s">
        <v>259</v>
      </c>
      <c r="C503" s="129" t="s">
        <v>194</v>
      </c>
      <c r="D503" s="129" t="str">
        <f t="shared" si="39"/>
        <v>Комплекс коммерческий Предприятие ПРОФЭКСПЕРТОПТИМАЛЬНЫЙМИНИМАЛЬНЫЙ10</v>
      </c>
      <c r="E503" s="151">
        <v>0.05</v>
      </c>
      <c r="F503" s="152">
        <v>10</v>
      </c>
      <c r="G503" s="152" t="s">
        <v>231</v>
      </c>
      <c r="H503" s="239" t="str">
        <f t="shared" ref="H503:H534" si="40">$B$42</f>
        <v>Акция_Пр.88 (15мая-31июля25)</v>
      </c>
    </row>
    <row r="504" spans="1:8" x14ac:dyDescent="0.3">
      <c r="A504" s="128" t="s">
        <v>186</v>
      </c>
      <c r="B504" s="129" t="s">
        <v>258</v>
      </c>
      <c r="C504" s="129" t="s">
        <v>194</v>
      </c>
      <c r="D504" s="129" t="str">
        <f t="shared" si="39"/>
        <v>Комплекс коммерческий ПредприятиеЭКСПЕРТОПТИМАЛЬНЫЙМИНИМАЛЬНЫЙ10</v>
      </c>
      <c r="E504" s="151">
        <v>0.05</v>
      </c>
      <c r="F504" s="152">
        <v>10</v>
      </c>
      <c r="G504" s="152" t="s">
        <v>231</v>
      </c>
      <c r="H504" s="239" t="str">
        <f t="shared" si="40"/>
        <v>Акция_Пр.88 (15мая-31июля25)</v>
      </c>
    </row>
    <row r="505" spans="1:8" x14ac:dyDescent="0.3">
      <c r="A505" s="128" t="s">
        <v>186</v>
      </c>
      <c r="B505" s="129" t="s">
        <v>257</v>
      </c>
      <c r="C505" s="129" t="s">
        <v>195</v>
      </c>
      <c r="D505" s="129" t="str">
        <f t="shared" si="39"/>
        <v>Комплекс коммерческий Главный Бухгалтер ПРОФЭКСПЕРТОПТИМАЛЬНЫЙБАЗОВЫЙ10</v>
      </c>
      <c r="E505" s="151">
        <v>0.05</v>
      </c>
      <c r="F505" s="152">
        <v>10</v>
      </c>
      <c r="G505" s="152" t="s">
        <v>231</v>
      </c>
      <c r="H505" s="239" t="str">
        <f t="shared" si="40"/>
        <v>Акция_Пр.88 (15мая-31июля25)</v>
      </c>
    </row>
    <row r="506" spans="1:8" x14ac:dyDescent="0.3">
      <c r="A506" s="128" t="s">
        <v>186</v>
      </c>
      <c r="B506" s="129" t="s">
        <v>260</v>
      </c>
      <c r="C506" s="129" t="s">
        <v>194</v>
      </c>
      <c r="D506" s="129" t="str">
        <f t="shared" si="39"/>
        <v>Комплекс коммерческий VIP ПредприятиеЭКСПЕРТОПТИМАЛЬНЫЙМИНИМАЛЬНЫЙ10</v>
      </c>
      <c r="E506" s="151">
        <v>0.05</v>
      </c>
      <c r="F506" s="152">
        <v>10</v>
      </c>
      <c r="G506" s="152" t="s">
        <v>231</v>
      </c>
      <c r="H506" s="239" t="str">
        <f t="shared" si="40"/>
        <v>Акция_Пр.88 (15мая-31июля25)</v>
      </c>
    </row>
    <row r="507" spans="1:8" x14ac:dyDescent="0.3">
      <c r="A507" s="128" t="s">
        <v>187</v>
      </c>
      <c r="B507" s="129" t="s">
        <v>262</v>
      </c>
      <c r="C507" s="129" t="s">
        <v>20</v>
      </c>
      <c r="D507" s="129" t="str">
        <f t="shared" ref="D507:D513" si="41">_xlfn.CONCAT(B507,C507,F507)</f>
        <v>Комплекс коммерческий Предприятие (1 пользователь)ЭКСПЕРТ11</v>
      </c>
      <c r="E507" s="325">
        <v>0.05</v>
      </c>
      <c r="F507" s="144">
        <v>11</v>
      </c>
      <c r="G507" s="144" t="s">
        <v>231</v>
      </c>
      <c r="H507" s="239" t="str">
        <f t="shared" si="40"/>
        <v>Акция_Пр.88 (15мая-31июля25)</v>
      </c>
    </row>
    <row r="508" spans="1:8" x14ac:dyDescent="0.3">
      <c r="A508" s="128" t="s">
        <v>187</v>
      </c>
      <c r="B508" s="129" t="s">
        <v>263</v>
      </c>
      <c r="C508" s="129" t="s">
        <v>20</v>
      </c>
      <c r="D508" s="129" t="str">
        <f t="shared" si="41"/>
        <v>Комплекс коммерческий Предприятие ПРОФ (1 пользователь)ЭКСПЕРТ11</v>
      </c>
      <c r="E508" s="145">
        <v>0.05</v>
      </c>
      <c r="F508" s="144">
        <v>11</v>
      </c>
      <c r="G508" s="144" t="s">
        <v>231</v>
      </c>
      <c r="H508" s="239" t="str">
        <f t="shared" si="40"/>
        <v>Акция_Пр.88 (15мая-31июля25)</v>
      </c>
    </row>
    <row r="509" spans="1:8" x14ac:dyDescent="0.3">
      <c r="A509" s="128" t="s">
        <v>187</v>
      </c>
      <c r="B509" s="129" t="s">
        <v>261</v>
      </c>
      <c r="C509" s="129" t="s">
        <v>20</v>
      </c>
      <c r="D509" s="129" t="str">
        <f t="shared" si="41"/>
        <v>Комплекс коммерческий Главный Бухгалтер ПРОФ (1 пользователь)ЭКСПЕРТ11</v>
      </c>
      <c r="E509" s="145">
        <v>0.05</v>
      </c>
      <c r="F509" s="144">
        <v>11</v>
      </c>
      <c r="G509" s="144" t="s">
        <v>231</v>
      </c>
      <c r="H509" s="239" t="str">
        <f t="shared" si="40"/>
        <v>Акция_Пр.88 (15мая-31июля25)</v>
      </c>
    </row>
    <row r="510" spans="1:8" x14ac:dyDescent="0.3">
      <c r="A510" s="128" t="s">
        <v>187</v>
      </c>
      <c r="B510" s="129" t="s">
        <v>264</v>
      </c>
      <c r="C510" s="129" t="s">
        <v>20</v>
      </c>
      <c r="D510" s="129" t="str">
        <f t="shared" si="41"/>
        <v>Комплекс коммерческий VIP Предприятие (1 пользователь)ЭКСПЕРТ11</v>
      </c>
      <c r="E510" s="145">
        <v>0.05</v>
      </c>
      <c r="F510" s="144">
        <v>11</v>
      </c>
      <c r="G510" s="144" t="s">
        <v>231</v>
      </c>
      <c r="H510" s="239" t="str">
        <f t="shared" si="40"/>
        <v>Акция_Пр.88 (15мая-31июля25)</v>
      </c>
    </row>
    <row r="511" spans="1:8" x14ac:dyDescent="0.3">
      <c r="A511" s="128" t="s">
        <v>187</v>
      </c>
      <c r="B511" s="129" t="s">
        <v>262</v>
      </c>
      <c r="C511" s="129" t="s">
        <v>21</v>
      </c>
      <c r="D511" s="129" t="str">
        <f t="shared" si="41"/>
        <v>Комплекс коммерческий Предприятие (1 пользователь)ОПТИМАЛЬНЫЙ11</v>
      </c>
      <c r="E511" s="325">
        <v>0.05</v>
      </c>
      <c r="F511" s="144">
        <v>11</v>
      </c>
      <c r="G511" s="144" t="s">
        <v>231</v>
      </c>
      <c r="H511" s="239" t="str">
        <f t="shared" si="40"/>
        <v>Акция_Пр.88 (15мая-31июля25)</v>
      </c>
    </row>
    <row r="512" spans="1:8" x14ac:dyDescent="0.3">
      <c r="A512" s="128" t="s">
        <v>187</v>
      </c>
      <c r="B512" s="129" t="s">
        <v>263</v>
      </c>
      <c r="C512" s="129" t="s">
        <v>21</v>
      </c>
      <c r="D512" s="129" t="str">
        <f t="shared" si="41"/>
        <v>Комплекс коммерческий Предприятие ПРОФ (1 пользователь)ОПТИМАЛЬНЫЙ11</v>
      </c>
      <c r="E512" s="145">
        <v>0.05</v>
      </c>
      <c r="F512" s="144">
        <v>11</v>
      </c>
      <c r="G512" s="144" t="s">
        <v>231</v>
      </c>
      <c r="H512" s="239" t="str">
        <f t="shared" si="40"/>
        <v>Акция_Пр.88 (15мая-31июля25)</v>
      </c>
    </row>
    <row r="513" spans="1:8" x14ac:dyDescent="0.3">
      <c r="A513" s="128" t="s">
        <v>187</v>
      </c>
      <c r="B513" s="129" t="s">
        <v>264</v>
      </c>
      <c r="C513" s="129" t="s">
        <v>21</v>
      </c>
      <c r="D513" s="129" t="str">
        <f t="shared" si="41"/>
        <v>Комплекс коммерческий VIP Предприятие (1 пользователь)ОПТИМАЛЬНЫЙ11</v>
      </c>
      <c r="E513" s="145">
        <v>0.05</v>
      </c>
      <c r="F513" s="144">
        <v>11</v>
      </c>
      <c r="G513" s="144" t="s">
        <v>231</v>
      </c>
      <c r="H513" s="239" t="str">
        <f t="shared" si="40"/>
        <v>Акция_Пр.88 (15мая-31июля25)</v>
      </c>
    </row>
    <row r="514" spans="1:8" x14ac:dyDescent="0.3">
      <c r="A514" s="128" t="s">
        <v>186</v>
      </c>
      <c r="B514" s="129" t="s">
        <v>259</v>
      </c>
      <c r="C514" s="129" t="s">
        <v>20</v>
      </c>
      <c r="D514" s="129" t="str">
        <f t="shared" ref="D514:D537" si="42">CONCATENATE(B514,C514,F514)</f>
        <v>Комплекс коммерческий Предприятие ПРОФЭКСПЕРТ11</v>
      </c>
      <c r="E514" s="145">
        <v>0.05</v>
      </c>
      <c r="F514" s="144">
        <v>11</v>
      </c>
      <c r="G514" s="144" t="s">
        <v>231</v>
      </c>
      <c r="H514" s="239" t="str">
        <f t="shared" si="40"/>
        <v>Акция_Пр.88 (15мая-31июля25)</v>
      </c>
    </row>
    <row r="515" spans="1:8" x14ac:dyDescent="0.3">
      <c r="A515" s="128" t="s">
        <v>186</v>
      </c>
      <c r="B515" s="129" t="s">
        <v>258</v>
      </c>
      <c r="C515" s="129" t="s">
        <v>20</v>
      </c>
      <c r="D515" s="129" t="str">
        <f t="shared" si="42"/>
        <v>Комплекс коммерческий ПредприятиеЭКСПЕРТ11</v>
      </c>
      <c r="E515" s="145">
        <v>0.05</v>
      </c>
      <c r="F515" s="144">
        <v>11</v>
      </c>
      <c r="G515" s="144" t="s">
        <v>231</v>
      </c>
      <c r="H515" s="239" t="str">
        <f t="shared" si="40"/>
        <v>Акция_Пр.88 (15мая-31июля25)</v>
      </c>
    </row>
    <row r="516" spans="1:8" x14ac:dyDescent="0.3">
      <c r="A516" s="128" t="s">
        <v>186</v>
      </c>
      <c r="B516" s="129" t="s">
        <v>257</v>
      </c>
      <c r="C516" s="129" t="s">
        <v>20</v>
      </c>
      <c r="D516" s="129" t="str">
        <f t="shared" si="42"/>
        <v>Комплекс коммерческий Главный Бухгалтер ПРОФЭКСПЕРТ11</v>
      </c>
      <c r="E516" s="145">
        <v>0.05</v>
      </c>
      <c r="F516" s="144">
        <v>11</v>
      </c>
      <c r="G516" s="144" t="s">
        <v>231</v>
      </c>
      <c r="H516" s="239" t="str">
        <f t="shared" si="40"/>
        <v>Акция_Пр.88 (15мая-31июля25)</v>
      </c>
    </row>
    <row r="517" spans="1:8" x14ac:dyDescent="0.3">
      <c r="A517" s="128" t="s">
        <v>186</v>
      </c>
      <c r="B517" s="129" t="s">
        <v>260</v>
      </c>
      <c r="C517" s="129" t="s">
        <v>20</v>
      </c>
      <c r="D517" s="129" t="str">
        <f t="shared" si="42"/>
        <v>Комплекс коммерческий VIP ПредприятиеЭКСПЕРТ11</v>
      </c>
      <c r="E517" s="145">
        <v>0.05</v>
      </c>
      <c r="F517" s="144">
        <v>11</v>
      </c>
      <c r="G517" s="144" t="s">
        <v>231</v>
      </c>
      <c r="H517" s="239" t="str">
        <f t="shared" si="40"/>
        <v>Акция_Пр.88 (15мая-31июля25)</v>
      </c>
    </row>
    <row r="518" spans="1:8" x14ac:dyDescent="0.3">
      <c r="A518" s="128" t="s">
        <v>186</v>
      </c>
      <c r="B518" s="129" t="s">
        <v>259</v>
      </c>
      <c r="C518" s="129" t="s">
        <v>21</v>
      </c>
      <c r="D518" s="129" t="str">
        <f t="shared" si="42"/>
        <v>Комплекс коммерческий Предприятие ПРОФОПТИМАЛЬНЫЙ11</v>
      </c>
      <c r="E518" s="145">
        <v>0.05</v>
      </c>
      <c r="F518" s="144">
        <v>11</v>
      </c>
      <c r="G518" s="144" t="s">
        <v>231</v>
      </c>
      <c r="H518" s="239" t="str">
        <f t="shared" si="40"/>
        <v>Акция_Пр.88 (15мая-31июля25)</v>
      </c>
    </row>
    <row r="519" spans="1:8" x14ac:dyDescent="0.3">
      <c r="A519" s="128" t="s">
        <v>186</v>
      </c>
      <c r="B519" s="129" t="s">
        <v>258</v>
      </c>
      <c r="C519" s="129" t="s">
        <v>21</v>
      </c>
      <c r="D519" s="129" t="str">
        <f t="shared" si="42"/>
        <v>Комплекс коммерческий ПредприятиеОПТИМАЛЬНЫЙ11</v>
      </c>
      <c r="E519" s="145">
        <v>0.05</v>
      </c>
      <c r="F519" s="144">
        <v>11</v>
      </c>
      <c r="G519" s="144" t="s">
        <v>231</v>
      </c>
      <c r="H519" s="239" t="str">
        <f t="shared" si="40"/>
        <v>Акция_Пр.88 (15мая-31июля25)</v>
      </c>
    </row>
    <row r="520" spans="1:8" x14ac:dyDescent="0.3">
      <c r="A520" s="128" t="s">
        <v>186</v>
      </c>
      <c r="B520" s="129" t="s">
        <v>257</v>
      </c>
      <c r="C520" s="129" t="s">
        <v>21</v>
      </c>
      <c r="D520" s="129" t="str">
        <f t="shared" si="42"/>
        <v>Комплекс коммерческий Главный Бухгалтер ПРОФОПТИМАЛЬНЫЙ11</v>
      </c>
      <c r="E520" s="145">
        <v>0.05</v>
      </c>
      <c r="F520" s="144">
        <v>11</v>
      </c>
      <c r="G520" s="144" t="s">
        <v>231</v>
      </c>
      <c r="H520" s="239" t="str">
        <f t="shared" si="40"/>
        <v>Акция_Пр.88 (15мая-31июля25)</v>
      </c>
    </row>
    <row r="521" spans="1:8" x14ac:dyDescent="0.3">
      <c r="A521" s="128" t="s">
        <v>186</v>
      </c>
      <c r="B521" s="129" t="s">
        <v>260</v>
      </c>
      <c r="C521" s="129" t="s">
        <v>21</v>
      </c>
      <c r="D521" s="129" t="str">
        <f t="shared" si="42"/>
        <v>Комплекс коммерческий VIP ПредприятиеОПТИМАЛЬНЫЙ11</v>
      </c>
      <c r="E521" s="145">
        <v>0.05</v>
      </c>
      <c r="F521" s="144">
        <v>11</v>
      </c>
      <c r="G521" s="144" t="s">
        <v>231</v>
      </c>
      <c r="H521" s="239" t="str">
        <f t="shared" si="40"/>
        <v>Акция_Пр.88 (15мая-31июля25)</v>
      </c>
    </row>
    <row r="522" spans="1:8" x14ac:dyDescent="0.3">
      <c r="A522" s="128" t="s">
        <v>186</v>
      </c>
      <c r="B522" s="129" t="s">
        <v>259</v>
      </c>
      <c r="C522" s="129" t="s">
        <v>189</v>
      </c>
      <c r="D522" s="129" t="str">
        <f t="shared" si="42"/>
        <v>Комплекс коммерческий Предприятие ПРОФЭКСПЕРТОПТИМАЛЬНЫЙ11</v>
      </c>
      <c r="E522" s="145">
        <v>0.05</v>
      </c>
      <c r="F522" s="144">
        <v>11</v>
      </c>
      <c r="G522" s="144" t="s">
        <v>231</v>
      </c>
      <c r="H522" s="239" t="str">
        <f t="shared" si="40"/>
        <v>Акция_Пр.88 (15мая-31июля25)</v>
      </c>
    </row>
    <row r="523" spans="1:8" x14ac:dyDescent="0.3">
      <c r="A523" s="128" t="s">
        <v>186</v>
      </c>
      <c r="B523" s="129" t="s">
        <v>258</v>
      </c>
      <c r="C523" s="129" t="s">
        <v>189</v>
      </c>
      <c r="D523" s="129" t="str">
        <f t="shared" si="42"/>
        <v>Комплекс коммерческий ПредприятиеЭКСПЕРТОПТИМАЛЬНЫЙ11</v>
      </c>
      <c r="E523" s="145">
        <v>0.05</v>
      </c>
      <c r="F523" s="144">
        <v>11</v>
      </c>
      <c r="G523" s="144" t="s">
        <v>231</v>
      </c>
      <c r="H523" s="239" t="str">
        <f t="shared" si="40"/>
        <v>Акция_Пр.88 (15мая-31июля25)</v>
      </c>
    </row>
    <row r="524" spans="1:8" x14ac:dyDescent="0.3">
      <c r="A524" s="128" t="s">
        <v>186</v>
      </c>
      <c r="B524" s="129" t="s">
        <v>257</v>
      </c>
      <c r="C524" s="129" t="s">
        <v>189</v>
      </c>
      <c r="D524" s="129" t="str">
        <f t="shared" si="42"/>
        <v>Комплекс коммерческий Главный Бухгалтер ПРОФЭКСПЕРТОПТИМАЛЬНЫЙ11</v>
      </c>
      <c r="E524" s="145">
        <v>0.05</v>
      </c>
      <c r="F524" s="144">
        <v>11</v>
      </c>
      <c r="G524" s="144" t="s">
        <v>231</v>
      </c>
      <c r="H524" s="239" t="str">
        <f t="shared" si="40"/>
        <v>Акция_Пр.88 (15мая-31июля25)</v>
      </c>
    </row>
    <row r="525" spans="1:8" x14ac:dyDescent="0.3">
      <c r="A525" s="128" t="s">
        <v>186</v>
      </c>
      <c r="B525" s="129" t="s">
        <v>260</v>
      </c>
      <c r="C525" s="129" t="s">
        <v>189</v>
      </c>
      <c r="D525" s="129" t="str">
        <f t="shared" si="42"/>
        <v>Комплекс коммерческий VIP ПредприятиеЭКСПЕРТОПТИМАЛЬНЫЙ11</v>
      </c>
      <c r="E525" s="145">
        <v>0.05</v>
      </c>
      <c r="F525" s="144">
        <v>11</v>
      </c>
      <c r="G525" s="144" t="s">
        <v>231</v>
      </c>
      <c r="H525" s="239" t="str">
        <f t="shared" si="40"/>
        <v>Акция_Пр.88 (15мая-31июля25)</v>
      </c>
    </row>
    <row r="526" spans="1:8" x14ac:dyDescent="0.3">
      <c r="A526" s="128" t="s">
        <v>186</v>
      </c>
      <c r="B526" s="129" t="s">
        <v>259</v>
      </c>
      <c r="C526" s="129" t="s">
        <v>190</v>
      </c>
      <c r="D526" s="129" t="str">
        <f t="shared" si="42"/>
        <v>Комплекс коммерческий Предприятие ПРОФЭКСПЕРТМИНИМАЛЬНЫЙ11</v>
      </c>
      <c r="E526" s="145">
        <v>0.05</v>
      </c>
      <c r="F526" s="144">
        <v>11</v>
      </c>
      <c r="G526" s="144" t="s">
        <v>231</v>
      </c>
      <c r="H526" s="239" t="str">
        <f t="shared" si="40"/>
        <v>Акция_Пр.88 (15мая-31июля25)</v>
      </c>
    </row>
    <row r="527" spans="1:8" x14ac:dyDescent="0.3">
      <c r="A527" s="128" t="s">
        <v>186</v>
      </c>
      <c r="B527" s="129" t="s">
        <v>258</v>
      </c>
      <c r="C527" s="129" t="s">
        <v>190</v>
      </c>
      <c r="D527" s="129" t="str">
        <f t="shared" si="42"/>
        <v>Комплекс коммерческий ПредприятиеЭКСПЕРТМИНИМАЛЬНЫЙ11</v>
      </c>
      <c r="E527" s="145">
        <v>0.05</v>
      </c>
      <c r="F527" s="144">
        <v>11</v>
      </c>
      <c r="G527" s="144" t="s">
        <v>231</v>
      </c>
      <c r="H527" s="239" t="str">
        <f t="shared" si="40"/>
        <v>Акция_Пр.88 (15мая-31июля25)</v>
      </c>
    </row>
    <row r="528" spans="1:8" x14ac:dyDescent="0.3">
      <c r="A528" s="128" t="s">
        <v>186</v>
      </c>
      <c r="B528" s="129" t="s">
        <v>257</v>
      </c>
      <c r="C528" s="129" t="s">
        <v>192</v>
      </c>
      <c r="D528" s="129" t="str">
        <f t="shared" si="42"/>
        <v>Комплекс коммерческий Главный Бухгалтер ПРОФЭКСПЕРТБАЗОВЫЙ11</v>
      </c>
      <c r="E528" s="145">
        <v>0.05</v>
      </c>
      <c r="F528" s="144">
        <v>11</v>
      </c>
      <c r="G528" s="144" t="s">
        <v>231</v>
      </c>
      <c r="H528" s="239" t="str">
        <f t="shared" si="40"/>
        <v>Акция_Пр.88 (15мая-31июля25)</v>
      </c>
    </row>
    <row r="529" spans="1:8" x14ac:dyDescent="0.3">
      <c r="A529" s="128" t="s">
        <v>186</v>
      </c>
      <c r="B529" s="129" t="s">
        <v>260</v>
      </c>
      <c r="C529" s="129" t="s">
        <v>190</v>
      </c>
      <c r="D529" s="129" t="str">
        <f t="shared" si="42"/>
        <v>Комплекс коммерческий VIP ПредприятиеЭКСПЕРТМИНИМАЛЬНЫЙ11</v>
      </c>
      <c r="E529" s="145">
        <v>0.05</v>
      </c>
      <c r="F529" s="144">
        <v>11</v>
      </c>
      <c r="G529" s="144" t="s">
        <v>231</v>
      </c>
      <c r="H529" s="239" t="str">
        <f t="shared" si="40"/>
        <v>Акция_Пр.88 (15мая-31июля25)</v>
      </c>
    </row>
    <row r="530" spans="1:8" x14ac:dyDescent="0.3">
      <c r="A530" s="128" t="s">
        <v>186</v>
      </c>
      <c r="B530" s="129" t="s">
        <v>259</v>
      </c>
      <c r="C530" s="129" t="s">
        <v>191</v>
      </c>
      <c r="D530" s="129" t="str">
        <f t="shared" si="42"/>
        <v>Комплекс коммерческий Предприятие ПРОФОПТИМАЛЬНЫЙМИНИМАЛЬНЫЙ</v>
      </c>
      <c r="E530" s="130"/>
      <c r="F530" s="129"/>
      <c r="G530" s="129"/>
      <c r="H530" s="138"/>
    </row>
    <row r="531" spans="1:8" x14ac:dyDescent="0.3">
      <c r="A531" s="128" t="s">
        <v>186</v>
      </c>
      <c r="B531" s="129" t="s">
        <v>258</v>
      </c>
      <c r="C531" s="129" t="s">
        <v>191</v>
      </c>
      <c r="D531" s="129" t="str">
        <f t="shared" si="42"/>
        <v>Комплекс коммерческий ПредприятиеОПТИМАЛЬНЫЙМИНИМАЛЬНЫЙ</v>
      </c>
      <c r="E531" s="130"/>
      <c r="F531" s="129"/>
      <c r="G531" s="129"/>
      <c r="H531" s="138"/>
    </row>
    <row r="532" spans="1:8" x14ac:dyDescent="0.3">
      <c r="A532" s="128" t="s">
        <v>186</v>
      </c>
      <c r="B532" s="129" t="s">
        <v>257</v>
      </c>
      <c r="C532" s="129" t="s">
        <v>234</v>
      </c>
      <c r="D532" s="129" t="str">
        <f t="shared" si="42"/>
        <v>Комплекс коммерческий Главный Бухгалтер ПРОФОПТИМАЛЬНЫЙБАЗОВЫЙ</v>
      </c>
      <c r="E532" s="130"/>
      <c r="F532" s="129"/>
      <c r="G532" s="129"/>
      <c r="H532" s="138"/>
    </row>
    <row r="533" spans="1:8" x14ac:dyDescent="0.3">
      <c r="A533" s="128" t="s">
        <v>186</v>
      </c>
      <c r="B533" s="129" t="s">
        <v>260</v>
      </c>
      <c r="C533" s="129" t="s">
        <v>191</v>
      </c>
      <c r="D533" s="129" t="str">
        <f t="shared" si="42"/>
        <v>Комплекс коммерческий VIP ПредприятиеОПТИМАЛЬНЫЙМИНИМАЛЬНЫЙ</v>
      </c>
      <c r="E533" s="130"/>
      <c r="F533" s="129"/>
      <c r="G533" s="129"/>
      <c r="H533" s="138"/>
    </row>
    <row r="534" spans="1:8" x14ac:dyDescent="0.3">
      <c r="A534" s="128" t="s">
        <v>186</v>
      </c>
      <c r="B534" s="129" t="s">
        <v>259</v>
      </c>
      <c r="C534" s="129" t="s">
        <v>194</v>
      </c>
      <c r="D534" s="129" t="str">
        <f t="shared" si="42"/>
        <v>Комплекс коммерческий Предприятие ПРОФЭКСПЕРТОПТИМАЛЬНЫЙМИНИМАЛЬНЫЙ11</v>
      </c>
      <c r="E534" s="151">
        <v>0.05</v>
      </c>
      <c r="F534" s="152">
        <v>11</v>
      </c>
      <c r="G534" s="152" t="s">
        <v>231</v>
      </c>
      <c r="H534" s="239" t="str">
        <f t="shared" si="40"/>
        <v>Акция_Пр.88 (15мая-31июля25)</v>
      </c>
    </row>
    <row r="535" spans="1:8" x14ac:dyDescent="0.3">
      <c r="A535" s="128" t="s">
        <v>186</v>
      </c>
      <c r="B535" s="129" t="s">
        <v>258</v>
      </c>
      <c r="C535" s="129" t="s">
        <v>194</v>
      </c>
      <c r="D535" s="129" t="str">
        <f t="shared" si="42"/>
        <v>Комплекс коммерческий ПредприятиеЭКСПЕРТОПТИМАЛЬНЫЙМИНИМАЛЬНЫЙ11</v>
      </c>
      <c r="E535" s="151">
        <v>0.05</v>
      </c>
      <c r="F535" s="152">
        <v>11</v>
      </c>
      <c r="G535" s="152" t="s">
        <v>231</v>
      </c>
      <c r="H535" s="239" t="str">
        <f t="shared" ref="H535:H568" si="43">$B$42</f>
        <v>Акция_Пр.88 (15мая-31июля25)</v>
      </c>
    </row>
    <row r="536" spans="1:8" x14ac:dyDescent="0.3">
      <c r="A536" s="128" t="s">
        <v>186</v>
      </c>
      <c r="B536" s="129" t="s">
        <v>257</v>
      </c>
      <c r="C536" s="129" t="s">
        <v>195</v>
      </c>
      <c r="D536" s="129" t="str">
        <f t="shared" si="42"/>
        <v>Комплекс коммерческий Главный Бухгалтер ПРОФЭКСПЕРТОПТИМАЛЬНЫЙБАЗОВЫЙ11</v>
      </c>
      <c r="E536" s="151">
        <v>0.05</v>
      </c>
      <c r="F536" s="152">
        <v>11</v>
      </c>
      <c r="G536" s="152" t="s">
        <v>231</v>
      </c>
      <c r="H536" s="239" t="str">
        <f t="shared" si="43"/>
        <v>Акция_Пр.88 (15мая-31июля25)</v>
      </c>
    </row>
    <row r="537" spans="1:8" x14ac:dyDescent="0.3">
      <c r="A537" s="128" t="s">
        <v>186</v>
      </c>
      <c r="B537" s="129" t="s">
        <v>260</v>
      </c>
      <c r="C537" s="129" t="s">
        <v>194</v>
      </c>
      <c r="D537" s="129" t="str">
        <f t="shared" si="42"/>
        <v>Комплекс коммерческий VIP ПредприятиеЭКСПЕРТОПТИМАЛЬНЫЙМИНИМАЛЬНЫЙ11</v>
      </c>
      <c r="E537" s="151">
        <v>0.05</v>
      </c>
      <c r="F537" s="152">
        <v>11</v>
      </c>
      <c r="G537" s="152" t="s">
        <v>231</v>
      </c>
      <c r="H537" s="239" t="str">
        <f t="shared" si="43"/>
        <v>Акция_Пр.88 (15мая-31июля25)</v>
      </c>
    </row>
    <row r="538" spans="1:8" x14ac:dyDescent="0.3">
      <c r="A538" s="128" t="s">
        <v>187</v>
      </c>
      <c r="B538" s="129" t="s">
        <v>262</v>
      </c>
      <c r="C538" s="129" t="s">
        <v>20</v>
      </c>
      <c r="D538" s="129" t="str">
        <f t="shared" ref="D538:D544" si="44">_xlfn.CONCAT(B538,C538,F538)</f>
        <v>Комплекс коммерческий Предприятие (1 пользователь)ЭКСПЕРТ12</v>
      </c>
      <c r="E538" s="145">
        <v>0.15</v>
      </c>
      <c r="F538" s="144">
        <v>12</v>
      </c>
      <c r="G538" s="144" t="s">
        <v>232</v>
      </c>
      <c r="H538" s="239" t="str">
        <f t="shared" si="43"/>
        <v>Акция_Пр.88 (15мая-31июля25)</v>
      </c>
    </row>
    <row r="539" spans="1:8" x14ac:dyDescent="0.3">
      <c r="A539" s="128" t="s">
        <v>187</v>
      </c>
      <c r="B539" s="129" t="s">
        <v>263</v>
      </c>
      <c r="C539" s="129" t="s">
        <v>20</v>
      </c>
      <c r="D539" s="129" t="str">
        <f t="shared" si="44"/>
        <v>Комплекс коммерческий Предприятие ПРОФ (1 пользователь)ЭКСПЕРТ12</v>
      </c>
      <c r="E539" s="145">
        <v>0.15</v>
      </c>
      <c r="F539" s="144">
        <v>12</v>
      </c>
      <c r="G539" s="144" t="s">
        <v>232</v>
      </c>
      <c r="H539" s="239" t="str">
        <f t="shared" si="43"/>
        <v>Акция_Пр.88 (15мая-31июля25)</v>
      </c>
    </row>
    <row r="540" spans="1:8" x14ac:dyDescent="0.3">
      <c r="A540" s="128" t="s">
        <v>187</v>
      </c>
      <c r="B540" s="129" t="s">
        <v>261</v>
      </c>
      <c r="C540" s="129" t="s">
        <v>20</v>
      </c>
      <c r="D540" s="129" t="str">
        <f t="shared" si="44"/>
        <v>Комплекс коммерческий Главный Бухгалтер ПРОФ (1 пользователь)ЭКСПЕРТ12</v>
      </c>
      <c r="E540" s="145">
        <v>0.15</v>
      </c>
      <c r="F540" s="144">
        <v>12</v>
      </c>
      <c r="G540" s="144" t="s">
        <v>232</v>
      </c>
      <c r="H540" s="239" t="str">
        <f t="shared" si="43"/>
        <v>Акция_Пр.88 (15мая-31июля25)</v>
      </c>
    </row>
    <row r="541" spans="1:8" x14ac:dyDescent="0.3">
      <c r="A541" s="128" t="s">
        <v>187</v>
      </c>
      <c r="B541" s="129" t="s">
        <v>264</v>
      </c>
      <c r="C541" s="129" t="s">
        <v>20</v>
      </c>
      <c r="D541" s="129" t="str">
        <f t="shared" si="44"/>
        <v>Комплекс коммерческий VIP Предприятие (1 пользователь)ЭКСПЕРТ12</v>
      </c>
      <c r="E541" s="145">
        <v>0.15</v>
      </c>
      <c r="F541" s="144">
        <v>12</v>
      </c>
      <c r="G541" s="144" t="s">
        <v>232</v>
      </c>
      <c r="H541" s="239" t="str">
        <f t="shared" si="43"/>
        <v>Акция_Пр.88 (15мая-31июля25)</v>
      </c>
    </row>
    <row r="542" spans="1:8" x14ac:dyDescent="0.3">
      <c r="A542" s="128" t="s">
        <v>187</v>
      </c>
      <c r="B542" s="129" t="s">
        <v>262</v>
      </c>
      <c r="C542" s="129" t="s">
        <v>21</v>
      </c>
      <c r="D542" s="129" t="str">
        <f t="shared" si="44"/>
        <v>Комплекс коммерческий Предприятие (1 пользователь)ОПТИМАЛЬНЫЙ12</v>
      </c>
      <c r="E542" s="145">
        <v>0.15</v>
      </c>
      <c r="F542" s="144">
        <v>12</v>
      </c>
      <c r="G542" s="144" t="s">
        <v>232</v>
      </c>
      <c r="H542" s="239" t="str">
        <f t="shared" si="43"/>
        <v>Акция_Пр.88 (15мая-31июля25)</v>
      </c>
    </row>
    <row r="543" spans="1:8" x14ac:dyDescent="0.3">
      <c r="A543" s="128" t="s">
        <v>187</v>
      </c>
      <c r="B543" s="129" t="s">
        <v>263</v>
      </c>
      <c r="C543" s="129" t="s">
        <v>21</v>
      </c>
      <c r="D543" s="129" t="str">
        <f t="shared" si="44"/>
        <v>Комплекс коммерческий Предприятие ПРОФ (1 пользователь)ОПТИМАЛЬНЫЙ12</v>
      </c>
      <c r="E543" s="145">
        <v>0.15</v>
      </c>
      <c r="F543" s="144">
        <v>12</v>
      </c>
      <c r="G543" s="144" t="s">
        <v>232</v>
      </c>
      <c r="H543" s="239" t="str">
        <f t="shared" si="43"/>
        <v>Акция_Пр.88 (15мая-31июля25)</v>
      </c>
    </row>
    <row r="544" spans="1:8" x14ac:dyDescent="0.3">
      <c r="A544" s="128" t="s">
        <v>187</v>
      </c>
      <c r="B544" s="129" t="s">
        <v>264</v>
      </c>
      <c r="C544" s="129" t="s">
        <v>21</v>
      </c>
      <c r="D544" s="129" t="str">
        <f t="shared" si="44"/>
        <v>Комплекс коммерческий VIP Предприятие (1 пользователь)ОПТИМАЛЬНЫЙ12</v>
      </c>
      <c r="E544" s="145">
        <v>0.15</v>
      </c>
      <c r="F544" s="144">
        <v>12</v>
      </c>
      <c r="G544" s="144" t="s">
        <v>232</v>
      </c>
      <c r="H544" s="239" t="str">
        <f t="shared" si="43"/>
        <v>Акция_Пр.88 (15мая-31июля25)</v>
      </c>
    </row>
    <row r="545" spans="1:8" x14ac:dyDescent="0.3">
      <c r="A545" s="128" t="s">
        <v>186</v>
      </c>
      <c r="B545" s="129" t="s">
        <v>259</v>
      </c>
      <c r="C545" s="129" t="s">
        <v>20</v>
      </c>
      <c r="D545" s="129" t="str">
        <f t="shared" ref="D545:D568" si="45">CONCATENATE(B545,C545,F545)</f>
        <v>Комплекс коммерческий Предприятие ПРОФЭКСПЕРТ12</v>
      </c>
      <c r="E545" s="145">
        <v>0.15</v>
      </c>
      <c r="F545" s="144">
        <v>12</v>
      </c>
      <c r="G545" s="144" t="s">
        <v>232</v>
      </c>
      <c r="H545" s="239" t="str">
        <f t="shared" si="43"/>
        <v>Акция_Пр.88 (15мая-31июля25)</v>
      </c>
    </row>
    <row r="546" spans="1:8" x14ac:dyDescent="0.3">
      <c r="A546" s="128" t="s">
        <v>186</v>
      </c>
      <c r="B546" s="129" t="s">
        <v>258</v>
      </c>
      <c r="C546" s="129" t="s">
        <v>20</v>
      </c>
      <c r="D546" s="129" t="str">
        <f t="shared" si="45"/>
        <v>Комплекс коммерческий ПредприятиеЭКСПЕРТ12</v>
      </c>
      <c r="E546" s="145">
        <v>0.15</v>
      </c>
      <c r="F546" s="144">
        <v>12</v>
      </c>
      <c r="G546" s="144" t="s">
        <v>232</v>
      </c>
      <c r="H546" s="239" t="str">
        <f t="shared" si="43"/>
        <v>Акция_Пр.88 (15мая-31июля25)</v>
      </c>
    </row>
    <row r="547" spans="1:8" x14ac:dyDescent="0.3">
      <c r="A547" s="128" t="s">
        <v>186</v>
      </c>
      <c r="B547" s="129" t="s">
        <v>257</v>
      </c>
      <c r="C547" s="129" t="s">
        <v>20</v>
      </c>
      <c r="D547" s="129" t="str">
        <f t="shared" si="45"/>
        <v>Комплекс коммерческий Главный Бухгалтер ПРОФЭКСПЕРТ12</v>
      </c>
      <c r="E547" s="145">
        <v>0.15</v>
      </c>
      <c r="F547" s="144">
        <v>12</v>
      </c>
      <c r="G547" s="144" t="s">
        <v>232</v>
      </c>
      <c r="H547" s="239" t="str">
        <f t="shared" si="43"/>
        <v>Акция_Пр.88 (15мая-31июля25)</v>
      </c>
    </row>
    <row r="548" spans="1:8" x14ac:dyDescent="0.3">
      <c r="A548" s="128" t="s">
        <v>186</v>
      </c>
      <c r="B548" s="129" t="s">
        <v>260</v>
      </c>
      <c r="C548" s="129" t="s">
        <v>20</v>
      </c>
      <c r="D548" s="129" t="str">
        <f t="shared" si="45"/>
        <v>Комплекс коммерческий VIP ПредприятиеЭКСПЕРТ12</v>
      </c>
      <c r="E548" s="145">
        <v>0.15</v>
      </c>
      <c r="F548" s="144">
        <v>12</v>
      </c>
      <c r="G548" s="144" t="s">
        <v>232</v>
      </c>
      <c r="H548" s="239" t="str">
        <f t="shared" si="43"/>
        <v>Акция_Пр.88 (15мая-31июля25)</v>
      </c>
    </row>
    <row r="549" spans="1:8" x14ac:dyDescent="0.3">
      <c r="A549" s="128" t="s">
        <v>186</v>
      </c>
      <c r="B549" s="129" t="s">
        <v>259</v>
      </c>
      <c r="C549" s="129" t="s">
        <v>21</v>
      </c>
      <c r="D549" s="129" t="str">
        <f t="shared" si="45"/>
        <v>Комплекс коммерческий Предприятие ПРОФОПТИМАЛЬНЫЙ12</v>
      </c>
      <c r="E549" s="145">
        <v>0.15</v>
      </c>
      <c r="F549" s="144">
        <v>12</v>
      </c>
      <c r="G549" s="144" t="s">
        <v>232</v>
      </c>
      <c r="H549" s="239" t="str">
        <f t="shared" si="43"/>
        <v>Акция_Пр.88 (15мая-31июля25)</v>
      </c>
    </row>
    <row r="550" spans="1:8" x14ac:dyDescent="0.3">
      <c r="A550" s="128" t="s">
        <v>186</v>
      </c>
      <c r="B550" s="129" t="s">
        <v>258</v>
      </c>
      <c r="C550" s="129" t="s">
        <v>21</v>
      </c>
      <c r="D550" s="129" t="str">
        <f t="shared" si="45"/>
        <v>Комплекс коммерческий ПредприятиеОПТИМАЛЬНЫЙ12</v>
      </c>
      <c r="E550" s="145">
        <v>0.15</v>
      </c>
      <c r="F550" s="144">
        <v>12</v>
      </c>
      <c r="G550" s="144" t="s">
        <v>232</v>
      </c>
      <c r="H550" s="239" t="str">
        <f t="shared" si="43"/>
        <v>Акция_Пр.88 (15мая-31июля25)</v>
      </c>
    </row>
    <row r="551" spans="1:8" x14ac:dyDescent="0.3">
      <c r="A551" s="128" t="s">
        <v>186</v>
      </c>
      <c r="B551" s="129" t="s">
        <v>257</v>
      </c>
      <c r="C551" s="129" t="s">
        <v>21</v>
      </c>
      <c r="D551" s="129" t="str">
        <f t="shared" si="45"/>
        <v>Комплекс коммерческий Главный Бухгалтер ПРОФОПТИМАЛЬНЫЙ12</v>
      </c>
      <c r="E551" s="145">
        <v>0.15</v>
      </c>
      <c r="F551" s="144">
        <v>12</v>
      </c>
      <c r="G551" s="144" t="s">
        <v>232</v>
      </c>
      <c r="H551" s="239" t="str">
        <f t="shared" si="43"/>
        <v>Акция_Пр.88 (15мая-31июля25)</v>
      </c>
    </row>
    <row r="552" spans="1:8" x14ac:dyDescent="0.3">
      <c r="A552" s="128" t="s">
        <v>186</v>
      </c>
      <c r="B552" s="129" t="s">
        <v>260</v>
      </c>
      <c r="C552" s="129" t="s">
        <v>21</v>
      </c>
      <c r="D552" s="129" t="str">
        <f t="shared" si="45"/>
        <v>Комплекс коммерческий VIP ПредприятиеОПТИМАЛЬНЫЙ12</v>
      </c>
      <c r="E552" s="145">
        <v>0.15</v>
      </c>
      <c r="F552" s="144">
        <v>12</v>
      </c>
      <c r="G552" s="144" t="s">
        <v>232</v>
      </c>
      <c r="H552" s="239" t="str">
        <f t="shared" si="43"/>
        <v>Акция_Пр.88 (15мая-31июля25)</v>
      </c>
    </row>
    <row r="553" spans="1:8" x14ac:dyDescent="0.3">
      <c r="A553" s="128" t="s">
        <v>186</v>
      </c>
      <c r="B553" s="129" t="s">
        <v>259</v>
      </c>
      <c r="C553" s="129" t="s">
        <v>189</v>
      </c>
      <c r="D553" s="129" t="str">
        <f t="shared" si="45"/>
        <v>Комплекс коммерческий Предприятие ПРОФЭКСПЕРТОПТИМАЛЬНЫЙ12</v>
      </c>
      <c r="E553" s="145">
        <v>0.15</v>
      </c>
      <c r="F553" s="144">
        <v>12</v>
      </c>
      <c r="G553" s="144" t="s">
        <v>232</v>
      </c>
      <c r="H553" s="239" t="str">
        <f t="shared" si="43"/>
        <v>Акция_Пр.88 (15мая-31июля25)</v>
      </c>
    </row>
    <row r="554" spans="1:8" x14ac:dyDescent="0.3">
      <c r="A554" s="128" t="s">
        <v>186</v>
      </c>
      <c r="B554" s="129" t="s">
        <v>258</v>
      </c>
      <c r="C554" s="129" t="s">
        <v>189</v>
      </c>
      <c r="D554" s="129" t="str">
        <f t="shared" si="45"/>
        <v>Комплекс коммерческий ПредприятиеЭКСПЕРТОПТИМАЛЬНЫЙ12</v>
      </c>
      <c r="E554" s="145">
        <v>0.15</v>
      </c>
      <c r="F554" s="144">
        <v>12</v>
      </c>
      <c r="G554" s="144" t="s">
        <v>232</v>
      </c>
      <c r="H554" s="239" t="str">
        <f t="shared" si="43"/>
        <v>Акция_Пр.88 (15мая-31июля25)</v>
      </c>
    </row>
    <row r="555" spans="1:8" x14ac:dyDescent="0.3">
      <c r="A555" s="128" t="s">
        <v>186</v>
      </c>
      <c r="B555" s="129" t="s">
        <v>257</v>
      </c>
      <c r="C555" s="129" t="s">
        <v>189</v>
      </c>
      <c r="D555" s="129" t="str">
        <f t="shared" si="45"/>
        <v>Комплекс коммерческий Главный Бухгалтер ПРОФЭКСПЕРТОПТИМАЛЬНЫЙ12</v>
      </c>
      <c r="E555" s="145">
        <v>0.15</v>
      </c>
      <c r="F555" s="144">
        <v>12</v>
      </c>
      <c r="G555" s="144" t="s">
        <v>232</v>
      </c>
      <c r="H555" s="239" t="str">
        <f t="shared" si="43"/>
        <v>Акция_Пр.88 (15мая-31июля25)</v>
      </c>
    </row>
    <row r="556" spans="1:8" x14ac:dyDescent="0.3">
      <c r="A556" s="128" t="s">
        <v>186</v>
      </c>
      <c r="B556" s="129" t="s">
        <v>260</v>
      </c>
      <c r="C556" s="129" t="s">
        <v>189</v>
      </c>
      <c r="D556" s="129" t="str">
        <f t="shared" si="45"/>
        <v>Комплекс коммерческий VIP ПредприятиеЭКСПЕРТОПТИМАЛЬНЫЙ12</v>
      </c>
      <c r="E556" s="145">
        <v>0.15</v>
      </c>
      <c r="F556" s="144">
        <v>12</v>
      </c>
      <c r="G556" s="144" t="s">
        <v>232</v>
      </c>
      <c r="H556" s="239" t="str">
        <f t="shared" si="43"/>
        <v>Акция_Пр.88 (15мая-31июля25)</v>
      </c>
    </row>
    <row r="557" spans="1:8" x14ac:dyDescent="0.3">
      <c r="A557" s="128" t="s">
        <v>186</v>
      </c>
      <c r="B557" s="129" t="s">
        <v>259</v>
      </c>
      <c r="C557" s="129" t="s">
        <v>190</v>
      </c>
      <c r="D557" s="129" t="str">
        <f t="shared" si="45"/>
        <v>Комплекс коммерческий Предприятие ПРОФЭКСПЕРТМИНИМАЛЬНЫЙ12</v>
      </c>
      <c r="E557" s="145">
        <v>0.15</v>
      </c>
      <c r="F557" s="144">
        <v>12</v>
      </c>
      <c r="G557" s="144" t="s">
        <v>232</v>
      </c>
      <c r="H557" s="239" t="str">
        <f t="shared" si="43"/>
        <v>Акция_Пр.88 (15мая-31июля25)</v>
      </c>
    </row>
    <row r="558" spans="1:8" x14ac:dyDescent="0.3">
      <c r="A558" s="128" t="s">
        <v>186</v>
      </c>
      <c r="B558" s="129" t="s">
        <v>258</v>
      </c>
      <c r="C558" s="129" t="s">
        <v>190</v>
      </c>
      <c r="D558" s="129" t="str">
        <f t="shared" si="45"/>
        <v>Комплекс коммерческий ПредприятиеЭКСПЕРТМИНИМАЛЬНЫЙ12</v>
      </c>
      <c r="E558" s="145">
        <v>0.15</v>
      </c>
      <c r="F558" s="144">
        <v>12</v>
      </c>
      <c r="G558" s="144" t="s">
        <v>232</v>
      </c>
      <c r="H558" s="239" t="str">
        <f t="shared" si="43"/>
        <v>Акция_Пр.88 (15мая-31июля25)</v>
      </c>
    </row>
    <row r="559" spans="1:8" x14ac:dyDescent="0.3">
      <c r="A559" s="128" t="s">
        <v>186</v>
      </c>
      <c r="B559" s="129" t="s">
        <v>257</v>
      </c>
      <c r="C559" s="129" t="s">
        <v>192</v>
      </c>
      <c r="D559" s="129" t="str">
        <f t="shared" si="45"/>
        <v>Комплекс коммерческий Главный Бухгалтер ПРОФЭКСПЕРТБАЗОВЫЙ12</v>
      </c>
      <c r="E559" s="145">
        <v>0.15</v>
      </c>
      <c r="F559" s="144">
        <v>12</v>
      </c>
      <c r="G559" s="144" t="s">
        <v>232</v>
      </c>
      <c r="H559" s="239" t="str">
        <f t="shared" si="43"/>
        <v>Акция_Пр.88 (15мая-31июля25)</v>
      </c>
    </row>
    <row r="560" spans="1:8" x14ac:dyDescent="0.3">
      <c r="A560" s="128" t="s">
        <v>186</v>
      </c>
      <c r="B560" s="129" t="s">
        <v>260</v>
      </c>
      <c r="C560" s="129" t="s">
        <v>190</v>
      </c>
      <c r="D560" s="129" t="str">
        <f t="shared" si="45"/>
        <v>Комплекс коммерческий VIP ПредприятиеЭКСПЕРТМИНИМАЛЬНЫЙ12</v>
      </c>
      <c r="E560" s="145">
        <v>0.15</v>
      </c>
      <c r="F560" s="144">
        <v>12</v>
      </c>
      <c r="G560" s="144" t="s">
        <v>232</v>
      </c>
      <c r="H560" s="239" t="str">
        <f t="shared" si="43"/>
        <v>Акция_Пр.88 (15мая-31июля25)</v>
      </c>
    </row>
    <row r="561" spans="1:8" x14ac:dyDescent="0.3">
      <c r="A561" s="128" t="s">
        <v>186</v>
      </c>
      <c r="B561" s="129" t="s">
        <v>259</v>
      </c>
      <c r="C561" s="129" t="s">
        <v>191</v>
      </c>
      <c r="D561" s="129" t="str">
        <f t="shared" si="45"/>
        <v>Комплекс коммерческий Предприятие ПРОФОПТИМАЛЬНЫЙМИНИМАЛЬНЫЙ</v>
      </c>
      <c r="E561" s="130"/>
      <c r="F561" s="129"/>
      <c r="G561" s="129"/>
      <c r="H561" s="138"/>
    </row>
    <row r="562" spans="1:8" x14ac:dyDescent="0.3">
      <c r="A562" s="128" t="s">
        <v>186</v>
      </c>
      <c r="B562" s="129" t="s">
        <v>258</v>
      </c>
      <c r="C562" s="129" t="s">
        <v>191</v>
      </c>
      <c r="D562" s="129" t="str">
        <f t="shared" si="45"/>
        <v>Комплекс коммерческий ПредприятиеОПТИМАЛЬНЫЙМИНИМАЛЬНЫЙ</v>
      </c>
      <c r="E562" s="130"/>
      <c r="F562" s="129"/>
      <c r="G562" s="129"/>
      <c r="H562" s="138"/>
    </row>
    <row r="563" spans="1:8" x14ac:dyDescent="0.3">
      <c r="A563" s="128" t="s">
        <v>186</v>
      </c>
      <c r="B563" s="129" t="s">
        <v>257</v>
      </c>
      <c r="C563" s="129" t="s">
        <v>234</v>
      </c>
      <c r="D563" s="129" t="str">
        <f t="shared" si="45"/>
        <v>Комплекс коммерческий Главный Бухгалтер ПРОФОПТИМАЛЬНЫЙБАЗОВЫЙ</v>
      </c>
      <c r="E563" s="130"/>
      <c r="F563" s="129"/>
      <c r="G563" s="129"/>
      <c r="H563" s="138"/>
    </row>
    <row r="564" spans="1:8" x14ac:dyDescent="0.3">
      <c r="A564" s="128" t="s">
        <v>186</v>
      </c>
      <c r="B564" s="129" t="s">
        <v>260</v>
      </c>
      <c r="C564" s="129" t="s">
        <v>191</v>
      </c>
      <c r="D564" s="129" t="str">
        <f t="shared" si="45"/>
        <v>Комплекс коммерческий VIP ПредприятиеОПТИМАЛЬНЫЙМИНИМАЛЬНЫЙ</v>
      </c>
      <c r="E564" s="130"/>
      <c r="F564" s="129"/>
      <c r="G564" s="129"/>
      <c r="H564" s="138"/>
    </row>
    <row r="565" spans="1:8" x14ac:dyDescent="0.3">
      <c r="A565" s="128" t="s">
        <v>186</v>
      </c>
      <c r="B565" s="129" t="s">
        <v>259</v>
      </c>
      <c r="C565" s="129" t="s">
        <v>194</v>
      </c>
      <c r="D565" s="129" t="str">
        <f t="shared" si="45"/>
        <v>Комплекс коммерческий Предприятие ПРОФЭКСПЕРТОПТИМАЛЬНЫЙМИНИМАЛЬНЫЙ12</v>
      </c>
      <c r="E565" s="151">
        <v>0.15</v>
      </c>
      <c r="F565" s="152">
        <v>12</v>
      </c>
      <c r="G565" s="152" t="s">
        <v>232</v>
      </c>
      <c r="H565" s="239" t="str">
        <f t="shared" si="43"/>
        <v>Акция_Пр.88 (15мая-31июля25)</v>
      </c>
    </row>
    <row r="566" spans="1:8" x14ac:dyDescent="0.3">
      <c r="A566" s="128" t="s">
        <v>186</v>
      </c>
      <c r="B566" s="129" t="s">
        <v>258</v>
      </c>
      <c r="C566" s="129" t="s">
        <v>194</v>
      </c>
      <c r="D566" s="129" t="str">
        <f t="shared" si="45"/>
        <v>Комплекс коммерческий ПредприятиеЭКСПЕРТОПТИМАЛЬНЫЙМИНИМАЛЬНЫЙ12</v>
      </c>
      <c r="E566" s="151">
        <v>0.15</v>
      </c>
      <c r="F566" s="152">
        <v>12</v>
      </c>
      <c r="G566" s="152" t="s">
        <v>232</v>
      </c>
      <c r="H566" s="239" t="str">
        <f t="shared" si="43"/>
        <v>Акция_Пр.88 (15мая-31июля25)</v>
      </c>
    </row>
    <row r="567" spans="1:8" x14ac:dyDescent="0.3">
      <c r="A567" s="128" t="s">
        <v>186</v>
      </c>
      <c r="B567" s="129" t="s">
        <v>257</v>
      </c>
      <c r="C567" s="129" t="s">
        <v>195</v>
      </c>
      <c r="D567" s="129" t="str">
        <f t="shared" si="45"/>
        <v>Комплекс коммерческий Главный Бухгалтер ПРОФЭКСПЕРТОПТИМАЛЬНЫЙБАЗОВЫЙ12</v>
      </c>
      <c r="E567" s="151">
        <v>0.15</v>
      </c>
      <c r="F567" s="152">
        <v>12</v>
      </c>
      <c r="G567" s="152" t="s">
        <v>232</v>
      </c>
      <c r="H567" s="239" t="str">
        <f t="shared" si="43"/>
        <v>Акция_Пр.88 (15мая-31июля25)</v>
      </c>
    </row>
    <row r="568" spans="1:8" ht="14.4" thickBot="1" x14ac:dyDescent="0.35">
      <c r="A568" s="251" t="s">
        <v>186</v>
      </c>
      <c r="B568" s="252" t="s">
        <v>260</v>
      </c>
      <c r="C568" s="252" t="s">
        <v>194</v>
      </c>
      <c r="D568" s="252" t="str">
        <f t="shared" si="45"/>
        <v>Комплекс коммерческий VIP ПредприятиеЭКСПЕРТОПТИМАЛЬНЫЙМИНИМАЛЬНЫЙ12</v>
      </c>
      <c r="E568" s="253">
        <v>0.15</v>
      </c>
      <c r="F568" s="254">
        <v>12</v>
      </c>
      <c r="G568" s="254" t="s">
        <v>232</v>
      </c>
      <c r="H568" s="255" t="str">
        <f t="shared" si="43"/>
        <v>Акция_Пр.88 (15мая-31июля25)</v>
      </c>
    </row>
    <row r="569" spans="1:8" ht="14.4" thickTop="1" x14ac:dyDescent="0.3">
      <c r="A569" s="234" t="s">
        <v>187</v>
      </c>
      <c r="B569" s="169" t="s">
        <v>50</v>
      </c>
      <c r="C569" s="169" t="s">
        <v>20</v>
      </c>
      <c r="D569" s="169" t="str">
        <f t="shared" ref="D569:D587" si="46">_xlfn.CONCAT(B569,C569,F569)</f>
        <v>Предприятие (1 пользователь)ЭКСПЕРТ6</v>
      </c>
      <c r="E569" s="235">
        <v>0</v>
      </c>
      <c r="F569" s="236">
        <v>6</v>
      </c>
      <c r="G569" s="236" t="s">
        <v>231</v>
      </c>
      <c r="H569" s="256">
        <f t="shared" ref="H569:H583" si="47">$B$43</f>
        <v>0</v>
      </c>
    </row>
    <row r="570" spans="1:8" x14ac:dyDescent="0.3">
      <c r="A570" s="128" t="s">
        <v>187</v>
      </c>
      <c r="B570" s="129" t="s">
        <v>51</v>
      </c>
      <c r="C570" s="129" t="s">
        <v>20</v>
      </c>
      <c r="D570" s="129" t="str">
        <f t="shared" si="46"/>
        <v>Предприятие ПРОФ (1 пользователь)ЭКСПЕРТ6</v>
      </c>
      <c r="E570" s="235">
        <v>0</v>
      </c>
      <c r="F570" s="144">
        <v>6</v>
      </c>
      <c r="G570" s="144" t="s">
        <v>231</v>
      </c>
      <c r="H570" s="256">
        <f t="shared" si="47"/>
        <v>0</v>
      </c>
    </row>
    <row r="571" spans="1:8" x14ac:dyDescent="0.3">
      <c r="A571" s="128" t="s">
        <v>187</v>
      </c>
      <c r="B571" s="129" t="s">
        <v>49</v>
      </c>
      <c r="C571" s="129" t="s">
        <v>20</v>
      </c>
      <c r="D571" s="129" t="str">
        <f t="shared" si="46"/>
        <v>Главный Бухгалтер ПРОФ (1 пользователь)ЭКСПЕРТ6</v>
      </c>
      <c r="E571" s="130">
        <v>0</v>
      </c>
      <c r="F571" s="144">
        <v>6</v>
      </c>
      <c r="G571" s="144" t="s">
        <v>231</v>
      </c>
      <c r="H571" s="256">
        <f t="shared" si="47"/>
        <v>0</v>
      </c>
    </row>
    <row r="572" spans="1:8" x14ac:dyDescent="0.3">
      <c r="A572" s="128" t="s">
        <v>187</v>
      </c>
      <c r="B572" s="129" t="s">
        <v>73</v>
      </c>
      <c r="C572" s="129" t="s">
        <v>20</v>
      </c>
      <c r="D572" s="129" t="str">
        <f t="shared" si="46"/>
        <v>VIP Предприятие (1 пользователь)ЭКСПЕРТ6</v>
      </c>
      <c r="E572" s="235">
        <v>0</v>
      </c>
      <c r="F572" s="144">
        <v>6</v>
      </c>
      <c r="G572" s="144" t="s">
        <v>231</v>
      </c>
      <c r="H572" s="256">
        <f t="shared" si="47"/>
        <v>0</v>
      </c>
    </row>
    <row r="573" spans="1:8" x14ac:dyDescent="0.3">
      <c r="A573" s="128" t="s">
        <v>187</v>
      </c>
      <c r="B573" s="129" t="s">
        <v>314</v>
      </c>
      <c r="C573" s="129" t="s">
        <v>20</v>
      </c>
      <c r="D573" s="129" t="str">
        <f t="shared" si="46"/>
        <v>Пакет Программ Главный Бухгалтер, Podpis (1 пользователь, ЛД)ЭКСПЕРТ6</v>
      </c>
      <c r="E573" s="145">
        <v>0.15</v>
      </c>
      <c r="F573" s="144">
        <v>6</v>
      </c>
      <c r="G573" s="129"/>
      <c r="H573" s="256">
        <f t="shared" si="47"/>
        <v>0</v>
      </c>
    </row>
    <row r="574" spans="1:8" x14ac:dyDescent="0.3">
      <c r="A574" s="128" t="s">
        <v>187</v>
      </c>
      <c r="B574" s="129" t="s">
        <v>312</v>
      </c>
      <c r="C574" s="129" t="s">
        <v>20</v>
      </c>
      <c r="D574" s="129" t="str">
        <f t="shared" si="46"/>
        <v>Пакет Программ Главный Бухгалтер, Podpis, ilex.Накладные (1 пользователь, ЛД)ЭКСПЕРТ6</v>
      </c>
      <c r="E574" s="145">
        <v>0.15</v>
      </c>
      <c r="F574" s="144">
        <v>6</v>
      </c>
      <c r="G574" s="129"/>
      <c r="H574" s="256">
        <f t="shared" si="47"/>
        <v>0</v>
      </c>
    </row>
    <row r="575" spans="1:8" x14ac:dyDescent="0.3">
      <c r="A575" s="128" t="s">
        <v>187</v>
      </c>
      <c r="B575" s="129" t="s">
        <v>315</v>
      </c>
      <c r="C575" s="129" t="s">
        <v>20</v>
      </c>
      <c r="D575" s="129" t="str">
        <f t="shared" si="46"/>
        <v>Пакет Программ Главный Бухгалтер ПРОФ, Podpis (1 пользователь, ЛД)ЭКСПЕРТ6</v>
      </c>
      <c r="E575" s="145">
        <v>0.15</v>
      </c>
      <c r="F575" s="144">
        <v>6</v>
      </c>
      <c r="G575" s="129"/>
      <c r="H575" s="256">
        <f t="shared" si="47"/>
        <v>0</v>
      </c>
    </row>
    <row r="576" spans="1:8" x14ac:dyDescent="0.3">
      <c r="A576" s="128" t="s">
        <v>187</v>
      </c>
      <c r="B576" s="129" t="s">
        <v>313</v>
      </c>
      <c r="C576" s="129" t="s">
        <v>20</v>
      </c>
      <c r="D576" s="129" t="str">
        <f t="shared" si="46"/>
        <v>Пакет Программ Главный Бухгалтер ПРОФ, Podpis, ilex.Накладные (1 пользователь, ЛД)ЭКСПЕРТ6</v>
      </c>
      <c r="E576" s="145">
        <v>0.15</v>
      </c>
      <c r="F576" s="144">
        <v>6</v>
      </c>
      <c r="G576" s="129"/>
      <c r="H576" s="256">
        <f t="shared" si="47"/>
        <v>0</v>
      </c>
    </row>
    <row r="577" spans="1:8" x14ac:dyDescent="0.3">
      <c r="A577" s="128" t="s">
        <v>187</v>
      </c>
      <c r="B577" s="129" t="s">
        <v>314</v>
      </c>
      <c r="C577" s="129" t="s">
        <v>188</v>
      </c>
      <c r="D577" s="129" t="str">
        <f t="shared" si="46"/>
        <v>Пакет Программ Главный Бухгалтер, Podpis (1 пользователь, ЛД)ОПТИМАЛЬНЫЙ ПЛЮС6</v>
      </c>
      <c r="E577" s="145">
        <v>0.15</v>
      </c>
      <c r="F577" s="144">
        <v>6</v>
      </c>
      <c r="G577" s="129"/>
      <c r="H577" s="256">
        <f t="shared" si="47"/>
        <v>0</v>
      </c>
    </row>
    <row r="578" spans="1:8" x14ac:dyDescent="0.3">
      <c r="A578" s="128" t="s">
        <v>187</v>
      </c>
      <c r="B578" s="129" t="s">
        <v>312</v>
      </c>
      <c r="C578" s="129" t="s">
        <v>188</v>
      </c>
      <c r="D578" s="129" t="str">
        <f t="shared" si="46"/>
        <v>Пакет Программ Главный Бухгалтер, Podpis, ilex.Накладные (1 пользователь, ЛД)ОПТИМАЛЬНЫЙ ПЛЮС6</v>
      </c>
      <c r="E578" s="145">
        <v>0.15</v>
      </c>
      <c r="F578" s="144">
        <v>6</v>
      </c>
      <c r="G578" s="129"/>
      <c r="H578" s="256">
        <f t="shared" si="47"/>
        <v>0</v>
      </c>
    </row>
    <row r="579" spans="1:8" x14ac:dyDescent="0.3">
      <c r="A579" s="128" t="s">
        <v>187</v>
      </c>
      <c r="B579" s="129" t="s">
        <v>315</v>
      </c>
      <c r="C579" s="129" t="s">
        <v>188</v>
      </c>
      <c r="D579" s="129" t="str">
        <f t="shared" si="46"/>
        <v>Пакет Программ Главный Бухгалтер ПРОФ, Podpis (1 пользователь, ЛД)ОПТИМАЛЬНЫЙ ПЛЮС6</v>
      </c>
      <c r="E579" s="145">
        <v>0.15</v>
      </c>
      <c r="F579" s="144">
        <v>6</v>
      </c>
      <c r="G579" s="129"/>
      <c r="H579" s="256">
        <f t="shared" si="47"/>
        <v>0</v>
      </c>
    </row>
    <row r="580" spans="1:8" x14ac:dyDescent="0.3">
      <c r="A580" s="128" t="s">
        <v>187</v>
      </c>
      <c r="B580" s="129" t="s">
        <v>313</v>
      </c>
      <c r="C580" s="129" t="s">
        <v>188</v>
      </c>
      <c r="D580" s="129" t="str">
        <f t="shared" si="46"/>
        <v>Пакет Программ Главный Бухгалтер ПРОФ, Podpis, ilex.Накладные (1 пользователь, ЛД)ОПТИМАЛЬНЫЙ ПЛЮС6</v>
      </c>
      <c r="E580" s="145">
        <v>0.15</v>
      </c>
      <c r="F580" s="144">
        <v>6</v>
      </c>
      <c r="G580" s="129"/>
      <c r="H580" s="256">
        <f t="shared" si="47"/>
        <v>0</v>
      </c>
    </row>
    <row r="581" spans="1:8" x14ac:dyDescent="0.3">
      <c r="A581" s="128" t="s">
        <v>187</v>
      </c>
      <c r="B581" s="129" t="s">
        <v>50</v>
      </c>
      <c r="C581" s="129" t="s">
        <v>21</v>
      </c>
      <c r="D581" s="129" t="str">
        <f t="shared" si="46"/>
        <v>Предприятие (1 пользователь)ОПТИМАЛЬНЫЙ6</v>
      </c>
      <c r="E581" s="235">
        <v>0</v>
      </c>
      <c r="F581" s="144">
        <v>6</v>
      </c>
      <c r="G581" s="144" t="s">
        <v>231</v>
      </c>
      <c r="H581" s="256">
        <f t="shared" si="47"/>
        <v>0</v>
      </c>
    </row>
    <row r="582" spans="1:8" x14ac:dyDescent="0.3">
      <c r="A582" s="128" t="s">
        <v>187</v>
      </c>
      <c r="B582" s="129" t="s">
        <v>51</v>
      </c>
      <c r="C582" s="129" t="s">
        <v>21</v>
      </c>
      <c r="D582" s="129" t="str">
        <f t="shared" si="46"/>
        <v>Предприятие ПРОФ (1 пользователь)ОПТИМАЛЬНЫЙ6</v>
      </c>
      <c r="E582" s="235">
        <v>0</v>
      </c>
      <c r="F582" s="144">
        <v>6</v>
      </c>
      <c r="G582" s="144" t="s">
        <v>231</v>
      </c>
      <c r="H582" s="256">
        <f t="shared" si="47"/>
        <v>0</v>
      </c>
    </row>
    <row r="583" spans="1:8" x14ac:dyDescent="0.3">
      <c r="A583" s="128" t="s">
        <v>187</v>
      </c>
      <c r="B583" s="129" t="s">
        <v>73</v>
      </c>
      <c r="C583" s="129" t="s">
        <v>21</v>
      </c>
      <c r="D583" s="129" t="str">
        <f t="shared" si="46"/>
        <v>VIP Предприятие (1 пользователь)ОПТИМАЛЬНЫЙ6</v>
      </c>
      <c r="E583" s="235">
        <v>0</v>
      </c>
      <c r="F583" s="144">
        <v>6</v>
      </c>
      <c r="G583" s="144" t="s">
        <v>231</v>
      </c>
      <c r="H583" s="256">
        <f t="shared" si="47"/>
        <v>0</v>
      </c>
    </row>
    <row r="584" spans="1:8" x14ac:dyDescent="0.3">
      <c r="A584" s="128" t="s">
        <v>187</v>
      </c>
      <c r="B584" s="129" t="s">
        <v>314</v>
      </c>
      <c r="C584" s="129" t="s">
        <v>21</v>
      </c>
      <c r="D584" s="129" t="str">
        <f t="shared" si="46"/>
        <v>Пакет Программ Главный Бухгалтер, Podpis (1 пользователь, ЛД)ОПТИМАЛЬНЫЙ6</v>
      </c>
      <c r="E584" s="130"/>
      <c r="F584" s="129">
        <v>6</v>
      </c>
      <c r="G584" s="129"/>
      <c r="H584" s="138"/>
    </row>
    <row r="585" spans="1:8" x14ac:dyDescent="0.3">
      <c r="A585" s="128" t="s">
        <v>187</v>
      </c>
      <c r="B585" s="129" t="s">
        <v>312</v>
      </c>
      <c r="C585" s="129" t="s">
        <v>21</v>
      </c>
      <c r="D585" s="129" t="str">
        <f t="shared" si="46"/>
        <v>Пакет Программ Главный Бухгалтер, Podpis, ilex.Накладные (1 пользователь, ЛД)ОПТИМАЛЬНЫЙ6</v>
      </c>
      <c r="E585" s="130"/>
      <c r="F585" s="129">
        <v>6</v>
      </c>
      <c r="G585" s="129"/>
      <c r="H585" s="138"/>
    </row>
    <row r="586" spans="1:8" x14ac:dyDescent="0.3">
      <c r="A586" s="128" t="s">
        <v>187</v>
      </c>
      <c r="B586" s="129" t="s">
        <v>315</v>
      </c>
      <c r="C586" s="129" t="s">
        <v>21</v>
      </c>
      <c r="D586" s="129" t="str">
        <f t="shared" si="46"/>
        <v>Пакет Программ Главный Бухгалтер ПРОФ, Podpis (1 пользователь, ЛД)ОПТИМАЛЬНЫЙ6</v>
      </c>
      <c r="E586" s="145">
        <v>0.15</v>
      </c>
      <c r="F586" s="144">
        <v>6</v>
      </c>
      <c r="G586" s="129"/>
      <c r="H586" s="256">
        <f t="shared" ref="H586:H626" si="48">$B$43</f>
        <v>0</v>
      </c>
    </row>
    <row r="587" spans="1:8" x14ac:dyDescent="0.3">
      <c r="A587" s="128" t="s">
        <v>187</v>
      </c>
      <c r="B587" s="129" t="s">
        <v>313</v>
      </c>
      <c r="C587" s="129" t="s">
        <v>21</v>
      </c>
      <c r="D587" s="129" t="str">
        <f t="shared" si="46"/>
        <v>Пакет Программ Главный Бухгалтер ПРОФ, Podpis, ilex.Накладные (1 пользователь, ЛД)ОПТИМАЛЬНЫЙ6</v>
      </c>
      <c r="E587" s="145">
        <v>0.15</v>
      </c>
      <c r="F587" s="144">
        <v>6</v>
      </c>
      <c r="G587" s="129"/>
      <c r="H587" s="256">
        <f t="shared" si="48"/>
        <v>0</v>
      </c>
    </row>
    <row r="588" spans="1:8" x14ac:dyDescent="0.3">
      <c r="A588" s="128" t="s">
        <v>186</v>
      </c>
      <c r="B588" s="129" t="s">
        <v>9</v>
      </c>
      <c r="C588" s="129" t="s">
        <v>20</v>
      </c>
      <c r="D588" s="129" t="str">
        <f t="shared" ref="D588:D611" si="49">CONCATENATE(B588,C588,F588)</f>
        <v>Предприятие ПРОФЭКСПЕРТ6</v>
      </c>
      <c r="E588" s="130">
        <v>0</v>
      </c>
      <c r="F588" s="144">
        <v>6</v>
      </c>
      <c r="G588" s="144" t="s">
        <v>231</v>
      </c>
      <c r="H588" s="256">
        <f t="shared" si="48"/>
        <v>0</v>
      </c>
    </row>
    <row r="589" spans="1:8" x14ac:dyDescent="0.3">
      <c r="A589" s="128" t="s">
        <v>186</v>
      </c>
      <c r="B589" s="129" t="s">
        <v>4</v>
      </c>
      <c r="C589" s="129" t="s">
        <v>20</v>
      </c>
      <c r="D589" s="129" t="str">
        <f t="shared" si="49"/>
        <v>ПредприятиеЭКСПЕРТ6</v>
      </c>
      <c r="E589" s="130">
        <v>0</v>
      </c>
      <c r="F589" s="144">
        <v>6</v>
      </c>
      <c r="G589" s="144" t="s">
        <v>231</v>
      </c>
      <c r="H589" s="256">
        <f t="shared" si="48"/>
        <v>0</v>
      </c>
    </row>
    <row r="590" spans="1:8" x14ac:dyDescent="0.3">
      <c r="A590" s="128" t="s">
        <v>186</v>
      </c>
      <c r="B590" s="129" t="s">
        <v>10</v>
      </c>
      <c r="C590" s="129" t="s">
        <v>20</v>
      </c>
      <c r="D590" s="129" t="str">
        <f t="shared" si="49"/>
        <v>Главный Бухгалтер ПРОФЭКСПЕРТ6</v>
      </c>
      <c r="E590" s="130">
        <v>0</v>
      </c>
      <c r="F590" s="144">
        <v>6</v>
      </c>
      <c r="G590" s="144" t="s">
        <v>231</v>
      </c>
      <c r="H590" s="256">
        <f t="shared" si="48"/>
        <v>0</v>
      </c>
    </row>
    <row r="591" spans="1:8" x14ac:dyDescent="0.3">
      <c r="A591" s="128" t="s">
        <v>186</v>
      </c>
      <c r="B591" s="129" t="s">
        <v>11</v>
      </c>
      <c r="C591" s="129" t="s">
        <v>20</v>
      </c>
      <c r="D591" s="129" t="str">
        <f t="shared" si="49"/>
        <v>VIP ПредприятиеЭКСПЕРТ6</v>
      </c>
      <c r="E591" s="130">
        <v>0</v>
      </c>
      <c r="F591" s="144">
        <v>6</v>
      </c>
      <c r="G591" s="144" t="s">
        <v>231</v>
      </c>
      <c r="H591" s="256">
        <f t="shared" si="48"/>
        <v>0</v>
      </c>
    </row>
    <row r="592" spans="1:8" x14ac:dyDescent="0.3">
      <c r="A592" s="128" t="s">
        <v>186</v>
      </c>
      <c r="B592" s="129" t="s">
        <v>9</v>
      </c>
      <c r="C592" s="129" t="s">
        <v>21</v>
      </c>
      <c r="D592" s="129" t="str">
        <f t="shared" si="49"/>
        <v>Предприятие ПРОФОПТИМАЛЬНЫЙ6</v>
      </c>
      <c r="E592" s="130">
        <v>0</v>
      </c>
      <c r="F592" s="144">
        <v>6</v>
      </c>
      <c r="G592" s="144" t="s">
        <v>231</v>
      </c>
      <c r="H592" s="256">
        <f t="shared" si="48"/>
        <v>0</v>
      </c>
    </row>
    <row r="593" spans="1:8" x14ac:dyDescent="0.3">
      <c r="A593" s="128" t="s">
        <v>186</v>
      </c>
      <c r="B593" s="129" t="s">
        <v>4</v>
      </c>
      <c r="C593" s="129" t="s">
        <v>21</v>
      </c>
      <c r="D593" s="129" t="str">
        <f t="shared" si="49"/>
        <v>ПредприятиеОПТИМАЛЬНЫЙ6</v>
      </c>
      <c r="E593" s="130">
        <v>0</v>
      </c>
      <c r="F593" s="144">
        <v>6</v>
      </c>
      <c r="G593" s="144" t="s">
        <v>231</v>
      </c>
      <c r="H593" s="256">
        <f t="shared" si="48"/>
        <v>0</v>
      </c>
    </row>
    <row r="594" spans="1:8" x14ac:dyDescent="0.3">
      <c r="A594" s="128" t="s">
        <v>186</v>
      </c>
      <c r="B594" s="129" t="s">
        <v>10</v>
      </c>
      <c r="C594" s="129" t="s">
        <v>21</v>
      </c>
      <c r="D594" s="129" t="str">
        <f t="shared" si="49"/>
        <v>Главный Бухгалтер ПРОФОПТИМАЛЬНЫЙ6</v>
      </c>
      <c r="E594" s="130">
        <v>0</v>
      </c>
      <c r="F594" s="144">
        <v>6</v>
      </c>
      <c r="G594" s="144" t="s">
        <v>231</v>
      </c>
      <c r="H594" s="256">
        <f t="shared" si="48"/>
        <v>0</v>
      </c>
    </row>
    <row r="595" spans="1:8" x14ac:dyDescent="0.3">
      <c r="A595" s="128" t="s">
        <v>186</v>
      </c>
      <c r="B595" s="129" t="s">
        <v>11</v>
      </c>
      <c r="C595" s="129" t="s">
        <v>21</v>
      </c>
      <c r="D595" s="129" t="str">
        <f t="shared" si="49"/>
        <v>VIP ПредприятиеОПТИМАЛЬНЫЙ6</v>
      </c>
      <c r="E595" s="130">
        <v>0</v>
      </c>
      <c r="F595" s="144">
        <v>6</v>
      </c>
      <c r="G595" s="144" t="s">
        <v>231</v>
      </c>
      <c r="H595" s="256">
        <f t="shared" si="48"/>
        <v>0</v>
      </c>
    </row>
    <row r="596" spans="1:8" x14ac:dyDescent="0.3">
      <c r="A596" s="128" t="s">
        <v>186</v>
      </c>
      <c r="B596" s="129" t="s">
        <v>9</v>
      </c>
      <c r="C596" s="129" t="s">
        <v>189</v>
      </c>
      <c r="D596" s="129" t="str">
        <f t="shared" si="49"/>
        <v>Предприятие ПРОФЭКСПЕРТОПТИМАЛЬНЫЙ6</v>
      </c>
      <c r="E596" s="130">
        <v>0</v>
      </c>
      <c r="F596" s="144">
        <v>6</v>
      </c>
      <c r="G596" s="144" t="s">
        <v>231</v>
      </c>
      <c r="H596" s="256">
        <f t="shared" si="48"/>
        <v>0</v>
      </c>
    </row>
    <row r="597" spans="1:8" x14ac:dyDescent="0.3">
      <c r="A597" s="128" t="s">
        <v>186</v>
      </c>
      <c r="B597" s="129" t="s">
        <v>4</v>
      </c>
      <c r="C597" s="129" t="s">
        <v>189</v>
      </c>
      <c r="D597" s="129" t="str">
        <f t="shared" si="49"/>
        <v>ПредприятиеЭКСПЕРТОПТИМАЛЬНЫЙ6</v>
      </c>
      <c r="E597" s="130">
        <v>0</v>
      </c>
      <c r="F597" s="144">
        <v>6</v>
      </c>
      <c r="G597" s="144" t="s">
        <v>231</v>
      </c>
      <c r="H597" s="256">
        <f t="shared" si="48"/>
        <v>0</v>
      </c>
    </row>
    <row r="598" spans="1:8" x14ac:dyDescent="0.3">
      <c r="A598" s="128" t="s">
        <v>186</v>
      </c>
      <c r="B598" s="129" t="s">
        <v>10</v>
      </c>
      <c r="C598" s="129" t="s">
        <v>189</v>
      </c>
      <c r="D598" s="129" t="str">
        <f t="shared" si="49"/>
        <v>Главный Бухгалтер ПРОФЭКСПЕРТОПТИМАЛЬНЫЙ6</v>
      </c>
      <c r="E598" s="130">
        <v>0</v>
      </c>
      <c r="F598" s="144">
        <v>6</v>
      </c>
      <c r="G598" s="144" t="s">
        <v>231</v>
      </c>
      <c r="H598" s="256">
        <f t="shared" si="48"/>
        <v>0</v>
      </c>
    </row>
    <row r="599" spans="1:8" x14ac:dyDescent="0.3">
      <c r="A599" s="128" t="s">
        <v>186</v>
      </c>
      <c r="B599" s="129" t="s">
        <v>11</v>
      </c>
      <c r="C599" s="129" t="s">
        <v>189</v>
      </c>
      <c r="D599" s="129" t="str">
        <f t="shared" si="49"/>
        <v>VIP ПредприятиеЭКСПЕРТОПТИМАЛЬНЫЙ6</v>
      </c>
      <c r="E599" s="130">
        <v>0</v>
      </c>
      <c r="F599" s="144">
        <v>6</v>
      </c>
      <c r="G599" s="144" t="s">
        <v>231</v>
      </c>
      <c r="H599" s="256">
        <f t="shared" si="48"/>
        <v>0</v>
      </c>
    </row>
    <row r="600" spans="1:8" x14ac:dyDescent="0.3">
      <c r="A600" s="128" t="s">
        <v>186</v>
      </c>
      <c r="B600" s="129" t="s">
        <v>9</v>
      </c>
      <c r="C600" s="129" t="s">
        <v>190</v>
      </c>
      <c r="D600" s="129" t="str">
        <f t="shared" si="49"/>
        <v>Предприятие ПРОФЭКСПЕРТМИНИМАЛЬНЫЙ6</v>
      </c>
      <c r="E600" s="130">
        <v>0</v>
      </c>
      <c r="F600" s="144">
        <v>6</v>
      </c>
      <c r="G600" s="144" t="s">
        <v>231</v>
      </c>
      <c r="H600" s="256">
        <f t="shared" si="48"/>
        <v>0</v>
      </c>
    </row>
    <row r="601" spans="1:8" x14ac:dyDescent="0.3">
      <c r="A601" s="128" t="s">
        <v>186</v>
      </c>
      <c r="B601" s="129" t="s">
        <v>4</v>
      </c>
      <c r="C601" s="129" t="s">
        <v>190</v>
      </c>
      <c r="D601" s="129" t="str">
        <f t="shared" si="49"/>
        <v>ПредприятиеЭКСПЕРТМИНИМАЛЬНЫЙ6</v>
      </c>
      <c r="E601" s="130">
        <v>0</v>
      </c>
      <c r="F601" s="144">
        <v>6</v>
      </c>
      <c r="G601" s="144" t="s">
        <v>231</v>
      </c>
      <c r="H601" s="256">
        <f t="shared" si="48"/>
        <v>0</v>
      </c>
    </row>
    <row r="602" spans="1:8" x14ac:dyDescent="0.3">
      <c r="A602" s="128" t="s">
        <v>186</v>
      </c>
      <c r="B602" s="129" t="s">
        <v>10</v>
      </c>
      <c r="C602" s="129" t="s">
        <v>192</v>
      </c>
      <c r="D602" s="129" t="str">
        <f t="shared" si="49"/>
        <v>Главный Бухгалтер ПРОФЭКСПЕРТБАЗОВЫЙ6</v>
      </c>
      <c r="E602" s="130">
        <v>0</v>
      </c>
      <c r="F602" s="144">
        <v>6</v>
      </c>
      <c r="G602" s="144" t="s">
        <v>231</v>
      </c>
      <c r="H602" s="256">
        <f t="shared" si="48"/>
        <v>0</v>
      </c>
    </row>
    <row r="603" spans="1:8" x14ac:dyDescent="0.3">
      <c r="A603" s="128" t="s">
        <v>186</v>
      </c>
      <c r="B603" s="129" t="s">
        <v>11</v>
      </c>
      <c r="C603" s="129" t="s">
        <v>190</v>
      </c>
      <c r="D603" s="129" t="str">
        <f t="shared" si="49"/>
        <v>VIP ПредприятиеЭКСПЕРТМИНИМАЛЬНЫЙ6</v>
      </c>
      <c r="E603" s="130">
        <v>0</v>
      </c>
      <c r="F603" s="144">
        <v>6</v>
      </c>
      <c r="G603" s="144" t="s">
        <v>231</v>
      </c>
      <c r="H603" s="256">
        <f t="shared" si="48"/>
        <v>0</v>
      </c>
    </row>
    <row r="604" spans="1:8" x14ac:dyDescent="0.3">
      <c r="A604" s="128" t="s">
        <v>186</v>
      </c>
      <c r="B604" s="129" t="s">
        <v>9</v>
      </c>
      <c r="C604" s="129" t="s">
        <v>191</v>
      </c>
      <c r="D604" s="129" t="str">
        <f t="shared" si="49"/>
        <v>Предприятие ПРОФОПТИМАЛЬНЫЙМИНИМАЛЬНЫЙ6</v>
      </c>
      <c r="E604" s="130">
        <v>0</v>
      </c>
      <c r="F604" s="144">
        <v>6</v>
      </c>
      <c r="G604" s="144" t="s">
        <v>231</v>
      </c>
      <c r="H604" s="256">
        <f t="shared" si="48"/>
        <v>0</v>
      </c>
    </row>
    <row r="605" spans="1:8" x14ac:dyDescent="0.3">
      <c r="A605" s="128" t="s">
        <v>186</v>
      </c>
      <c r="B605" s="129" t="s">
        <v>4</v>
      </c>
      <c r="C605" s="129" t="s">
        <v>191</v>
      </c>
      <c r="D605" s="129" t="str">
        <f t="shared" si="49"/>
        <v>ПредприятиеОПТИМАЛЬНЫЙМИНИМАЛЬНЫЙ6</v>
      </c>
      <c r="E605" s="130">
        <v>0</v>
      </c>
      <c r="F605" s="144">
        <v>6</v>
      </c>
      <c r="G605" s="144" t="s">
        <v>231</v>
      </c>
      <c r="H605" s="256">
        <f t="shared" si="48"/>
        <v>0</v>
      </c>
    </row>
    <row r="606" spans="1:8" x14ac:dyDescent="0.3">
      <c r="A606" s="128" t="s">
        <v>186</v>
      </c>
      <c r="B606" s="129" t="s">
        <v>10</v>
      </c>
      <c r="C606" s="129" t="s">
        <v>234</v>
      </c>
      <c r="D606" s="129" t="str">
        <f t="shared" si="49"/>
        <v>Главный Бухгалтер ПРОФОПТИМАЛЬНЫЙБАЗОВЫЙ6</v>
      </c>
      <c r="E606" s="130">
        <v>0</v>
      </c>
      <c r="F606" s="144">
        <v>6</v>
      </c>
      <c r="G606" s="144" t="s">
        <v>231</v>
      </c>
      <c r="H606" s="256">
        <f t="shared" si="48"/>
        <v>0</v>
      </c>
    </row>
    <row r="607" spans="1:8" x14ac:dyDescent="0.3">
      <c r="A607" s="128" t="s">
        <v>186</v>
      </c>
      <c r="B607" s="129" t="s">
        <v>11</v>
      </c>
      <c r="C607" s="129" t="s">
        <v>191</v>
      </c>
      <c r="D607" s="129" t="str">
        <f t="shared" si="49"/>
        <v>VIP ПредприятиеОПТИМАЛЬНЫЙМИНИМАЛЬНЫЙ6</v>
      </c>
      <c r="E607" s="130">
        <v>0</v>
      </c>
      <c r="F607" s="144">
        <v>6</v>
      </c>
      <c r="G607" s="144" t="s">
        <v>231</v>
      </c>
      <c r="H607" s="256">
        <f t="shared" si="48"/>
        <v>0</v>
      </c>
    </row>
    <row r="608" spans="1:8" x14ac:dyDescent="0.3">
      <c r="A608" s="128" t="s">
        <v>186</v>
      </c>
      <c r="B608" s="129" t="s">
        <v>9</v>
      </c>
      <c r="C608" s="129" t="s">
        <v>194</v>
      </c>
      <c r="D608" s="129" t="str">
        <f t="shared" si="49"/>
        <v>Предприятие ПРОФЭКСПЕРТОПТИМАЛЬНЫЙМИНИМАЛЬНЫЙ6</v>
      </c>
      <c r="E608" s="130">
        <v>0</v>
      </c>
      <c r="F608" s="152">
        <v>6</v>
      </c>
      <c r="G608" s="152" t="s">
        <v>231</v>
      </c>
      <c r="H608" s="256">
        <f t="shared" si="48"/>
        <v>0</v>
      </c>
    </row>
    <row r="609" spans="1:8" x14ac:dyDescent="0.3">
      <c r="A609" s="128" t="s">
        <v>186</v>
      </c>
      <c r="B609" s="129" t="s">
        <v>4</v>
      </c>
      <c r="C609" s="129" t="s">
        <v>194</v>
      </c>
      <c r="D609" s="129" t="str">
        <f t="shared" si="49"/>
        <v>ПредприятиеЭКСПЕРТОПТИМАЛЬНЫЙМИНИМАЛЬНЫЙ6</v>
      </c>
      <c r="E609" s="130">
        <v>0</v>
      </c>
      <c r="F609" s="152">
        <v>6</v>
      </c>
      <c r="G609" s="152" t="s">
        <v>231</v>
      </c>
      <c r="H609" s="256">
        <f t="shared" si="48"/>
        <v>0</v>
      </c>
    </row>
    <row r="610" spans="1:8" x14ac:dyDescent="0.3">
      <c r="A610" s="128" t="s">
        <v>186</v>
      </c>
      <c r="B610" s="129" t="s">
        <v>10</v>
      </c>
      <c r="C610" s="129" t="s">
        <v>195</v>
      </c>
      <c r="D610" s="129" t="str">
        <f t="shared" si="49"/>
        <v>Главный Бухгалтер ПРОФЭКСПЕРТОПТИМАЛЬНЫЙБАЗОВЫЙ6</v>
      </c>
      <c r="E610" s="130">
        <v>0</v>
      </c>
      <c r="F610" s="152">
        <v>6</v>
      </c>
      <c r="G610" s="152" t="s">
        <v>231</v>
      </c>
      <c r="H610" s="256">
        <f t="shared" si="48"/>
        <v>0</v>
      </c>
    </row>
    <row r="611" spans="1:8" x14ac:dyDescent="0.3">
      <c r="A611" s="128" t="s">
        <v>186</v>
      </c>
      <c r="B611" s="129" t="s">
        <v>11</v>
      </c>
      <c r="C611" s="129" t="s">
        <v>194</v>
      </c>
      <c r="D611" s="129" t="str">
        <f t="shared" si="49"/>
        <v>VIP ПредприятиеЭКСПЕРТОПТИМАЛЬНЫЙМИНИМАЛЬНЫЙ6</v>
      </c>
      <c r="E611" s="130">
        <v>0</v>
      </c>
      <c r="F611" s="152">
        <v>6</v>
      </c>
      <c r="G611" s="152" t="s">
        <v>231</v>
      </c>
      <c r="H611" s="256">
        <f t="shared" si="48"/>
        <v>0</v>
      </c>
    </row>
    <row r="612" spans="1:8" x14ac:dyDescent="0.3">
      <c r="A612" s="128" t="s">
        <v>187</v>
      </c>
      <c r="B612" s="129" t="s">
        <v>50</v>
      </c>
      <c r="C612" s="129" t="s">
        <v>20</v>
      </c>
      <c r="D612" s="129" t="str">
        <f t="shared" ref="D612:D630" si="50">_xlfn.CONCAT(B612,C612,F612)</f>
        <v>Предприятие (1 пользователь)ЭКСПЕРТ7</v>
      </c>
      <c r="E612" s="235">
        <v>0</v>
      </c>
      <c r="F612" s="144">
        <v>7</v>
      </c>
      <c r="G612" s="144" t="s">
        <v>231</v>
      </c>
      <c r="H612" s="256">
        <f t="shared" si="48"/>
        <v>0</v>
      </c>
    </row>
    <row r="613" spans="1:8" x14ac:dyDescent="0.3">
      <c r="A613" s="128" t="s">
        <v>187</v>
      </c>
      <c r="B613" s="129" t="s">
        <v>51</v>
      </c>
      <c r="C613" s="129" t="s">
        <v>20</v>
      </c>
      <c r="D613" s="129" t="str">
        <f t="shared" si="50"/>
        <v>Предприятие ПРОФ (1 пользователь)ЭКСПЕРТ7</v>
      </c>
      <c r="E613" s="235">
        <v>0</v>
      </c>
      <c r="F613" s="144">
        <v>7</v>
      </c>
      <c r="G613" s="144" t="s">
        <v>231</v>
      </c>
      <c r="H613" s="256">
        <f t="shared" si="48"/>
        <v>0</v>
      </c>
    </row>
    <row r="614" spans="1:8" x14ac:dyDescent="0.3">
      <c r="A614" s="128" t="s">
        <v>187</v>
      </c>
      <c r="B614" s="129" t="s">
        <v>49</v>
      </c>
      <c r="C614" s="129" t="s">
        <v>20</v>
      </c>
      <c r="D614" s="129" t="str">
        <f t="shared" si="50"/>
        <v>Главный Бухгалтер ПРОФ (1 пользователь)ЭКСПЕРТ7</v>
      </c>
      <c r="E614" s="130">
        <v>0</v>
      </c>
      <c r="F614" s="144">
        <v>7</v>
      </c>
      <c r="G614" s="144" t="s">
        <v>231</v>
      </c>
      <c r="H614" s="256">
        <f t="shared" si="48"/>
        <v>0</v>
      </c>
    </row>
    <row r="615" spans="1:8" x14ac:dyDescent="0.3">
      <c r="A615" s="128" t="s">
        <v>187</v>
      </c>
      <c r="B615" s="129" t="s">
        <v>73</v>
      </c>
      <c r="C615" s="129" t="s">
        <v>20</v>
      </c>
      <c r="D615" s="129" t="str">
        <f t="shared" si="50"/>
        <v>VIP Предприятие (1 пользователь)ЭКСПЕРТ7</v>
      </c>
      <c r="E615" s="235">
        <v>0</v>
      </c>
      <c r="F615" s="144">
        <v>7</v>
      </c>
      <c r="G615" s="144" t="s">
        <v>231</v>
      </c>
      <c r="H615" s="256">
        <f t="shared" si="48"/>
        <v>0</v>
      </c>
    </row>
    <row r="616" spans="1:8" x14ac:dyDescent="0.3">
      <c r="A616" s="128" t="s">
        <v>187</v>
      </c>
      <c r="B616" s="129" t="s">
        <v>314</v>
      </c>
      <c r="C616" s="129" t="s">
        <v>20</v>
      </c>
      <c r="D616" s="129" t="str">
        <f t="shared" si="50"/>
        <v>Пакет Программ Главный Бухгалтер, Podpis (1 пользователь, ЛД)ЭКСПЕРТ7</v>
      </c>
      <c r="E616" s="145">
        <v>0.15</v>
      </c>
      <c r="F616" s="144">
        <v>7</v>
      </c>
      <c r="G616" s="129"/>
      <c r="H616" s="256">
        <f t="shared" si="48"/>
        <v>0</v>
      </c>
    </row>
    <row r="617" spans="1:8" x14ac:dyDescent="0.3">
      <c r="A617" s="128" t="s">
        <v>187</v>
      </c>
      <c r="B617" s="129" t="s">
        <v>312</v>
      </c>
      <c r="C617" s="129" t="s">
        <v>20</v>
      </c>
      <c r="D617" s="129" t="str">
        <f t="shared" si="50"/>
        <v>Пакет Программ Главный Бухгалтер, Podpis, ilex.Накладные (1 пользователь, ЛД)ЭКСПЕРТ7</v>
      </c>
      <c r="E617" s="145">
        <v>0.15</v>
      </c>
      <c r="F617" s="144">
        <v>7</v>
      </c>
      <c r="G617" s="129"/>
      <c r="H617" s="256">
        <f t="shared" si="48"/>
        <v>0</v>
      </c>
    </row>
    <row r="618" spans="1:8" x14ac:dyDescent="0.3">
      <c r="A618" s="128" t="s">
        <v>187</v>
      </c>
      <c r="B618" s="129" t="s">
        <v>315</v>
      </c>
      <c r="C618" s="129" t="s">
        <v>20</v>
      </c>
      <c r="D618" s="129" t="str">
        <f t="shared" si="50"/>
        <v>Пакет Программ Главный Бухгалтер ПРОФ, Podpis (1 пользователь, ЛД)ЭКСПЕРТ7</v>
      </c>
      <c r="E618" s="145">
        <v>0.15</v>
      </c>
      <c r="F618" s="144">
        <v>7</v>
      </c>
      <c r="G618" s="129"/>
      <c r="H618" s="256">
        <f t="shared" si="48"/>
        <v>0</v>
      </c>
    </row>
    <row r="619" spans="1:8" x14ac:dyDescent="0.3">
      <c r="A619" s="128" t="s">
        <v>187</v>
      </c>
      <c r="B619" s="129" t="s">
        <v>313</v>
      </c>
      <c r="C619" s="129" t="s">
        <v>20</v>
      </c>
      <c r="D619" s="129" t="str">
        <f t="shared" si="50"/>
        <v>Пакет Программ Главный Бухгалтер ПРОФ, Podpis, ilex.Накладные (1 пользователь, ЛД)ЭКСПЕРТ7</v>
      </c>
      <c r="E619" s="145">
        <v>0.15</v>
      </c>
      <c r="F619" s="144">
        <v>7</v>
      </c>
      <c r="G619" s="129"/>
      <c r="H619" s="256">
        <f t="shared" si="48"/>
        <v>0</v>
      </c>
    </row>
    <row r="620" spans="1:8" x14ac:dyDescent="0.3">
      <c r="A620" s="128" t="s">
        <v>187</v>
      </c>
      <c r="B620" s="129" t="s">
        <v>314</v>
      </c>
      <c r="C620" s="129" t="s">
        <v>188</v>
      </c>
      <c r="D620" s="129" t="str">
        <f t="shared" si="50"/>
        <v>Пакет Программ Главный Бухгалтер, Podpis (1 пользователь, ЛД)ОПТИМАЛЬНЫЙ ПЛЮС7</v>
      </c>
      <c r="E620" s="145">
        <v>0.15</v>
      </c>
      <c r="F620" s="144">
        <v>7</v>
      </c>
      <c r="G620" s="129"/>
      <c r="H620" s="256">
        <f t="shared" si="48"/>
        <v>0</v>
      </c>
    </row>
    <row r="621" spans="1:8" x14ac:dyDescent="0.3">
      <c r="A621" s="128" t="s">
        <v>187</v>
      </c>
      <c r="B621" s="129" t="s">
        <v>312</v>
      </c>
      <c r="C621" s="129" t="s">
        <v>188</v>
      </c>
      <c r="D621" s="129" t="str">
        <f t="shared" si="50"/>
        <v>Пакет Программ Главный Бухгалтер, Podpis, ilex.Накладные (1 пользователь, ЛД)ОПТИМАЛЬНЫЙ ПЛЮС7</v>
      </c>
      <c r="E621" s="145">
        <v>0.15</v>
      </c>
      <c r="F621" s="144">
        <v>7</v>
      </c>
      <c r="G621" s="129"/>
      <c r="H621" s="256">
        <f t="shared" si="48"/>
        <v>0</v>
      </c>
    </row>
    <row r="622" spans="1:8" x14ac:dyDescent="0.3">
      <c r="A622" s="128" t="s">
        <v>187</v>
      </c>
      <c r="B622" s="129" t="s">
        <v>315</v>
      </c>
      <c r="C622" s="129" t="s">
        <v>188</v>
      </c>
      <c r="D622" s="129" t="str">
        <f t="shared" si="50"/>
        <v>Пакет Программ Главный Бухгалтер ПРОФ, Podpis (1 пользователь, ЛД)ОПТИМАЛЬНЫЙ ПЛЮС7</v>
      </c>
      <c r="E622" s="145">
        <v>0.15</v>
      </c>
      <c r="F622" s="144">
        <v>7</v>
      </c>
      <c r="G622" s="129"/>
      <c r="H622" s="256">
        <f t="shared" si="48"/>
        <v>0</v>
      </c>
    </row>
    <row r="623" spans="1:8" x14ac:dyDescent="0.3">
      <c r="A623" s="128" t="s">
        <v>187</v>
      </c>
      <c r="B623" s="129" t="s">
        <v>313</v>
      </c>
      <c r="C623" s="129" t="s">
        <v>188</v>
      </c>
      <c r="D623" s="129" t="str">
        <f t="shared" si="50"/>
        <v>Пакет Программ Главный Бухгалтер ПРОФ, Podpis, ilex.Накладные (1 пользователь, ЛД)ОПТИМАЛЬНЫЙ ПЛЮС7</v>
      </c>
      <c r="E623" s="145">
        <v>0.15</v>
      </c>
      <c r="F623" s="144">
        <v>7</v>
      </c>
      <c r="G623" s="129"/>
      <c r="H623" s="256">
        <f t="shared" si="48"/>
        <v>0</v>
      </c>
    </row>
    <row r="624" spans="1:8" x14ac:dyDescent="0.3">
      <c r="A624" s="128" t="s">
        <v>187</v>
      </c>
      <c r="B624" s="129" t="s">
        <v>50</v>
      </c>
      <c r="C624" s="129" t="s">
        <v>21</v>
      </c>
      <c r="D624" s="129" t="str">
        <f t="shared" si="50"/>
        <v>Предприятие (1 пользователь)ОПТИМАЛЬНЫЙ7</v>
      </c>
      <c r="E624" s="235">
        <v>0</v>
      </c>
      <c r="F624" s="144">
        <v>7</v>
      </c>
      <c r="G624" s="144" t="s">
        <v>231</v>
      </c>
      <c r="H624" s="256">
        <f t="shared" si="48"/>
        <v>0</v>
      </c>
    </row>
    <row r="625" spans="1:8" x14ac:dyDescent="0.3">
      <c r="A625" s="128" t="s">
        <v>187</v>
      </c>
      <c r="B625" s="129" t="s">
        <v>51</v>
      </c>
      <c r="C625" s="129" t="s">
        <v>21</v>
      </c>
      <c r="D625" s="129" t="str">
        <f t="shared" si="50"/>
        <v>Предприятие ПРОФ (1 пользователь)ОПТИМАЛЬНЫЙ7</v>
      </c>
      <c r="E625" s="235">
        <v>0</v>
      </c>
      <c r="F625" s="144">
        <v>7</v>
      </c>
      <c r="G625" s="144" t="s">
        <v>231</v>
      </c>
      <c r="H625" s="256">
        <f t="shared" si="48"/>
        <v>0</v>
      </c>
    </row>
    <row r="626" spans="1:8" x14ac:dyDescent="0.3">
      <c r="A626" s="128" t="s">
        <v>187</v>
      </c>
      <c r="B626" s="129" t="s">
        <v>73</v>
      </c>
      <c r="C626" s="129" t="s">
        <v>21</v>
      </c>
      <c r="D626" s="129" t="str">
        <f t="shared" si="50"/>
        <v>VIP Предприятие (1 пользователь)ОПТИМАЛЬНЫЙ7</v>
      </c>
      <c r="E626" s="235">
        <v>0</v>
      </c>
      <c r="F626" s="144">
        <v>7</v>
      </c>
      <c r="G626" s="144" t="s">
        <v>231</v>
      </c>
      <c r="H626" s="256">
        <f t="shared" si="48"/>
        <v>0</v>
      </c>
    </row>
    <row r="627" spans="1:8" x14ac:dyDescent="0.3">
      <c r="A627" s="128" t="s">
        <v>187</v>
      </c>
      <c r="B627" s="129" t="s">
        <v>314</v>
      </c>
      <c r="C627" s="129" t="s">
        <v>21</v>
      </c>
      <c r="D627" s="129" t="str">
        <f t="shared" si="50"/>
        <v>Пакет Программ Главный Бухгалтер, Podpis (1 пользователь, ЛД)ОПТИМАЛЬНЫЙ7</v>
      </c>
      <c r="E627" s="130"/>
      <c r="F627" s="129">
        <v>7</v>
      </c>
      <c r="G627" s="129"/>
      <c r="H627" s="138"/>
    </row>
    <row r="628" spans="1:8" x14ac:dyDescent="0.3">
      <c r="A628" s="128" t="s">
        <v>187</v>
      </c>
      <c r="B628" s="129" t="s">
        <v>312</v>
      </c>
      <c r="C628" s="129" t="s">
        <v>21</v>
      </c>
      <c r="D628" s="129" t="str">
        <f t="shared" si="50"/>
        <v>Пакет Программ Главный Бухгалтер, Podpis, ilex.Накладные (1 пользователь, ЛД)ОПТИМАЛЬНЫЙ7</v>
      </c>
      <c r="E628" s="130"/>
      <c r="F628" s="129">
        <v>7</v>
      </c>
      <c r="G628" s="129"/>
      <c r="H628" s="138"/>
    </row>
    <row r="629" spans="1:8" x14ac:dyDescent="0.3">
      <c r="A629" s="128" t="s">
        <v>187</v>
      </c>
      <c r="B629" s="129" t="s">
        <v>315</v>
      </c>
      <c r="C629" s="129" t="s">
        <v>21</v>
      </c>
      <c r="D629" s="129" t="str">
        <f t="shared" si="50"/>
        <v>Пакет Программ Главный Бухгалтер ПРОФ, Podpis (1 пользователь, ЛД)ОПТИМАЛЬНЫЙ7</v>
      </c>
      <c r="E629" s="145">
        <v>0.15</v>
      </c>
      <c r="F629" s="144">
        <v>7</v>
      </c>
      <c r="G629" s="129"/>
      <c r="H629" s="256">
        <f t="shared" ref="H629:H669" si="51">$B$43</f>
        <v>0</v>
      </c>
    </row>
    <row r="630" spans="1:8" x14ac:dyDescent="0.3">
      <c r="A630" s="128" t="s">
        <v>187</v>
      </c>
      <c r="B630" s="129" t="s">
        <v>313</v>
      </c>
      <c r="C630" s="129" t="s">
        <v>21</v>
      </c>
      <c r="D630" s="129" t="str">
        <f t="shared" si="50"/>
        <v>Пакет Программ Главный Бухгалтер ПРОФ, Podpis, ilex.Накладные (1 пользователь, ЛД)ОПТИМАЛЬНЫЙ7</v>
      </c>
      <c r="E630" s="145">
        <v>0.15</v>
      </c>
      <c r="F630" s="144">
        <v>7</v>
      </c>
      <c r="G630" s="129"/>
      <c r="H630" s="256">
        <f t="shared" si="51"/>
        <v>0</v>
      </c>
    </row>
    <row r="631" spans="1:8" x14ac:dyDescent="0.3">
      <c r="A631" s="128" t="s">
        <v>186</v>
      </c>
      <c r="B631" s="129" t="s">
        <v>9</v>
      </c>
      <c r="C631" s="129" t="s">
        <v>20</v>
      </c>
      <c r="D631" s="129" t="str">
        <f t="shared" ref="D631:D654" si="52">CONCATENATE(B631,C631,F631)</f>
        <v>Предприятие ПРОФЭКСПЕРТ7</v>
      </c>
      <c r="E631" s="130">
        <v>0</v>
      </c>
      <c r="F631" s="144">
        <v>7</v>
      </c>
      <c r="G631" s="144" t="s">
        <v>231</v>
      </c>
      <c r="H631" s="256">
        <f t="shared" si="51"/>
        <v>0</v>
      </c>
    </row>
    <row r="632" spans="1:8" x14ac:dyDescent="0.3">
      <c r="A632" s="128" t="s">
        <v>186</v>
      </c>
      <c r="B632" s="129" t="s">
        <v>4</v>
      </c>
      <c r="C632" s="129" t="s">
        <v>20</v>
      </c>
      <c r="D632" s="129" t="str">
        <f t="shared" si="52"/>
        <v>ПредприятиеЭКСПЕРТ7</v>
      </c>
      <c r="E632" s="130">
        <v>0</v>
      </c>
      <c r="F632" s="144">
        <v>7</v>
      </c>
      <c r="G632" s="144" t="s">
        <v>231</v>
      </c>
      <c r="H632" s="256">
        <f t="shared" si="51"/>
        <v>0</v>
      </c>
    </row>
    <row r="633" spans="1:8" x14ac:dyDescent="0.3">
      <c r="A633" s="128" t="s">
        <v>186</v>
      </c>
      <c r="B633" s="129" t="s">
        <v>10</v>
      </c>
      <c r="C633" s="129" t="s">
        <v>20</v>
      </c>
      <c r="D633" s="129" t="str">
        <f t="shared" si="52"/>
        <v>Главный Бухгалтер ПРОФЭКСПЕРТ7</v>
      </c>
      <c r="E633" s="130">
        <v>0</v>
      </c>
      <c r="F633" s="144">
        <v>7</v>
      </c>
      <c r="G633" s="144" t="s">
        <v>231</v>
      </c>
      <c r="H633" s="256">
        <f t="shared" si="51"/>
        <v>0</v>
      </c>
    </row>
    <row r="634" spans="1:8" x14ac:dyDescent="0.3">
      <c r="A634" s="128" t="s">
        <v>186</v>
      </c>
      <c r="B634" s="129" t="s">
        <v>11</v>
      </c>
      <c r="C634" s="129" t="s">
        <v>20</v>
      </c>
      <c r="D634" s="129" t="str">
        <f t="shared" si="52"/>
        <v>VIP ПредприятиеЭКСПЕРТ7</v>
      </c>
      <c r="E634" s="130">
        <v>0</v>
      </c>
      <c r="F634" s="144">
        <v>7</v>
      </c>
      <c r="G634" s="144" t="s">
        <v>231</v>
      </c>
      <c r="H634" s="256">
        <f t="shared" si="51"/>
        <v>0</v>
      </c>
    </row>
    <row r="635" spans="1:8" x14ac:dyDescent="0.3">
      <c r="A635" s="128" t="s">
        <v>186</v>
      </c>
      <c r="B635" s="129" t="s">
        <v>9</v>
      </c>
      <c r="C635" s="129" t="s">
        <v>21</v>
      </c>
      <c r="D635" s="129" t="str">
        <f t="shared" si="52"/>
        <v>Предприятие ПРОФОПТИМАЛЬНЫЙ7</v>
      </c>
      <c r="E635" s="130">
        <v>0</v>
      </c>
      <c r="F635" s="144">
        <v>7</v>
      </c>
      <c r="G635" s="144" t="s">
        <v>231</v>
      </c>
      <c r="H635" s="256">
        <f t="shared" si="51"/>
        <v>0</v>
      </c>
    </row>
    <row r="636" spans="1:8" x14ac:dyDescent="0.3">
      <c r="A636" s="128" t="s">
        <v>186</v>
      </c>
      <c r="B636" s="129" t="s">
        <v>4</v>
      </c>
      <c r="C636" s="129" t="s">
        <v>21</v>
      </c>
      <c r="D636" s="129" t="str">
        <f t="shared" si="52"/>
        <v>ПредприятиеОПТИМАЛЬНЫЙ7</v>
      </c>
      <c r="E636" s="130">
        <v>0</v>
      </c>
      <c r="F636" s="144">
        <v>7</v>
      </c>
      <c r="G636" s="144" t="s">
        <v>231</v>
      </c>
      <c r="H636" s="256">
        <f t="shared" si="51"/>
        <v>0</v>
      </c>
    </row>
    <row r="637" spans="1:8" x14ac:dyDescent="0.3">
      <c r="A637" s="128" t="s">
        <v>186</v>
      </c>
      <c r="B637" s="129" t="s">
        <v>10</v>
      </c>
      <c r="C637" s="129" t="s">
        <v>21</v>
      </c>
      <c r="D637" s="129" t="str">
        <f t="shared" si="52"/>
        <v>Главный Бухгалтер ПРОФОПТИМАЛЬНЫЙ7</v>
      </c>
      <c r="E637" s="130">
        <v>0</v>
      </c>
      <c r="F637" s="144">
        <v>7</v>
      </c>
      <c r="G637" s="144" t="s">
        <v>231</v>
      </c>
      <c r="H637" s="256">
        <f t="shared" si="51"/>
        <v>0</v>
      </c>
    </row>
    <row r="638" spans="1:8" x14ac:dyDescent="0.3">
      <c r="A638" s="128" t="s">
        <v>186</v>
      </c>
      <c r="B638" s="129" t="s">
        <v>11</v>
      </c>
      <c r="C638" s="129" t="s">
        <v>21</v>
      </c>
      <c r="D638" s="129" t="str">
        <f t="shared" si="52"/>
        <v>VIP ПредприятиеОПТИМАЛЬНЫЙ7</v>
      </c>
      <c r="E638" s="130">
        <v>0</v>
      </c>
      <c r="F638" s="144">
        <v>7</v>
      </c>
      <c r="G638" s="144" t="s">
        <v>231</v>
      </c>
      <c r="H638" s="256">
        <f t="shared" si="51"/>
        <v>0</v>
      </c>
    </row>
    <row r="639" spans="1:8" x14ac:dyDescent="0.3">
      <c r="A639" s="128" t="s">
        <v>186</v>
      </c>
      <c r="B639" s="129" t="s">
        <v>9</v>
      </c>
      <c r="C639" s="129" t="s">
        <v>189</v>
      </c>
      <c r="D639" s="129" t="str">
        <f t="shared" si="52"/>
        <v>Предприятие ПРОФЭКСПЕРТОПТИМАЛЬНЫЙ7</v>
      </c>
      <c r="E639" s="130">
        <v>0</v>
      </c>
      <c r="F639" s="144">
        <v>7</v>
      </c>
      <c r="G639" s="144" t="s">
        <v>231</v>
      </c>
      <c r="H639" s="256">
        <f t="shared" si="51"/>
        <v>0</v>
      </c>
    </row>
    <row r="640" spans="1:8" x14ac:dyDescent="0.3">
      <c r="A640" s="128" t="s">
        <v>186</v>
      </c>
      <c r="B640" s="129" t="s">
        <v>4</v>
      </c>
      <c r="C640" s="129" t="s">
        <v>189</v>
      </c>
      <c r="D640" s="129" t="str">
        <f t="shared" si="52"/>
        <v>ПредприятиеЭКСПЕРТОПТИМАЛЬНЫЙ7</v>
      </c>
      <c r="E640" s="130">
        <v>0</v>
      </c>
      <c r="F640" s="144">
        <v>7</v>
      </c>
      <c r="G640" s="144" t="s">
        <v>231</v>
      </c>
      <c r="H640" s="256">
        <f t="shared" si="51"/>
        <v>0</v>
      </c>
    </row>
    <row r="641" spans="1:8" x14ac:dyDescent="0.3">
      <c r="A641" s="128" t="s">
        <v>186</v>
      </c>
      <c r="B641" s="129" t="s">
        <v>10</v>
      </c>
      <c r="C641" s="129" t="s">
        <v>189</v>
      </c>
      <c r="D641" s="129" t="str">
        <f t="shared" si="52"/>
        <v>Главный Бухгалтер ПРОФЭКСПЕРТОПТИМАЛЬНЫЙ7</v>
      </c>
      <c r="E641" s="130">
        <v>0</v>
      </c>
      <c r="F641" s="144">
        <v>7</v>
      </c>
      <c r="G641" s="144" t="s">
        <v>231</v>
      </c>
      <c r="H641" s="256">
        <f t="shared" si="51"/>
        <v>0</v>
      </c>
    </row>
    <row r="642" spans="1:8" x14ac:dyDescent="0.3">
      <c r="A642" s="128" t="s">
        <v>186</v>
      </c>
      <c r="B642" s="129" t="s">
        <v>11</v>
      </c>
      <c r="C642" s="129" t="s">
        <v>189</v>
      </c>
      <c r="D642" s="129" t="str">
        <f t="shared" si="52"/>
        <v>VIP ПредприятиеЭКСПЕРТОПТИМАЛЬНЫЙ7</v>
      </c>
      <c r="E642" s="130">
        <v>0</v>
      </c>
      <c r="F642" s="144">
        <v>7</v>
      </c>
      <c r="G642" s="144" t="s">
        <v>231</v>
      </c>
      <c r="H642" s="256">
        <f t="shared" si="51"/>
        <v>0</v>
      </c>
    </row>
    <row r="643" spans="1:8" x14ac:dyDescent="0.3">
      <c r="A643" s="128" t="s">
        <v>186</v>
      </c>
      <c r="B643" s="129" t="s">
        <v>9</v>
      </c>
      <c r="C643" s="129" t="s">
        <v>190</v>
      </c>
      <c r="D643" s="129" t="str">
        <f t="shared" si="52"/>
        <v>Предприятие ПРОФЭКСПЕРТМИНИМАЛЬНЫЙ7</v>
      </c>
      <c r="E643" s="130">
        <v>0</v>
      </c>
      <c r="F643" s="144">
        <v>7</v>
      </c>
      <c r="G643" s="144" t="s">
        <v>231</v>
      </c>
      <c r="H643" s="256">
        <f t="shared" si="51"/>
        <v>0</v>
      </c>
    </row>
    <row r="644" spans="1:8" x14ac:dyDescent="0.3">
      <c r="A644" s="128" t="s">
        <v>186</v>
      </c>
      <c r="B644" s="129" t="s">
        <v>4</v>
      </c>
      <c r="C644" s="129" t="s">
        <v>190</v>
      </c>
      <c r="D644" s="129" t="str">
        <f t="shared" si="52"/>
        <v>ПредприятиеЭКСПЕРТМИНИМАЛЬНЫЙ7</v>
      </c>
      <c r="E644" s="130">
        <v>0</v>
      </c>
      <c r="F644" s="144">
        <v>7</v>
      </c>
      <c r="G644" s="144" t="s">
        <v>231</v>
      </c>
      <c r="H644" s="256">
        <f t="shared" si="51"/>
        <v>0</v>
      </c>
    </row>
    <row r="645" spans="1:8" x14ac:dyDescent="0.3">
      <c r="A645" s="128" t="s">
        <v>186</v>
      </c>
      <c r="B645" s="129" t="s">
        <v>10</v>
      </c>
      <c r="C645" s="129" t="s">
        <v>192</v>
      </c>
      <c r="D645" s="129" t="str">
        <f t="shared" si="52"/>
        <v>Главный Бухгалтер ПРОФЭКСПЕРТБАЗОВЫЙ7</v>
      </c>
      <c r="E645" s="130">
        <v>0</v>
      </c>
      <c r="F645" s="144">
        <v>7</v>
      </c>
      <c r="G645" s="144" t="s">
        <v>231</v>
      </c>
      <c r="H645" s="256">
        <f t="shared" si="51"/>
        <v>0</v>
      </c>
    </row>
    <row r="646" spans="1:8" x14ac:dyDescent="0.3">
      <c r="A646" s="128" t="s">
        <v>186</v>
      </c>
      <c r="B646" s="129" t="s">
        <v>11</v>
      </c>
      <c r="C646" s="129" t="s">
        <v>190</v>
      </c>
      <c r="D646" s="129" t="str">
        <f t="shared" si="52"/>
        <v>VIP ПредприятиеЭКСПЕРТМИНИМАЛЬНЫЙ7</v>
      </c>
      <c r="E646" s="130">
        <v>0</v>
      </c>
      <c r="F646" s="144">
        <v>7</v>
      </c>
      <c r="G646" s="144" t="s">
        <v>231</v>
      </c>
      <c r="H646" s="256">
        <f t="shared" si="51"/>
        <v>0</v>
      </c>
    </row>
    <row r="647" spans="1:8" x14ac:dyDescent="0.3">
      <c r="A647" s="128" t="s">
        <v>186</v>
      </c>
      <c r="B647" s="129" t="s">
        <v>9</v>
      </c>
      <c r="C647" s="129" t="s">
        <v>191</v>
      </c>
      <c r="D647" s="129" t="str">
        <f t="shared" si="52"/>
        <v>Предприятие ПРОФОПТИМАЛЬНЫЙМИНИМАЛЬНЫЙ7</v>
      </c>
      <c r="E647" s="130">
        <v>0</v>
      </c>
      <c r="F647" s="144">
        <v>7</v>
      </c>
      <c r="G647" s="144" t="s">
        <v>231</v>
      </c>
      <c r="H647" s="256">
        <f t="shared" si="51"/>
        <v>0</v>
      </c>
    </row>
    <row r="648" spans="1:8" x14ac:dyDescent="0.3">
      <c r="A648" s="128" t="s">
        <v>186</v>
      </c>
      <c r="B648" s="129" t="s">
        <v>4</v>
      </c>
      <c r="C648" s="129" t="s">
        <v>191</v>
      </c>
      <c r="D648" s="129" t="str">
        <f t="shared" si="52"/>
        <v>ПредприятиеОПТИМАЛЬНЫЙМИНИМАЛЬНЫЙ7</v>
      </c>
      <c r="E648" s="130">
        <v>0</v>
      </c>
      <c r="F648" s="144">
        <v>7</v>
      </c>
      <c r="G648" s="144" t="s">
        <v>231</v>
      </c>
      <c r="H648" s="256">
        <f t="shared" si="51"/>
        <v>0</v>
      </c>
    </row>
    <row r="649" spans="1:8" x14ac:dyDescent="0.3">
      <c r="A649" s="128" t="s">
        <v>186</v>
      </c>
      <c r="B649" s="129" t="s">
        <v>10</v>
      </c>
      <c r="C649" s="129" t="s">
        <v>234</v>
      </c>
      <c r="D649" s="129" t="str">
        <f t="shared" si="52"/>
        <v>Главный Бухгалтер ПРОФОПТИМАЛЬНЫЙБАЗОВЫЙ7</v>
      </c>
      <c r="E649" s="130">
        <v>0</v>
      </c>
      <c r="F649" s="144">
        <v>7</v>
      </c>
      <c r="G649" s="144" t="s">
        <v>231</v>
      </c>
      <c r="H649" s="256">
        <f t="shared" si="51"/>
        <v>0</v>
      </c>
    </row>
    <row r="650" spans="1:8" x14ac:dyDescent="0.3">
      <c r="A650" s="128" t="s">
        <v>186</v>
      </c>
      <c r="B650" s="129" t="s">
        <v>11</v>
      </c>
      <c r="C650" s="129" t="s">
        <v>191</v>
      </c>
      <c r="D650" s="129" t="str">
        <f t="shared" si="52"/>
        <v>VIP ПредприятиеОПТИМАЛЬНЫЙМИНИМАЛЬНЫЙ7</v>
      </c>
      <c r="E650" s="130">
        <v>0</v>
      </c>
      <c r="F650" s="144">
        <v>7</v>
      </c>
      <c r="G650" s="144" t="s">
        <v>231</v>
      </c>
      <c r="H650" s="256">
        <f t="shared" si="51"/>
        <v>0</v>
      </c>
    </row>
    <row r="651" spans="1:8" x14ac:dyDescent="0.3">
      <c r="A651" s="128" t="s">
        <v>186</v>
      </c>
      <c r="B651" s="129" t="s">
        <v>9</v>
      </c>
      <c r="C651" s="129" t="s">
        <v>194</v>
      </c>
      <c r="D651" s="129" t="str">
        <f t="shared" si="52"/>
        <v>Предприятие ПРОФЭКСПЕРТОПТИМАЛЬНЫЙМИНИМАЛЬНЫЙ7</v>
      </c>
      <c r="E651" s="130">
        <v>0</v>
      </c>
      <c r="F651" s="152">
        <v>7</v>
      </c>
      <c r="G651" s="152" t="s">
        <v>231</v>
      </c>
      <c r="H651" s="256">
        <f t="shared" si="51"/>
        <v>0</v>
      </c>
    </row>
    <row r="652" spans="1:8" x14ac:dyDescent="0.3">
      <c r="A652" s="128" t="s">
        <v>186</v>
      </c>
      <c r="B652" s="129" t="s">
        <v>4</v>
      </c>
      <c r="C652" s="129" t="s">
        <v>194</v>
      </c>
      <c r="D652" s="129" t="str">
        <f t="shared" si="52"/>
        <v>ПредприятиеЭКСПЕРТОПТИМАЛЬНЫЙМИНИМАЛЬНЫЙ7</v>
      </c>
      <c r="E652" s="130">
        <v>0</v>
      </c>
      <c r="F652" s="152">
        <v>7</v>
      </c>
      <c r="G652" s="152" t="s">
        <v>231</v>
      </c>
      <c r="H652" s="256">
        <f t="shared" si="51"/>
        <v>0</v>
      </c>
    </row>
    <row r="653" spans="1:8" x14ac:dyDescent="0.3">
      <c r="A653" s="128" t="s">
        <v>186</v>
      </c>
      <c r="B653" s="129" t="s">
        <v>10</v>
      </c>
      <c r="C653" s="129" t="s">
        <v>195</v>
      </c>
      <c r="D653" s="129" t="str">
        <f t="shared" si="52"/>
        <v>Главный Бухгалтер ПРОФЭКСПЕРТОПТИМАЛЬНЫЙБАЗОВЫЙ7</v>
      </c>
      <c r="E653" s="130">
        <v>0</v>
      </c>
      <c r="F653" s="152">
        <v>7</v>
      </c>
      <c r="G653" s="152" t="s">
        <v>231</v>
      </c>
      <c r="H653" s="256">
        <f t="shared" si="51"/>
        <v>0</v>
      </c>
    </row>
    <row r="654" spans="1:8" x14ac:dyDescent="0.3">
      <c r="A654" s="128" t="s">
        <v>186</v>
      </c>
      <c r="B654" s="129" t="s">
        <v>11</v>
      </c>
      <c r="C654" s="129" t="s">
        <v>194</v>
      </c>
      <c r="D654" s="129" t="str">
        <f t="shared" si="52"/>
        <v>VIP ПредприятиеЭКСПЕРТОПТИМАЛЬНЫЙМИНИМАЛЬНЫЙ7</v>
      </c>
      <c r="E654" s="130">
        <v>0</v>
      </c>
      <c r="F654" s="152">
        <v>7</v>
      </c>
      <c r="G654" s="152" t="s">
        <v>231</v>
      </c>
      <c r="H654" s="256">
        <f t="shared" si="51"/>
        <v>0</v>
      </c>
    </row>
    <row r="655" spans="1:8" x14ac:dyDescent="0.3">
      <c r="A655" s="128" t="s">
        <v>187</v>
      </c>
      <c r="B655" s="129" t="s">
        <v>50</v>
      </c>
      <c r="C655" s="129" t="s">
        <v>20</v>
      </c>
      <c r="D655" s="129" t="str">
        <f t="shared" ref="D655:D673" si="53">_xlfn.CONCAT(B655,C655,F655)</f>
        <v>Предприятие (1 пользователь)ЭКСПЕРТ8</v>
      </c>
      <c r="E655" s="235">
        <v>0</v>
      </c>
      <c r="F655" s="144">
        <v>8</v>
      </c>
      <c r="G655" s="144" t="s">
        <v>231</v>
      </c>
      <c r="H655" s="256">
        <f t="shared" si="51"/>
        <v>0</v>
      </c>
    </row>
    <row r="656" spans="1:8" x14ac:dyDescent="0.3">
      <c r="A656" s="128" t="s">
        <v>187</v>
      </c>
      <c r="B656" s="129" t="s">
        <v>51</v>
      </c>
      <c r="C656" s="129" t="s">
        <v>20</v>
      </c>
      <c r="D656" s="129" t="str">
        <f t="shared" si="53"/>
        <v>Предприятие ПРОФ (1 пользователь)ЭКСПЕРТ8</v>
      </c>
      <c r="E656" s="235">
        <v>0</v>
      </c>
      <c r="F656" s="144">
        <v>8</v>
      </c>
      <c r="G656" s="144" t="s">
        <v>231</v>
      </c>
      <c r="H656" s="256">
        <f t="shared" si="51"/>
        <v>0</v>
      </c>
    </row>
    <row r="657" spans="1:8" x14ac:dyDescent="0.3">
      <c r="A657" s="128" t="s">
        <v>187</v>
      </c>
      <c r="B657" s="129" t="s">
        <v>49</v>
      </c>
      <c r="C657" s="129" t="s">
        <v>20</v>
      </c>
      <c r="D657" s="129" t="str">
        <f t="shared" si="53"/>
        <v>Главный Бухгалтер ПРОФ (1 пользователь)ЭКСПЕРТ8</v>
      </c>
      <c r="E657" s="130">
        <v>0</v>
      </c>
      <c r="F657" s="144">
        <v>8</v>
      </c>
      <c r="G657" s="144" t="s">
        <v>231</v>
      </c>
      <c r="H657" s="256">
        <f t="shared" si="51"/>
        <v>0</v>
      </c>
    </row>
    <row r="658" spans="1:8" x14ac:dyDescent="0.3">
      <c r="A658" s="128" t="s">
        <v>187</v>
      </c>
      <c r="B658" s="129" t="s">
        <v>73</v>
      </c>
      <c r="C658" s="129" t="s">
        <v>20</v>
      </c>
      <c r="D658" s="129" t="str">
        <f t="shared" si="53"/>
        <v>VIP Предприятие (1 пользователь)ЭКСПЕРТ8</v>
      </c>
      <c r="E658" s="235">
        <v>0</v>
      </c>
      <c r="F658" s="144">
        <v>8</v>
      </c>
      <c r="G658" s="144" t="s">
        <v>231</v>
      </c>
      <c r="H658" s="256">
        <f t="shared" si="51"/>
        <v>0</v>
      </c>
    </row>
    <row r="659" spans="1:8" x14ac:dyDescent="0.3">
      <c r="A659" s="128" t="s">
        <v>187</v>
      </c>
      <c r="B659" s="129" t="s">
        <v>314</v>
      </c>
      <c r="C659" s="129" t="s">
        <v>20</v>
      </c>
      <c r="D659" s="129" t="str">
        <f t="shared" si="53"/>
        <v>Пакет Программ Главный Бухгалтер, Podpis (1 пользователь, ЛД)ЭКСПЕРТ8</v>
      </c>
      <c r="E659" s="145">
        <v>0.15</v>
      </c>
      <c r="F659" s="144">
        <v>8</v>
      </c>
      <c r="G659" s="129"/>
      <c r="H659" s="256">
        <f t="shared" si="51"/>
        <v>0</v>
      </c>
    </row>
    <row r="660" spans="1:8" x14ac:dyDescent="0.3">
      <c r="A660" s="128" t="s">
        <v>187</v>
      </c>
      <c r="B660" s="129" t="s">
        <v>312</v>
      </c>
      <c r="C660" s="129" t="s">
        <v>20</v>
      </c>
      <c r="D660" s="129" t="str">
        <f t="shared" si="53"/>
        <v>Пакет Программ Главный Бухгалтер, Podpis, ilex.Накладные (1 пользователь, ЛД)ЭКСПЕРТ8</v>
      </c>
      <c r="E660" s="145">
        <v>0.15</v>
      </c>
      <c r="F660" s="144">
        <v>8</v>
      </c>
      <c r="G660" s="129"/>
      <c r="H660" s="256">
        <f t="shared" si="51"/>
        <v>0</v>
      </c>
    </row>
    <row r="661" spans="1:8" x14ac:dyDescent="0.3">
      <c r="A661" s="128" t="s">
        <v>187</v>
      </c>
      <c r="B661" s="129" t="s">
        <v>315</v>
      </c>
      <c r="C661" s="129" t="s">
        <v>20</v>
      </c>
      <c r="D661" s="129" t="str">
        <f t="shared" si="53"/>
        <v>Пакет Программ Главный Бухгалтер ПРОФ, Podpis (1 пользователь, ЛД)ЭКСПЕРТ8</v>
      </c>
      <c r="E661" s="145">
        <v>0.15</v>
      </c>
      <c r="F661" s="144">
        <v>8</v>
      </c>
      <c r="G661" s="129"/>
      <c r="H661" s="256">
        <f t="shared" si="51"/>
        <v>0</v>
      </c>
    </row>
    <row r="662" spans="1:8" x14ac:dyDescent="0.3">
      <c r="A662" s="128" t="s">
        <v>187</v>
      </c>
      <c r="B662" s="129" t="s">
        <v>313</v>
      </c>
      <c r="C662" s="129" t="s">
        <v>20</v>
      </c>
      <c r="D662" s="129" t="str">
        <f t="shared" si="53"/>
        <v>Пакет Программ Главный Бухгалтер ПРОФ, Podpis, ilex.Накладные (1 пользователь, ЛД)ЭКСПЕРТ8</v>
      </c>
      <c r="E662" s="145">
        <v>0.15</v>
      </c>
      <c r="F662" s="144">
        <v>8</v>
      </c>
      <c r="G662" s="129"/>
      <c r="H662" s="256">
        <f t="shared" si="51"/>
        <v>0</v>
      </c>
    </row>
    <row r="663" spans="1:8" x14ac:dyDescent="0.3">
      <c r="A663" s="128" t="s">
        <v>187</v>
      </c>
      <c r="B663" s="129" t="s">
        <v>314</v>
      </c>
      <c r="C663" s="129" t="s">
        <v>188</v>
      </c>
      <c r="D663" s="129" t="str">
        <f t="shared" si="53"/>
        <v>Пакет Программ Главный Бухгалтер, Podpis (1 пользователь, ЛД)ОПТИМАЛЬНЫЙ ПЛЮС8</v>
      </c>
      <c r="E663" s="145">
        <v>0.15</v>
      </c>
      <c r="F663" s="144">
        <v>8</v>
      </c>
      <c r="G663" s="129"/>
      <c r="H663" s="256">
        <f t="shared" si="51"/>
        <v>0</v>
      </c>
    </row>
    <row r="664" spans="1:8" x14ac:dyDescent="0.3">
      <c r="A664" s="128" t="s">
        <v>187</v>
      </c>
      <c r="B664" s="129" t="s">
        <v>312</v>
      </c>
      <c r="C664" s="129" t="s">
        <v>188</v>
      </c>
      <c r="D664" s="129" t="str">
        <f t="shared" si="53"/>
        <v>Пакет Программ Главный Бухгалтер, Podpis, ilex.Накладные (1 пользователь, ЛД)ОПТИМАЛЬНЫЙ ПЛЮС8</v>
      </c>
      <c r="E664" s="145">
        <v>0.15</v>
      </c>
      <c r="F664" s="144">
        <v>8</v>
      </c>
      <c r="G664" s="129"/>
      <c r="H664" s="256">
        <f t="shared" si="51"/>
        <v>0</v>
      </c>
    </row>
    <row r="665" spans="1:8" x14ac:dyDescent="0.3">
      <c r="A665" s="128" t="s">
        <v>187</v>
      </c>
      <c r="B665" s="129" t="s">
        <v>315</v>
      </c>
      <c r="C665" s="129" t="s">
        <v>188</v>
      </c>
      <c r="D665" s="129" t="str">
        <f t="shared" si="53"/>
        <v>Пакет Программ Главный Бухгалтер ПРОФ, Podpis (1 пользователь, ЛД)ОПТИМАЛЬНЫЙ ПЛЮС8</v>
      </c>
      <c r="E665" s="145">
        <v>0.15</v>
      </c>
      <c r="F665" s="144">
        <v>8</v>
      </c>
      <c r="G665" s="129"/>
      <c r="H665" s="256">
        <f t="shared" si="51"/>
        <v>0</v>
      </c>
    </row>
    <row r="666" spans="1:8" x14ac:dyDescent="0.3">
      <c r="A666" s="128" t="s">
        <v>187</v>
      </c>
      <c r="B666" s="129" t="s">
        <v>313</v>
      </c>
      <c r="C666" s="129" t="s">
        <v>188</v>
      </c>
      <c r="D666" s="129" t="str">
        <f t="shared" si="53"/>
        <v>Пакет Программ Главный Бухгалтер ПРОФ, Podpis, ilex.Накладные (1 пользователь, ЛД)ОПТИМАЛЬНЫЙ ПЛЮС8</v>
      </c>
      <c r="E666" s="145">
        <v>0.15</v>
      </c>
      <c r="F666" s="144">
        <v>8</v>
      </c>
      <c r="G666" s="129"/>
      <c r="H666" s="256">
        <f t="shared" si="51"/>
        <v>0</v>
      </c>
    </row>
    <row r="667" spans="1:8" x14ac:dyDescent="0.3">
      <c r="A667" s="128" t="s">
        <v>187</v>
      </c>
      <c r="B667" s="129" t="s">
        <v>50</v>
      </c>
      <c r="C667" s="129" t="s">
        <v>21</v>
      </c>
      <c r="D667" s="129" t="str">
        <f t="shared" si="53"/>
        <v>Предприятие (1 пользователь)ОПТИМАЛЬНЫЙ8</v>
      </c>
      <c r="E667" s="235">
        <v>0</v>
      </c>
      <c r="F667" s="144">
        <v>8</v>
      </c>
      <c r="G667" s="144" t="s">
        <v>231</v>
      </c>
      <c r="H667" s="256">
        <f t="shared" si="51"/>
        <v>0</v>
      </c>
    </row>
    <row r="668" spans="1:8" x14ac:dyDescent="0.3">
      <c r="A668" s="128" t="s">
        <v>187</v>
      </c>
      <c r="B668" s="129" t="s">
        <v>51</v>
      </c>
      <c r="C668" s="129" t="s">
        <v>21</v>
      </c>
      <c r="D668" s="129" t="str">
        <f t="shared" si="53"/>
        <v>Предприятие ПРОФ (1 пользователь)ОПТИМАЛЬНЫЙ8</v>
      </c>
      <c r="E668" s="235">
        <v>0</v>
      </c>
      <c r="F668" s="144">
        <v>8</v>
      </c>
      <c r="G668" s="144" t="s">
        <v>231</v>
      </c>
      <c r="H668" s="256">
        <f t="shared" si="51"/>
        <v>0</v>
      </c>
    </row>
    <row r="669" spans="1:8" x14ac:dyDescent="0.3">
      <c r="A669" s="128" t="s">
        <v>187</v>
      </c>
      <c r="B669" s="129" t="s">
        <v>73</v>
      </c>
      <c r="C669" s="129" t="s">
        <v>21</v>
      </c>
      <c r="D669" s="129" t="str">
        <f t="shared" si="53"/>
        <v>VIP Предприятие (1 пользователь)ОПТИМАЛЬНЫЙ8</v>
      </c>
      <c r="E669" s="235">
        <v>0</v>
      </c>
      <c r="F669" s="144">
        <v>8</v>
      </c>
      <c r="G669" s="144" t="s">
        <v>231</v>
      </c>
      <c r="H669" s="256">
        <f t="shared" si="51"/>
        <v>0</v>
      </c>
    </row>
    <row r="670" spans="1:8" x14ac:dyDescent="0.3">
      <c r="A670" s="128" t="s">
        <v>187</v>
      </c>
      <c r="B670" s="129" t="s">
        <v>314</v>
      </c>
      <c r="C670" s="129" t="s">
        <v>21</v>
      </c>
      <c r="D670" s="129" t="str">
        <f t="shared" si="53"/>
        <v>Пакет Программ Главный Бухгалтер, Podpis (1 пользователь, ЛД)ОПТИМАЛЬНЫЙ8</v>
      </c>
      <c r="E670" s="130"/>
      <c r="F670" s="129">
        <v>8</v>
      </c>
      <c r="G670" s="129"/>
      <c r="H670" s="138"/>
    </row>
    <row r="671" spans="1:8" x14ac:dyDescent="0.3">
      <c r="A671" s="128" t="s">
        <v>187</v>
      </c>
      <c r="B671" s="129" t="s">
        <v>312</v>
      </c>
      <c r="C671" s="129" t="s">
        <v>21</v>
      </c>
      <c r="D671" s="129" t="str">
        <f t="shared" si="53"/>
        <v>Пакет Программ Главный Бухгалтер, Podpis, ilex.Накладные (1 пользователь, ЛД)ОПТИМАЛЬНЫЙ8</v>
      </c>
      <c r="E671" s="130"/>
      <c r="F671" s="129">
        <v>8</v>
      </c>
      <c r="G671" s="129"/>
      <c r="H671" s="138"/>
    </row>
    <row r="672" spans="1:8" x14ac:dyDescent="0.3">
      <c r="A672" s="128" t="s">
        <v>187</v>
      </c>
      <c r="B672" s="129" t="s">
        <v>315</v>
      </c>
      <c r="C672" s="129" t="s">
        <v>21</v>
      </c>
      <c r="D672" s="129" t="str">
        <f t="shared" si="53"/>
        <v>Пакет Программ Главный Бухгалтер ПРОФ, Podpis (1 пользователь, ЛД)ОПТИМАЛЬНЫЙ8</v>
      </c>
      <c r="E672" s="145">
        <v>0.15</v>
      </c>
      <c r="F672" s="144">
        <v>8</v>
      </c>
      <c r="G672" s="129"/>
      <c r="H672" s="256">
        <f t="shared" ref="H672:H712" si="54">$B$43</f>
        <v>0</v>
      </c>
    </row>
    <row r="673" spans="1:8" x14ac:dyDescent="0.3">
      <c r="A673" s="128" t="s">
        <v>187</v>
      </c>
      <c r="B673" s="129" t="s">
        <v>313</v>
      </c>
      <c r="C673" s="129" t="s">
        <v>21</v>
      </c>
      <c r="D673" s="129" t="str">
        <f t="shared" si="53"/>
        <v>Пакет Программ Главный Бухгалтер ПРОФ, Podpis, ilex.Накладные (1 пользователь, ЛД)ОПТИМАЛЬНЫЙ8</v>
      </c>
      <c r="E673" s="145">
        <v>0.15</v>
      </c>
      <c r="F673" s="144">
        <v>8</v>
      </c>
      <c r="G673" s="129"/>
      <c r="H673" s="256">
        <f t="shared" si="54"/>
        <v>0</v>
      </c>
    </row>
    <row r="674" spans="1:8" x14ac:dyDescent="0.3">
      <c r="A674" s="128" t="s">
        <v>186</v>
      </c>
      <c r="B674" s="129" t="s">
        <v>9</v>
      </c>
      <c r="C674" s="129" t="s">
        <v>20</v>
      </c>
      <c r="D674" s="129" t="str">
        <f t="shared" ref="D674:D697" si="55">CONCATENATE(B674,C674,F674)</f>
        <v>Предприятие ПРОФЭКСПЕРТ8</v>
      </c>
      <c r="E674" s="130">
        <v>0</v>
      </c>
      <c r="F674" s="144">
        <v>8</v>
      </c>
      <c r="G674" s="144" t="s">
        <v>231</v>
      </c>
      <c r="H674" s="256">
        <f t="shared" si="54"/>
        <v>0</v>
      </c>
    </row>
    <row r="675" spans="1:8" x14ac:dyDescent="0.3">
      <c r="A675" s="128" t="s">
        <v>186</v>
      </c>
      <c r="B675" s="129" t="s">
        <v>4</v>
      </c>
      <c r="C675" s="129" t="s">
        <v>20</v>
      </c>
      <c r="D675" s="129" t="str">
        <f t="shared" si="55"/>
        <v>ПредприятиеЭКСПЕРТ8</v>
      </c>
      <c r="E675" s="130">
        <v>0</v>
      </c>
      <c r="F675" s="144">
        <v>8</v>
      </c>
      <c r="G675" s="144" t="s">
        <v>231</v>
      </c>
      <c r="H675" s="256">
        <f t="shared" si="54"/>
        <v>0</v>
      </c>
    </row>
    <row r="676" spans="1:8" x14ac:dyDescent="0.3">
      <c r="A676" s="128" t="s">
        <v>186</v>
      </c>
      <c r="B676" s="129" t="s">
        <v>10</v>
      </c>
      <c r="C676" s="129" t="s">
        <v>20</v>
      </c>
      <c r="D676" s="129" t="str">
        <f t="shared" si="55"/>
        <v>Главный Бухгалтер ПРОФЭКСПЕРТ8</v>
      </c>
      <c r="E676" s="130">
        <v>0</v>
      </c>
      <c r="F676" s="144">
        <v>8</v>
      </c>
      <c r="G676" s="144" t="s">
        <v>231</v>
      </c>
      <c r="H676" s="256">
        <f t="shared" si="54"/>
        <v>0</v>
      </c>
    </row>
    <row r="677" spans="1:8" x14ac:dyDescent="0.3">
      <c r="A677" s="128" t="s">
        <v>186</v>
      </c>
      <c r="B677" s="129" t="s">
        <v>11</v>
      </c>
      <c r="C677" s="129" t="s">
        <v>20</v>
      </c>
      <c r="D677" s="129" t="str">
        <f t="shared" si="55"/>
        <v>VIP ПредприятиеЭКСПЕРТ8</v>
      </c>
      <c r="E677" s="130">
        <v>0</v>
      </c>
      <c r="F677" s="144">
        <v>8</v>
      </c>
      <c r="G677" s="144" t="s">
        <v>231</v>
      </c>
      <c r="H677" s="256">
        <f t="shared" si="54"/>
        <v>0</v>
      </c>
    </row>
    <row r="678" spans="1:8" x14ac:dyDescent="0.3">
      <c r="A678" s="128" t="s">
        <v>186</v>
      </c>
      <c r="B678" s="129" t="s">
        <v>9</v>
      </c>
      <c r="C678" s="129" t="s">
        <v>21</v>
      </c>
      <c r="D678" s="129" t="str">
        <f t="shared" si="55"/>
        <v>Предприятие ПРОФОПТИМАЛЬНЫЙ8</v>
      </c>
      <c r="E678" s="130">
        <v>0</v>
      </c>
      <c r="F678" s="144">
        <v>8</v>
      </c>
      <c r="G678" s="144" t="s">
        <v>231</v>
      </c>
      <c r="H678" s="256">
        <f t="shared" si="54"/>
        <v>0</v>
      </c>
    </row>
    <row r="679" spans="1:8" x14ac:dyDescent="0.3">
      <c r="A679" s="128" t="s">
        <v>186</v>
      </c>
      <c r="B679" s="129" t="s">
        <v>4</v>
      </c>
      <c r="C679" s="129" t="s">
        <v>21</v>
      </c>
      <c r="D679" s="129" t="str">
        <f t="shared" si="55"/>
        <v>ПредприятиеОПТИМАЛЬНЫЙ8</v>
      </c>
      <c r="E679" s="130">
        <v>0</v>
      </c>
      <c r="F679" s="144">
        <v>8</v>
      </c>
      <c r="G679" s="144" t="s">
        <v>231</v>
      </c>
      <c r="H679" s="256">
        <f t="shared" si="54"/>
        <v>0</v>
      </c>
    </row>
    <row r="680" spans="1:8" x14ac:dyDescent="0.3">
      <c r="A680" s="128" t="s">
        <v>186</v>
      </c>
      <c r="B680" s="129" t="s">
        <v>10</v>
      </c>
      <c r="C680" s="129" t="s">
        <v>21</v>
      </c>
      <c r="D680" s="129" t="str">
        <f t="shared" si="55"/>
        <v>Главный Бухгалтер ПРОФОПТИМАЛЬНЫЙ8</v>
      </c>
      <c r="E680" s="130">
        <v>0</v>
      </c>
      <c r="F680" s="144">
        <v>8</v>
      </c>
      <c r="G680" s="144" t="s">
        <v>231</v>
      </c>
      <c r="H680" s="256">
        <f t="shared" si="54"/>
        <v>0</v>
      </c>
    </row>
    <row r="681" spans="1:8" x14ac:dyDescent="0.3">
      <c r="A681" s="128" t="s">
        <v>186</v>
      </c>
      <c r="B681" s="129" t="s">
        <v>11</v>
      </c>
      <c r="C681" s="129" t="s">
        <v>21</v>
      </c>
      <c r="D681" s="129" t="str">
        <f t="shared" si="55"/>
        <v>VIP ПредприятиеОПТИМАЛЬНЫЙ8</v>
      </c>
      <c r="E681" s="130">
        <v>0</v>
      </c>
      <c r="F681" s="144">
        <v>8</v>
      </c>
      <c r="G681" s="144" t="s">
        <v>231</v>
      </c>
      <c r="H681" s="256">
        <f t="shared" si="54"/>
        <v>0</v>
      </c>
    </row>
    <row r="682" spans="1:8" x14ac:dyDescent="0.3">
      <c r="A682" s="128" t="s">
        <v>186</v>
      </c>
      <c r="B682" s="129" t="s">
        <v>9</v>
      </c>
      <c r="C682" s="129" t="s">
        <v>189</v>
      </c>
      <c r="D682" s="129" t="str">
        <f t="shared" si="55"/>
        <v>Предприятие ПРОФЭКСПЕРТОПТИМАЛЬНЫЙ8</v>
      </c>
      <c r="E682" s="130">
        <v>0</v>
      </c>
      <c r="F682" s="144">
        <v>8</v>
      </c>
      <c r="G682" s="144" t="s">
        <v>231</v>
      </c>
      <c r="H682" s="256">
        <f t="shared" si="54"/>
        <v>0</v>
      </c>
    </row>
    <row r="683" spans="1:8" x14ac:dyDescent="0.3">
      <c r="A683" s="128" t="s">
        <v>186</v>
      </c>
      <c r="B683" s="129" t="s">
        <v>4</v>
      </c>
      <c r="C683" s="129" t="s">
        <v>189</v>
      </c>
      <c r="D683" s="129" t="str">
        <f t="shared" si="55"/>
        <v>ПредприятиеЭКСПЕРТОПТИМАЛЬНЫЙ8</v>
      </c>
      <c r="E683" s="130">
        <v>0</v>
      </c>
      <c r="F683" s="144">
        <v>8</v>
      </c>
      <c r="G683" s="144" t="s">
        <v>231</v>
      </c>
      <c r="H683" s="256">
        <f t="shared" si="54"/>
        <v>0</v>
      </c>
    </row>
    <row r="684" spans="1:8" x14ac:dyDescent="0.3">
      <c r="A684" s="128" t="s">
        <v>186</v>
      </c>
      <c r="B684" s="129" t="s">
        <v>10</v>
      </c>
      <c r="C684" s="129" t="s">
        <v>189</v>
      </c>
      <c r="D684" s="129" t="str">
        <f t="shared" si="55"/>
        <v>Главный Бухгалтер ПРОФЭКСПЕРТОПТИМАЛЬНЫЙ8</v>
      </c>
      <c r="E684" s="130">
        <v>0</v>
      </c>
      <c r="F684" s="144">
        <v>8</v>
      </c>
      <c r="G684" s="144" t="s">
        <v>231</v>
      </c>
      <c r="H684" s="256">
        <f t="shared" si="54"/>
        <v>0</v>
      </c>
    </row>
    <row r="685" spans="1:8" x14ac:dyDescent="0.3">
      <c r="A685" s="128" t="s">
        <v>186</v>
      </c>
      <c r="B685" s="129" t="s">
        <v>11</v>
      </c>
      <c r="C685" s="129" t="s">
        <v>189</v>
      </c>
      <c r="D685" s="129" t="str">
        <f t="shared" si="55"/>
        <v>VIP ПредприятиеЭКСПЕРТОПТИМАЛЬНЫЙ8</v>
      </c>
      <c r="E685" s="130">
        <v>0</v>
      </c>
      <c r="F685" s="144">
        <v>8</v>
      </c>
      <c r="G685" s="144" t="s">
        <v>231</v>
      </c>
      <c r="H685" s="256">
        <f t="shared" si="54"/>
        <v>0</v>
      </c>
    </row>
    <row r="686" spans="1:8" x14ac:dyDescent="0.3">
      <c r="A686" s="128" t="s">
        <v>186</v>
      </c>
      <c r="B686" s="129" t="s">
        <v>9</v>
      </c>
      <c r="C686" s="129" t="s">
        <v>190</v>
      </c>
      <c r="D686" s="129" t="str">
        <f t="shared" si="55"/>
        <v>Предприятие ПРОФЭКСПЕРТМИНИМАЛЬНЫЙ8</v>
      </c>
      <c r="E686" s="130">
        <v>0</v>
      </c>
      <c r="F686" s="144">
        <v>8</v>
      </c>
      <c r="G686" s="144" t="s">
        <v>231</v>
      </c>
      <c r="H686" s="256">
        <f t="shared" si="54"/>
        <v>0</v>
      </c>
    </row>
    <row r="687" spans="1:8" x14ac:dyDescent="0.3">
      <c r="A687" s="128" t="s">
        <v>186</v>
      </c>
      <c r="B687" s="129" t="s">
        <v>4</v>
      </c>
      <c r="C687" s="129" t="s">
        <v>190</v>
      </c>
      <c r="D687" s="129" t="str">
        <f t="shared" si="55"/>
        <v>ПредприятиеЭКСПЕРТМИНИМАЛЬНЫЙ8</v>
      </c>
      <c r="E687" s="130">
        <v>0</v>
      </c>
      <c r="F687" s="144">
        <v>8</v>
      </c>
      <c r="G687" s="144" t="s">
        <v>231</v>
      </c>
      <c r="H687" s="256">
        <f t="shared" si="54"/>
        <v>0</v>
      </c>
    </row>
    <row r="688" spans="1:8" x14ac:dyDescent="0.3">
      <c r="A688" s="128" t="s">
        <v>186</v>
      </c>
      <c r="B688" s="129" t="s">
        <v>10</v>
      </c>
      <c r="C688" s="129" t="s">
        <v>192</v>
      </c>
      <c r="D688" s="129" t="str">
        <f t="shared" si="55"/>
        <v>Главный Бухгалтер ПРОФЭКСПЕРТБАЗОВЫЙ8</v>
      </c>
      <c r="E688" s="130">
        <v>0</v>
      </c>
      <c r="F688" s="144">
        <v>8</v>
      </c>
      <c r="G688" s="144" t="s">
        <v>231</v>
      </c>
      <c r="H688" s="256">
        <f t="shared" si="54"/>
        <v>0</v>
      </c>
    </row>
    <row r="689" spans="1:8" x14ac:dyDescent="0.3">
      <c r="A689" s="128" t="s">
        <v>186</v>
      </c>
      <c r="B689" s="129" t="s">
        <v>11</v>
      </c>
      <c r="C689" s="129" t="s">
        <v>190</v>
      </c>
      <c r="D689" s="129" t="str">
        <f t="shared" si="55"/>
        <v>VIP ПредприятиеЭКСПЕРТМИНИМАЛЬНЫЙ8</v>
      </c>
      <c r="E689" s="130">
        <v>0</v>
      </c>
      <c r="F689" s="144">
        <v>8</v>
      </c>
      <c r="G689" s="144" t="s">
        <v>231</v>
      </c>
      <c r="H689" s="256">
        <f t="shared" si="54"/>
        <v>0</v>
      </c>
    </row>
    <row r="690" spans="1:8" x14ac:dyDescent="0.3">
      <c r="A690" s="128" t="s">
        <v>186</v>
      </c>
      <c r="B690" s="129" t="s">
        <v>9</v>
      </c>
      <c r="C690" s="129" t="s">
        <v>191</v>
      </c>
      <c r="D690" s="129" t="str">
        <f t="shared" si="55"/>
        <v>Предприятие ПРОФОПТИМАЛЬНЫЙМИНИМАЛЬНЫЙ8</v>
      </c>
      <c r="E690" s="130">
        <v>0</v>
      </c>
      <c r="F690" s="144">
        <v>8</v>
      </c>
      <c r="G690" s="144" t="s">
        <v>231</v>
      </c>
      <c r="H690" s="256">
        <f t="shared" si="54"/>
        <v>0</v>
      </c>
    </row>
    <row r="691" spans="1:8" x14ac:dyDescent="0.3">
      <c r="A691" s="128" t="s">
        <v>186</v>
      </c>
      <c r="B691" s="129" t="s">
        <v>4</v>
      </c>
      <c r="C691" s="129" t="s">
        <v>191</v>
      </c>
      <c r="D691" s="129" t="str">
        <f t="shared" si="55"/>
        <v>ПредприятиеОПТИМАЛЬНЫЙМИНИМАЛЬНЫЙ8</v>
      </c>
      <c r="E691" s="130">
        <v>0</v>
      </c>
      <c r="F691" s="144">
        <v>8</v>
      </c>
      <c r="G691" s="144" t="s">
        <v>231</v>
      </c>
      <c r="H691" s="256">
        <f t="shared" si="54"/>
        <v>0</v>
      </c>
    </row>
    <row r="692" spans="1:8" x14ac:dyDescent="0.3">
      <c r="A692" s="128" t="s">
        <v>186</v>
      </c>
      <c r="B692" s="129" t="s">
        <v>10</v>
      </c>
      <c r="C692" s="129" t="s">
        <v>234</v>
      </c>
      <c r="D692" s="129" t="str">
        <f t="shared" si="55"/>
        <v>Главный Бухгалтер ПРОФОПТИМАЛЬНЫЙБАЗОВЫЙ8</v>
      </c>
      <c r="E692" s="130">
        <v>0</v>
      </c>
      <c r="F692" s="144">
        <v>8</v>
      </c>
      <c r="G692" s="144" t="s">
        <v>231</v>
      </c>
      <c r="H692" s="256">
        <f t="shared" si="54"/>
        <v>0</v>
      </c>
    </row>
    <row r="693" spans="1:8" x14ac:dyDescent="0.3">
      <c r="A693" s="128" t="s">
        <v>186</v>
      </c>
      <c r="B693" s="129" t="s">
        <v>11</v>
      </c>
      <c r="C693" s="129" t="s">
        <v>191</v>
      </c>
      <c r="D693" s="129" t="str">
        <f t="shared" si="55"/>
        <v>VIP ПредприятиеОПТИМАЛЬНЫЙМИНИМАЛЬНЫЙ8</v>
      </c>
      <c r="E693" s="130">
        <v>0</v>
      </c>
      <c r="F693" s="144">
        <v>8</v>
      </c>
      <c r="G693" s="144" t="s">
        <v>231</v>
      </c>
      <c r="H693" s="256">
        <f t="shared" si="54"/>
        <v>0</v>
      </c>
    </row>
    <row r="694" spans="1:8" x14ac:dyDescent="0.3">
      <c r="A694" s="128" t="s">
        <v>186</v>
      </c>
      <c r="B694" s="129" t="s">
        <v>9</v>
      </c>
      <c r="C694" s="129" t="s">
        <v>194</v>
      </c>
      <c r="D694" s="129" t="str">
        <f t="shared" si="55"/>
        <v>Предприятие ПРОФЭКСПЕРТОПТИМАЛЬНЫЙМИНИМАЛЬНЫЙ8</v>
      </c>
      <c r="E694" s="130">
        <v>0</v>
      </c>
      <c r="F694" s="152">
        <v>8</v>
      </c>
      <c r="G694" s="152" t="s">
        <v>231</v>
      </c>
      <c r="H694" s="256">
        <f t="shared" si="54"/>
        <v>0</v>
      </c>
    </row>
    <row r="695" spans="1:8" x14ac:dyDescent="0.3">
      <c r="A695" s="128" t="s">
        <v>186</v>
      </c>
      <c r="B695" s="129" t="s">
        <v>4</v>
      </c>
      <c r="C695" s="129" t="s">
        <v>194</v>
      </c>
      <c r="D695" s="129" t="str">
        <f t="shared" si="55"/>
        <v>ПредприятиеЭКСПЕРТОПТИМАЛЬНЫЙМИНИМАЛЬНЫЙ8</v>
      </c>
      <c r="E695" s="130">
        <v>0</v>
      </c>
      <c r="F695" s="152">
        <v>8</v>
      </c>
      <c r="G695" s="152" t="s">
        <v>231</v>
      </c>
      <c r="H695" s="256">
        <f t="shared" si="54"/>
        <v>0</v>
      </c>
    </row>
    <row r="696" spans="1:8" x14ac:dyDescent="0.3">
      <c r="A696" s="128" t="s">
        <v>186</v>
      </c>
      <c r="B696" s="129" t="s">
        <v>10</v>
      </c>
      <c r="C696" s="129" t="s">
        <v>195</v>
      </c>
      <c r="D696" s="129" t="str">
        <f t="shared" si="55"/>
        <v>Главный Бухгалтер ПРОФЭКСПЕРТОПТИМАЛЬНЫЙБАЗОВЫЙ8</v>
      </c>
      <c r="E696" s="130">
        <v>0</v>
      </c>
      <c r="F696" s="152">
        <v>8</v>
      </c>
      <c r="G696" s="152" t="s">
        <v>231</v>
      </c>
      <c r="H696" s="256">
        <f t="shared" si="54"/>
        <v>0</v>
      </c>
    </row>
    <row r="697" spans="1:8" x14ac:dyDescent="0.3">
      <c r="A697" s="128" t="s">
        <v>186</v>
      </c>
      <c r="B697" s="129" t="s">
        <v>11</v>
      </c>
      <c r="C697" s="129" t="s">
        <v>194</v>
      </c>
      <c r="D697" s="129" t="str">
        <f t="shared" si="55"/>
        <v>VIP ПредприятиеЭКСПЕРТОПТИМАЛЬНЫЙМИНИМАЛЬНЫЙ8</v>
      </c>
      <c r="E697" s="130">
        <v>0</v>
      </c>
      <c r="F697" s="152">
        <v>8</v>
      </c>
      <c r="G697" s="152" t="s">
        <v>231</v>
      </c>
      <c r="H697" s="256">
        <f t="shared" si="54"/>
        <v>0</v>
      </c>
    </row>
    <row r="698" spans="1:8" x14ac:dyDescent="0.3">
      <c r="A698" s="128" t="s">
        <v>187</v>
      </c>
      <c r="B698" s="129" t="s">
        <v>50</v>
      </c>
      <c r="C698" s="129" t="s">
        <v>20</v>
      </c>
      <c r="D698" s="129" t="str">
        <f t="shared" ref="D698:D716" si="56">_xlfn.CONCAT(B698,C698,F698)</f>
        <v>Предприятие (1 пользователь)ЭКСПЕРТ9</v>
      </c>
      <c r="E698" s="235">
        <v>0</v>
      </c>
      <c r="F698" s="144">
        <v>9</v>
      </c>
      <c r="G698" s="144" t="s">
        <v>231</v>
      </c>
      <c r="H698" s="256">
        <f t="shared" si="54"/>
        <v>0</v>
      </c>
    </row>
    <row r="699" spans="1:8" x14ac:dyDescent="0.3">
      <c r="A699" s="128" t="s">
        <v>187</v>
      </c>
      <c r="B699" s="129" t="s">
        <v>51</v>
      </c>
      <c r="C699" s="129" t="s">
        <v>20</v>
      </c>
      <c r="D699" s="129" t="str">
        <f t="shared" si="56"/>
        <v>Предприятие ПРОФ (1 пользователь)ЭКСПЕРТ9</v>
      </c>
      <c r="E699" s="235">
        <v>0</v>
      </c>
      <c r="F699" s="144">
        <v>9</v>
      </c>
      <c r="G699" s="144" t="s">
        <v>231</v>
      </c>
      <c r="H699" s="256">
        <f t="shared" si="54"/>
        <v>0</v>
      </c>
    </row>
    <row r="700" spans="1:8" x14ac:dyDescent="0.3">
      <c r="A700" s="128" t="s">
        <v>187</v>
      </c>
      <c r="B700" s="129" t="s">
        <v>49</v>
      </c>
      <c r="C700" s="129" t="s">
        <v>20</v>
      </c>
      <c r="D700" s="129" t="str">
        <f t="shared" si="56"/>
        <v>Главный Бухгалтер ПРОФ (1 пользователь)ЭКСПЕРТ9</v>
      </c>
      <c r="E700" s="130">
        <v>0</v>
      </c>
      <c r="F700" s="144">
        <v>9</v>
      </c>
      <c r="G700" s="144" t="s">
        <v>231</v>
      </c>
      <c r="H700" s="256">
        <f t="shared" si="54"/>
        <v>0</v>
      </c>
    </row>
    <row r="701" spans="1:8" x14ac:dyDescent="0.3">
      <c r="A701" s="128" t="s">
        <v>187</v>
      </c>
      <c r="B701" s="129" t="s">
        <v>73</v>
      </c>
      <c r="C701" s="129" t="s">
        <v>20</v>
      </c>
      <c r="D701" s="129" t="str">
        <f t="shared" si="56"/>
        <v>VIP Предприятие (1 пользователь)ЭКСПЕРТ9</v>
      </c>
      <c r="E701" s="235">
        <v>0</v>
      </c>
      <c r="F701" s="144">
        <v>9</v>
      </c>
      <c r="G701" s="144" t="s">
        <v>231</v>
      </c>
      <c r="H701" s="256">
        <f t="shared" si="54"/>
        <v>0</v>
      </c>
    </row>
    <row r="702" spans="1:8" x14ac:dyDescent="0.3">
      <c r="A702" s="128" t="s">
        <v>187</v>
      </c>
      <c r="B702" s="129" t="s">
        <v>314</v>
      </c>
      <c r="C702" s="129" t="s">
        <v>20</v>
      </c>
      <c r="D702" s="129" t="str">
        <f t="shared" si="56"/>
        <v>Пакет Программ Главный Бухгалтер, Podpis (1 пользователь, ЛД)ЭКСПЕРТ9</v>
      </c>
      <c r="E702" s="145">
        <v>0.15</v>
      </c>
      <c r="F702" s="144">
        <v>9</v>
      </c>
      <c r="G702" s="129"/>
      <c r="H702" s="256">
        <f t="shared" si="54"/>
        <v>0</v>
      </c>
    </row>
    <row r="703" spans="1:8" x14ac:dyDescent="0.3">
      <c r="A703" s="128" t="s">
        <v>187</v>
      </c>
      <c r="B703" s="129" t="s">
        <v>312</v>
      </c>
      <c r="C703" s="129" t="s">
        <v>20</v>
      </c>
      <c r="D703" s="129" t="str">
        <f t="shared" si="56"/>
        <v>Пакет Программ Главный Бухгалтер, Podpis, ilex.Накладные (1 пользователь, ЛД)ЭКСПЕРТ9</v>
      </c>
      <c r="E703" s="145">
        <v>0.15</v>
      </c>
      <c r="F703" s="144">
        <v>9</v>
      </c>
      <c r="G703" s="129"/>
      <c r="H703" s="256">
        <f t="shared" si="54"/>
        <v>0</v>
      </c>
    </row>
    <row r="704" spans="1:8" x14ac:dyDescent="0.3">
      <c r="A704" s="128" t="s">
        <v>187</v>
      </c>
      <c r="B704" s="129" t="s">
        <v>315</v>
      </c>
      <c r="C704" s="129" t="s">
        <v>20</v>
      </c>
      <c r="D704" s="129" t="str">
        <f t="shared" si="56"/>
        <v>Пакет Программ Главный Бухгалтер ПРОФ, Podpis (1 пользователь, ЛД)ЭКСПЕРТ9</v>
      </c>
      <c r="E704" s="145">
        <v>0.15</v>
      </c>
      <c r="F704" s="144">
        <v>9</v>
      </c>
      <c r="G704" s="129"/>
      <c r="H704" s="256">
        <f t="shared" si="54"/>
        <v>0</v>
      </c>
    </row>
    <row r="705" spans="1:8" x14ac:dyDescent="0.3">
      <c r="A705" s="128" t="s">
        <v>187</v>
      </c>
      <c r="B705" s="129" t="s">
        <v>313</v>
      </c>
      <c r="C705" s="129" t="s">
        <v>20</v>
      </c>
      <c r="D705" s="129" t="str">
        <f t="shared" si="56"/>
        <v>Пакет Программ Главный Бухгалтер ПРОФ, Podpis, ilex.Накладные (1 пользователь, ЛД)ЭКСПЕРТ9</v>
      </c>
      <c r="E705" s="145">
        <v>0.15</v>
      </c>
      <c r="F705" s="144">
        <v>9</v>
      </c>
      <c r="G705" s="129"/>
      <c r="H705" s="256">
        <f t="shared" si="54"/>
        <v>0</v>
      </c>
    </row>
    <row r="706" spans="1:8" x14ac:dyDescent="0.3">
      <c r="A706" s="128" t="s">
        <v>187</v>
      </c>
      <c r="B706" s="129" t="s">
        <v>314</v>
      </c>
      <c r="C706" s="129" t="s">
        <v>188</v>
      </c>
      <c r="D706" s="129" t="str">
        <f t="shared" si="56"/>
        <v>Пакет Программ Главный Бухгалтер, Podpis (1 пользователь, ЛД)ОПТИМАЛЬНЫЙ ПЛЮС9</v>
      </c>
      <c r="E706" s="145">
        <v>0.15</v>
      </c>
      <c r="F706" s="144">
        <v>9</v>
      </c>
      <c r="G706" s="129"/>
      <c r="H706" s="256">
        <f t="shared" si="54"/>
        <v>0</v>
      </c>
    </row>
    <row r="707" spans="1:8" x14ac:dyDescent="0.3">
      <c r="A707" s="128" t="s">
        <v>187</v>
      </c>
      <c r="B707" s="129" t="s">
        <v>312</v>
      </c>
      <c r="C707" s="129" t="s">
        <v>188</v>
      </c>
      <c r="D707" s="129" t="str">
        <f t="shared" si="56"/>
        <v>Пакет Программ Главный Бухгалтер, Podpis, ilex.Накладные (1 пользователь, ЛД)ОПТИМАЛЬНЫЙ ПЛЮС9</v>
      </c>
      <c r="E707" s="145">
        <v>0.15</v>
      </c>
      <c r="F707" s="144">
        <v>9</v>
      </c>
      <c r="G707" s="129"/>
      <c r="H707" s="256">
        <f t="shared" si="54"/>
        <v>0</v>
      </c>
    </row>
    <row r="708" spans="1:8" x14ac:dyDescent="0.3">
      <c r="A708" s="128" t="s">
        <v>187</v>
      </c>
      <c r="B708" s="129" t="s">
        <v>315</v>
      </c>
      <c r="C708" s="129" t="s">
        <v>188</v>
      </c>
      <c r="D708" s="129" t="str">
        <f t="shared" si="56"/>
        <v>Пакет Программ Главный Бухгалтер ПРОФ, Podpis (1 пользователь, ЛД)ОПТИМАЛЬНЫЙ ПЛЮС9</v>
      </c>
      <c r="E708" s="145">
        <v>0.15</v>
      </c>
      <c r="F708" s="144">
        <v>9</v>
      </c>
      <c r="G708" s="129"/>
      <c r="H708" s="256">
        <f t="shared" si="54"/>
        <v>0</v>
      </c>
    </row>
    <row r="709" spans="1:8" x14ac:dyDescent="0.3">
      <c r="A709" s="128" t="s">
        <v>187</v>
      </c>
      <c r="B709" s="129" t="s">
        <v>313</v>
      </c>
      <c r="C709" s="129" t="s">
        <v>188</v>
      </c>
      <c r="D709" s="129" t="str">
        <f t="shared" si="56"/>
        <v>Пакет Программ Главный Бухгалтер ПРОФ, Podpis, ilex.Накладные (1 пользователь, ЛД)ОПТИМАЛЬНЫЙ ПЛЮС9</v>
      </c>
      <c r="E709" s="145">
        <v>0.15</v>
      </c>
      <c r="F709" s="144">
        <v>9</v>
      </c>
      <c r="G709" s="129"/>
      <c r="H709" s="256">
        <f t="shared" si="54"/>
        <v>0</v>
      </c>
    </row>
    <row r="710" spans="1:8" x14ac:dyDescent="0.3">
      <c r="A710" s="128" t="s">
        <v>187</v>
      </c>
      <c r="B710" s="129" t="s">
        <v>50</v>
      </c>
      <c r="C710" s="129" t="s">
        <v>21</v>
      </c>
      <c r="D710" s="129" t="str">
        <f t="shared" si="56"/>
        <v>Предприятие (1 пользователь)ОПТИМАЛЬНЫЙ9</v>
      </c>
      <c r="E710" s="235">
        <v>0</v>
      </c>
      <c r="F710" s="144">
        <v>9</v>
      </c>
      <c r="G710" s="144" t="s">
        <v>231</v>
      </c>
      <c r="H710" s="256">
        <f t="shared" si="54"/>
        <v>0</v>
      </c>
    </row>
    <row r="711" spans="1:8" x14ac:dyDescent="0.3">
      <c r="A711" s="128" t="s">
        <v>187</v>
      </c>
      <c r="B711" s="129" t="s">
        <v>51</v>
      </c>
      <c r="C711" s="129" t="s">
        <v>21</v>
      </c>
      <c r="D711" s="129" t="str">
        <f t="shared" si="56"/>
        <v>Предприятие ПРОФ (1 пользователь)ОПТИМАЛЬНЫЙ9</v>
      </c>
      <c r="E711" s="235">
        <v>0</v>
      </c>
      <c r="F711" s="144">
        <v>9</v>
      </c>
      <c r="G711" s="144" t="s">
        <v>231</v>
      </c>
      <c r="H711" s="256">
        <f t="shared" si="54"/>
        <v>0</v>
      </c>
    </row>
    <row r="712" spans="1:8" x14ac:dyDescent="0.3">
      <c r="A712" s="128" t="s">
        <v>187</v>
      </c>
      <c r="B712" s="129" t="s">
        <v>73</v>
      </c>
      <c r="C712" s="129" t="s">
        <v>21</v>
      </c>
      <c r="D712" s="129" t="str">
        <f t="shared" si="56"/>
        <v>VIP Предприятие (1 пользователь)ОПТИМАЛЬНЫЙ9</v>
      </c>
      <c r="E712" s="235">
        <v>0</v>
      </c>
      <c r="F712" s="144">
        <v>9</v>
      </c>
      <c r="G712" s="144" t="s">
        <v>231</v>
      </c>
      <c r="H712" s="256">
        <f t="shared" si="54"/>
        <v>0</v>
      </c>
    </row>
    <row r="713" spans="1:8" x14ac:dyDescent="0.3">
      <c r="A713" s="128" t="s">
        <v>187</v>
      </c>
      <c r="B713" s="129" t="s">
        <v>314</v>
      </c>
      <c r="C713" s="129" t="s">
        <v>21</v>
      </c>
      <c r="D713" s="129" t="str">
        <f t="shared" si="56"/>
        <v>Пакет Программ Главный Бухгалтер, Podpis (1 пользователь, ЛД)ОПТИМАЛЬНЫЙ9</v>
      </c>
      <c r="E713" s="130"/>
      <c r="F713" s="129">
        <v>9</v>
      </c>
      <c r="G713" s="129"/>
      <c r="H713" s="138"/>
    </row>
    <row r="714" spans="1:8" x14ac:dyDescent="0.3">
      <c r="A714" s="128" t="s">
        <v>187</v>
      </c>
      <c r="B714" s="129" t="s">
        <v>312</v>
      </c>
      <c r="C714" s="129" t="s">
        <v>21</v>
      </c>
      <c r="D714" s="129" t="str">
        <f t="shared" si="56"/>
        <v>Пакет Программ Главный Бухгалтер, Podpis, ilex.Накладные (1 пользователь, ЛД)ОПТИМАЛЬНЫЙ9</v>
      </c>
      <c r="E714" s="130"/>
      <c r="F714" s="129">
        <v>9</v>
      </c>
      <c r="G714" s="129"/>
      <c r="H714" s="138"/>
    </row>
    <row r="715" spans="1:8" x14ac:dyDescent="0.3">
      <c r="A715" s="128" t="s">
        <v>187</v>
      </c>
      <c r="B715" s="129" t="s">
        <v>315</v>
      </c>
      <c r="C715" s="129" t="s">
        <v>21</v>
      </c>
      <c r="D715" s="129" t="str">
        <f t="shared" si="56"/>
        <v>Пакет Программ Главный Бухгалтер ПРОФ, Podpis (1 пользователь, ЛД)ОПТИМАЛЬНЫЙ9</v>
      </c>
      <c r="E715" s="145">
        <v>0.15</v>
      </c>
      <c r="F715" s="144">
        <v>9</v>
      </c>
      <c r="G715" s="129"/>
      <c r="H715" s="256">
        <f t="shared" ref="H715:H755" si="57">$B$43</f>
        <v>0</v>
      </c>
    </row>
    <row r="716" spans="1:8" x14ac:dyDescent="0.3">
      <c r="A716" s="128" t="s">
        <v>187</v>
      </c>
      <c r="B716" s="129" t="s">
        <v>313</v>
      </c>
      <c r="C716" s="129" t="s">
        <v>21</v>
      </c>
      <c r="D716" s="129" t="str">
        <f t="shared" si="56"/>
        <v>Пакет Программ Главный Бухгалтер ПРОФ, Podpis, ilex.Накладные (1 пользователь, ЛД)ОПТИМАЛЬНЫЙ9</v>
      </c>
      <c r="E716" s="145">
        <v>0.15</v>
      </c>
      <c r="F716" s="144">
        <v>9</v>
      </c>
      <c r="G716" s="129"/>
      <c r="H716" s="256">
        <f t="shared" si="57"/>
        <v>0</v>
      </c>
    </row>
    <row r="717" spans="1:8" x14ac:dyDescent="0.3">
      <c r="A717" s="128" t="s">
        <v>186</v>
      </c>
      <c r="B717" s="129" t="s">
        <v>9</v>
      </c>
      <c r="C717" s="129" t="s">
        <v>20</v>
      </c>
      <c r="D717" s="129" t="str">
        <f t="shared" ref="D717:D740" si="58">CONCATENATE(B717,C717,F717)</f>
        <v>Предприятие ПРОФЭКСПЕРТ9</v>
      </c>
      <c r="E717" s="130">
        <v>0</v>
      </c>
      <c r="F717" s="144">
        <v>9</v>
      </c>
      <c r="G717" s="144" t="s">
        <v>231</v>
      </c>
      <c r="H717" s="256">
        <f t="shared" si="57"/>
        <v>0</v>
      </c>
    </row>
    <row r="718" spans="1:8" x14ac:dyDescent="0.3">
      <c r="A718" s="128" t="s">
        <v>186</v>
      </c>
      <c r="B718" s="129" t="s">
        <v>4</v>
      </c>
      <c r="C718" s="129" t="s">
        <v>20</v>
      </c>
      <c r="D718" s="129" t="str">
        <f t="shared" si="58"/>
        <v>ПредприятиеЭКСПЕРТ9</v>
      </c>
      <c r="E718" s="130">
        <v>0</v>
      </c>
      <c r="F718" s="144">
        <v>9</v>
      </c>
      <c r="G718" s="144" t="s">
        <v>231</v>
      </c>
      <c r="H718" s="256">
        <f t="shared" si="57"/>
        <v>0</v>
      </c>
    </row>
    <row r="719" spans="1:8" x14ac:dyDescent="0.3">
      <c r="A719" s="128" t="s">
        <v>186</v>
      </c>
      <c r="B719" s="129" t="s">
        <v>10</v>
      </c>
      <c r="C719" s="129" t="s">
        <v>20</v>
      </c>
      <c r="D719" s="129" t="str">
        <f t="shared" si="58"/>
        <v>Главный Бухгалтер ПРОФЭКСПЕРТ9</v>
      </c>
      <c r="E719" s="130">
        <v>0</v>
      </c>
      <c r="F719" s="144">
        <v>9</v>
      </c>
      <c r="G719" s="144" t="s">
        <v>231</v>
      </c>
      <c r="H719" s="256">
        <f t="shared" si="57"/>
        <v>0</v>
      </c>
    </row>
    <row r="720" spans="1:8" x14ac:dyDescent="0.3">
      <c r="A720" s="128" t="s">
        <v>186</v>
      </c>
      <c r="B720" s="129" t="s">
        <v>11</v>
      </c>
      <c r="C720" s="129" t="s">
        <v>20</v>
      </c>
      <c r="D720" s="129" t="str">
        <f t="shared" si="58"/>
        <v>VIP ПредприятиеЭКСПЕРТ9</v>
      </c>
      <c r="E720" s="130">
        <v>0</v>
      </c>
      <c r="F720" s="144">
        <v>9</v>
      </c>
      <c r="G720" s="144" t="s">
        <v>231</v>
      </c>
      <c r="H720" s="256">
        <f t="shared" si="57"/>
        <v>0</v>
      </c>
    </row>
    <row r="721" spans="1:8" x14ac:dyDescent="0.3">
      <c r="A721" s="128" t="s">
        <v>186</v>
      </c>
      <c r="B721" s="129" t="s">
        <v>9</v>
      </c>
      <c r="C721" s="129" t="s">
        <v>21</v>
      </c>
      <c r="D721" s="129" t="str">
        <f t="shared" si="58"/>
        <v>Предприятие ПРОФОПТИМАЛЬНЫЙ9</v>
      </c>
      <c r="E721" s="130">
        <v>0</v>
      </c>
      <c r="F721" s="144">
        <v>9</v>
      </c>
      <c r="G721" s="144" t="s">
        <v>231</v>
      </c>
      <c r="H721" s="256">
        <f t="shared" si="57"/>
        <v>0</v>
      </c>
    </row>
    <row r="722" spans="1:8" x14ac:dyDescent="0.3">
      <c r="A722" s="128" t="s">
        <v>186</v>
      </c>
      <c r="B722" s="129" t="s">
        <v>4</v>
      </c>
      <c r="C722" s="129" t="s">
        <v>21</v>
      </c>
      <c r="D722" s="129" t="str">
        <f t="shared" si="58"/>
        <v>ПредприятиеОПТИМАЛЬНЫЙ9</v>
      </c>
      <c r="E722" s="130">
        <v>0</v>
      </c>
      <c r="F722" s="144">
        <v>9</v>
      </c>
      <c r="G722" s="144" t="s">
        <v>231</v>
      </c>
      <c r="H722" s="256">
        <f t="shared" si="57"/>
        <v>0</v>
      </c>
    </row>
    <row r="723" spans="1:8" x14ac:dyDescent="0.3">
      <c r="A723" s="128" t="s">
        <v>186</v>
      </c>
      <c r="B723" s="129" t="s">
        <v>10</v>
      </c>
      <c r="C723" s="129" t="s">
        <v>21</v>
      </c>
      <c r="D723" s="129" t="str">
        <f t="shared" si="58"/>
        <v>Главный Бухгалтер ПРОФОПТИМАЛЬНЫЙ9</v>
      </c>
      <c r="E723" s="130">
        <v>0</v>
      </c>
      <c r="F723" s="144">
        <v>9</v>
      </c>
      <c r="G723" s="144" t="s">
        <v>231</v>
      </c>
      <c r="H723" s="256">
        <f t="shared" si="57"/>
        <v>0</v>
      </c>
    </row>
    <row r="724" spans="1:8" x14ac:dyDescent="0.3">
      <c r="A724" s="128" t="s">
        <v>186</v>
      </c>
      <c r="B724" s="129" t="s">
        <v>11</v>
      </c>
      <c r="C724" s="129" t="s">
        <v>21</v>
      </c>
      <c r="D724" s="129" t="str">
        <f t="shared" si="58"/>
        <v>VIP ПредприятиеОПТИМАЛЬНЫЙ9</v>
      </c>
      <c r="E724" s="130">
        <v>0</v>
      </c>
      <c r="F724" s="144">
        <v>9</v>
      </c>
      <c r="G724" s="144" t="s">
        <v>231</v>
      </c>
      <c r="H724" s="256">
        <f t="shared" si="57"/>
        <v>0</v>
      </c>
    </row>
    <row r="725" spans="1:8" x14ac:dyDescent="0.3">
      <c r="A725" s="128" t="s">
        <v>186</v>
      </c>
      <c r="B725" s="129" t="s">
        <v>9</v>
      </c>
      <c r="C725" s="129" t="s">
        <v>189</v>
      </c>
      <c r="D725" s="129" t="str">
        <f t="shared" si="58"/>
        <v>Предприятие ПРОФЭКСПЕРТОПТИМАЛЬНЫЙ9</v>
      </c>
      <c r="E725" s="130">
        <v>0</v>
      </c>
      <c r="F725" s="144">
        <v>9</v>
      </c>
      <c r="G725" s="144" t="s">
        <v>231</v>
      </c>
      <c r="H725" s="256">
        <f t="shared" si="57"/>
        <v>0</v>
      </c>
    </row>
    <row r="726" spans="1:8" x14ac:dyDescent="0.3">
      <c r="A726" s="128" t="s">
        <v>186</v>
      </c>
      <c r="B726" s="129" t="s">
        <v>4</v>
      </c>
      <c r="C726" s="129" t="s">
        <v>189</v>
      </c>
      <c r="D726" s="129" t="str">
        <f t="shared" si="58"/>
        <v>ПредприятиеЭКСПЕРТОПТИМАЛЬНЫЙ9</v>
      </c>
      <c r="E726" s="130">
        <v>0</v>
      </c>
      <c r="F726" s="144">
        <v>9</v>
      </c>
      <c r="G726" s="144" t="s">
        <v>231</v>
      </c>
      <c r="H726" s="256">
        <f t="shared" si="57"/>
        <v>0</v>
      </c>
    </row>
    <row r="727" spans="1:8" x14ac:dyDescent="0.3">
      <c r="A727" s="128" t="s">
        <v>186</v>
      </c>
      <c r="B727" s="129" t="s">
        <v>10</v>
      </c>
      <c r="C727" s="129" t="s">
        <v>189</v>
      </c>
      <c r="D727" s="129" t="str">
        <f t="shared" si="58"/>
        <v>Главный Бухгалтер ПРОФЭКСПЕРТОПТИМАЛЬНЫЙ9</v>
      </c>
      <c r="E727" s="130">
        <v>0</v>
      </c>
      <c r="F727" s="144">
        <v>9</v>
      </c>
      <c r="G727" s="144" t="s">
        <v>231</v>
      </c>
      <c r="H727" s="256">
        <f t="shared" si="57"/>
        <v>0</v>
      </c>
    </row>
    <row r="728" spans="1:8" x14ac:dyDescent="0.3">
      <c r="A728" s="128" t="s">
        <v>186</v>
      </c>
      <c r="B728" s="129" t="s">
        <v>11</v>
      </c>
      <c r="C728" s="129" t="s">
        <v>189</v>
      </c>
      <c r="D728" s="129" t="str">
        <f t="shared" si="58"/>
        <v>VIP ПредприятиеЭКСПЕРТОПТИМАЛЬНЫЙ9</v>
      </c>
      <c r="E728" s="130">
        <v>0</v>
      </c>
      <c r="F728" s="144">
        <v>9</v>
      </c>
      <c r="G728" s="144" t="s">
        <v>231</v>
      </c>
      <c r="H728" s="256">
        <f t="shared" si="57"/>
        <v>0</v>
      </c>
    </row>
    <row r="729" spans="1:8" x14ac:dyDescent="0.3">
      <c r="A729" s="128" t="s">
        <v>186</v>
      </c>
      <c r="B729" s="129" t="s">
        <v>9</v>
      </c>
      <c r="C729" s="129" t="s">
        <v>190</v>
      </c>
      <c r="D729" s="129" t="str">
        <f t="shared" si="58"/>
        <v>Предприятие ПРОФЭКСПЕРТМИНИМАЛЬНЫЙ9</v>
      </c>
      <c r="E729" s="130">
        <v>0</v>
      </c>
      <c r="F729" s="144">
        <v>9</v>
      </c>
      <c r="G729" s="144" t="s">
        <v>231</v>
      </c>
      <c r="H729" s="256">
        <f t="shared" si="57"/>
        <v>0</v>
      </c>
    </row>
    <row r="730" spans="1:8" x14ac:dyDescent="0.3">
      <c r="A730" s="128" t="s">
        <v>186</v>
      </c>
      <c r="B730" s="129" t="s">
        <v>4</v>
      </c>
      <c r="C730" s="129" t="s">
        <v>190</v>
      </c>
      <c r="D730" s="129" t="str">
        <f t="shared" si="58"/>
        <v>ПредприятиеЭКСПЕРТМИНИМАЛЬНЫЙ9</v>
      </c>
      <c r="E730" s="130">
        <v>0</v>
      </c>
      <c r="F730" s="144">
        <v>9</v>
      </c>
      <c r="G730" s="144" t="s">
        <v>231</v>
      </c>
      <c r="H730" s="256">
        <f t="shared" si="57"/>
        <v>0</v>
      </c>
    </row>
    <row r="731" spans="1:8" x14ac:dyDescent="0.3">
      <c r="A731" s="128" t="s">
        <v>186</v>
      </c>
      <c r="B731" s="129" t="s">
        <v>10</v>
      </c>
      <c r="C731" s="129" t="s">
        <v>192</v>
      </c>
      <c r="D731" s="129" t="str">
        <f t="shared" si="58"/>
        <v>Главный Бухгалтер ПРОФЭКСПЕРТБАЗОВЫЙ9</v>
      </c>
      <c r="E731" s="130">
        <v>0</v>
      </c>
      <c r="F731" s="144">
        <v>9</v>
      </c>
      <c r="G731" s="144" t="s">
        <v>231</v>
      </c>
      <c r="H731" s="256">
        <f t="shared" si="57"/>
        <v>0</v>
      </c>
    </row>
    <row r="732" spans="1:8" x14ac:dyDescent="0.3">
      <c r="A732" s="128" t="s">
        <v>186</v>
      </c>
      <c r="B732" s="129" t="s">
        <v>11</v>
      </c>
      <c r="C732" s="129" t="s">
        <v>190</v>
      </c>
      <c r="D732" s="129" t="str">
        <f t="shared" si="58"/>
        <v>VIP ПредприятиеЭКСПЕРТМИНИМАЛЬНЫЙ9</v>
      </c>
      <c r="E732" s="130">
        <v>0</v>
      </c>
      <c r="F732" s="144">
        <v>9</v>
      </c>
      <c r="G732" s="144" t="s">
        <v>231</v>
      </c>
      <c r="H732" s="256">
        <f t="shared" si="57"/>
        <v>0</v>
      </c>
    </row>
    <row r="733" spans="1:8" x14ac:dyDescent="0.3">
      <c r="A733" s="128" t="s">
        <v>186</v>
      </c>
      <c r="B733" s="129" t="s">
        <v>9</v>
      </c>
      <c r="C733" s="129" t="s">
        <v>191</v>
      </c>
      <c r="D733" s="129" t="str">
        <f t="shared" si="58"/>
        <v>Предприятие ПРОФОПТИМАЛЬНЫЙМИНИМАЛЬНЫЙ9</v>
      </c>
      <c r="E733" s="130">
        <v>0</v>
      </c>
      <c r="F733" s="144">
        <v>9</v>
      </c>
      <c r="G733" s="144" t="s">
        <v>231</v>
      </c>
      <c r="H733" s="256">
        <f t="shared" si="57"/>
        <v>0</v>
      </c>
    </row>
    <row r="734" spans="1:8" x14ac:dyDescent="0.3">
      <c r="A734" s="128" t="s">
        <v>186</v>
      </c>
      <c r="B734" s="129" t="s">
        <v>4</v>
      </c>
      <c r="C734" s="129" t="s">
        <v>191</v>
      </c>
      <c r="D734" s="129" t="str">
        <f t="shared" si="58"/>
        <v>ПредприятиеОПТИМАЛЬНЫЙМИНИМАЛЬНЫЙ9</v>
      </c>
      <c r="E734" s="130">
        <v>0</v>
      </c>
      <c r="F734" s="144">
        <v>9</v>
      </c>
      <c r="G734" s="144" t="s">
        <v>231</v>
      </c>
      <c r="H734" s="256">
        <f t="shared" si="57"/>
        <v>0</v>
      </c>
    </row>
    <row r="735" spans="1:8" x14ac:dyDescent="0.3">
      <c r="A735" s="128" t="s">
        <v>186</v>
      </c>
      <c r="B735" s="129" t="s">
        <v>10</v>
      </c>
      <c r="C735" s="129" t="s">
        <v>234</v>
      </c>
      <c r="D735" s="129" t="str">
        <f t="shared" si="58"/>
        <v>Главный Бухгалтер ПРОФОПТИМАЛЬНЫЙБАЗОВЫЙ9</v>
      </c>
      <c r="E735" s="130">
        <v>0</v>
      </c>
      <c r="F735" s="144">
        <v>9</v>
      </c>
      <c r="G735" s="144" t="s">
        <v>231</v>
      </c>
      <c r="H735" s="256">
        <f t="shared" si="57"/>
        <v>0</v>
      </c>
    </row>
    <row r="736" spans="1:8" x14ac:dyDescent="0.3">
      <c r="A736" s="128" t="s">
        <v>186</v>
      </c>
      <c r="B736" s="129" t="s">
        <v>11</v>
      </c>
      <c r="C736" s="129" t="s">
        <v>191</v>
      </c>
      <c r="D736" s="129" t="str">
        <f t="shared" si="58"/>
        <v>VIP ПредприятиеОПТИМАЛЬНЫЙМИНИМАЛЬНЫЙ9</v>
      </c>
      <c r="E736" s="130">
        <v>0</v>
      </c>
      <c r="F736" s="144">
        <v>9</v>
      </c>
      <c r="G736" s="144" t="s">
        <v>231</v>
      </c>
      <c r="H736" s="256">
        <f t="shared" si="57"/>
        <v>0</v>
      </c>
    </row>
    <row r="737" spans="1:8" x14ac:dyDescent="0.3">
      <c r="A737" s="128" t="s">
        <v>186</v>
      </c>
      <c r="B737" s="129" t="s">
        <v>9</v>
      </c>
      <c r="C737" s="129" t="s">
        <v>194</v>
      </c>
      <c r="D737" s="129" t="str">
        <f t="shared" si="58"/>
        <v>Предприятие ПРОФЭКСПЕРТОПТИМАЛЬНЫЙМИНИМАЛЬНЫЙ9</v>
      </c>
      <c r="E737" s="130">
        <v>0</v>
      </c>
      <c r="F737" s="152">
        <v>9</v>
      </c>
      <c r="G737" s="152" t="s">
        <v>231</v>
      </c>
      <c r="H737" s="256">
        <f t="shared" si="57"/>
        <v>0</v>
      </c>
    </row>
    <row r="738" spans="1:8" x14ac:dyDescent="0.3">
      <c r="A738" s="128" t="s">
        <v>186</v>
      </c>
      <c r="B738" s="129" t="s">
        <v>4</v>
      </c>
      <c r="C738" s="129" t="s">
        <v>194</v>
      </c>
      <c r="D738" s="129" t="str">
        <f t="shared" si="58"/>
        <v>ПредприятиеЭКСПЕРТОПТИМАЛЬНЫЙМИНИМАЛЬНЫЙ9</v>
      </c>
      <c r="E738" s="130">
        <v>0</v>
      </c>
      <c r="F738" s="152">
        <v>9</v>
      </c>
      <c r="G738" s="152" t="s">
        <v>231</v>
      </c>
      <c r="H738" s="256">
        <f t="shared" si="57"/>
        <v>0</v>
      </c>
    </row>
    <row r="739" spans="1:8" x14ac:dyDescent="0.3">
      <c r="A739" s="128" t="s">
        <v>186</v>
      </c>
      <c r="B739" s="129" t="s">
        <v>10</v>
      </c>
      <c r="C739" s="129" t="s">
        <v>195</v>
      </c>
      <c r="D739" s="129" t="str">
        <f t="shared" si="58"/>
        <v>Главный Бухгалтер ПРОФЭКСПЕРТОПТИМАЛЬНЫЙБАЗОВЫЙ9</v>
      </c>
      <c r="E739" s="130">
        <v>0</v>
      </c>
      <c r="F739" s="152">
        <v>9</v>
      </c>
      <c r="G739" s="152" t="s">
        <v>231</v>
      </c>
      <c r="H739" s="256">
        <f t="shared" si="57"/>
        <v>0</v>
      </c>
    </row>
    <row r="740" spans="1:8" x14ac:dyDescent="0.3">
      <c r="A740" s="128" t="s">
        <v>186</v>
      </c>
      <c r="B740" s="129" t="s">
        <v>11</v>
      </c>
      <c r="C740" s="129" t="s">
        <v>194</v>
      </c>
      <c r="D740" s="129" t="str">
        <f t="shared" si="58"/>
        <v>VIP ПредприятиеЭКСПЕРТОПТИМАЛЬНЫЙМИНИМАЛЬНЫЙ9</v>
      </c>
      <c r="E740" s="130">
        <v>0</v>
      </c>
      <c r="F740" s="152">
        <v>9</v>
      </c>
      <c r="G740" s="152" t="s">
        <v>231</v>
      </c>
      <c r="H740" s="256">
        <f t="shared" si="57"/>
        <v>0</v>
      </c>
    </row>
    <row r="741" spans="1:8" x14ac:dyDescent="0.3">
      <c r="A741" s="128" t="s">
        <v>187</v>
      </c>
      <c r="B741" s="129" t="s">
        <v>50</v>
      </c>
      <c r="C741" s="129" t="s">
        <v>20</v>
      </c>
      <c r="D741" s="129" t="str">
        <f t="shared" ref="D741:D759" si="59">_xlfn.CONCAT(B741,C741,F741)</f>
        <v>Предприятие (1 пользователь)ЭКСПЕРТ10</v>
      </c>
      <c r="E741" s="235">
        <v>0</v>
      </c>
      <c r="F741" s="144">
        <v>10</v>
      </c>
      <c r="G741" s="144" t="s">
        <v>231</v>
      </c>
      <c r="H741" s="256">
        <f t="shared" si="57"/>
        <v>0</v>
      </c>
    </row>
    <row r="742" spans="1:8" x14ac:dyDescent="0.3">
      <c r="A742" s="128" t="s">
        <v>187</v>
      </c>
      <c r="B742" s="129" t="s">
        <v>51</v>
      </c>
      <c r="C742" s="129" t="s">
        <v>20</v>
      </c>
      <c r="D742" s="129" t="str">
        <f t="shared" si="59"/>
        <v>Предприятие ПРОФ (1 пользователь)ЭКСПЕРТ10</v>
      </c>
      <c r="E742" s="235">
        <v>0</v>
      </c>
      <c r="F742" s="144">
        <v>10</v>
      </c>
      <c r="G742" s="144" t="s">
        <v>231</v>
      </c>
      <c r="H742" s="256">
        <f t="shared" si="57"/>
        <v>0</v>
      </c>
    </row>
    <row r="743" spans="1:8" x14ac:dyDescent="0.3">
      <c r="A743" s="128" t="s">
        <v>187</v>
      </c>
      <c r="B743" s="129" t="s">
        <v>49</v>
      </c>
      <c r="C743" s="129" t="s">
        <v>20</v>
      </c>
      <c r="D743" s="129" t="str">
        <f t="shared" si="59"/>
        <v>Главный Бухгалтер ПРОФ (1 пользователь)ЭКСПЕРТ10</v>
      </c>
      <c r="E743" s="130">
        <v>0</v>
      </c>
      <c r="F743" s="144">
        <v>10</v>
      </c>
      <c r="G743" s="144" t="s">
        <v>231</v>
      </c>
      <c r="H743" s="256">
        <f t="shared" si="57"/>
        <v>0</v>
      </c>
    </row>
    <row r="744" spans="1:8" x14ac:dyDescent="0.3">
      <c r="A744" s="128" t="s">
        <v>187</v>
      </c>
      <c r="B744" s="129" t="s">
        <v>73</v>
      </c>
      <c r="C744" s="129" t="s">
        <v>20</v>
      </c>
      <c r="D744" s="129" t="str">
        <f t="shared" si="59"/>
        <v>VIP Предприятие (1 пользователь)ЭКСПЕРТ10</v>
      </c>
      <c r="E744" s="235">
        <v>0</v>
      </c>
      <c r="F744" s="144">
        <v>10</v>
      </c>
      <c r="G744" s="144" t="s">
        <v>231</v>
      </c>
      <c r="H744" s="256">
        <f t="shared" si="57"/>
        <v>0</v>
      </c>
    </row>
    <row r="745" spans="1:8" x14ac:dyDescent="0.3">
      <c r="A745" s="128" t="s">
        <v>187</v>
      </c>
      <c r="B745" s="129" t="s">
        <v>314</v>
      </c>
      <c r="C745" s="129" t="s">
        <v>20</v>
      </c>
      <c r="D745" s="129" t="str">
        <f t="shared" si="59"/>
        <v>Пакет Программ Главный Бухгалтер, Podpis (1 пользователь, ЛД)ЭКСПЕРТ10</v>
      </c>
      <c r="E745" s="145">
        <v>0.15</v>
      </c>
      <c r="F745" s="144">
        <v>10</v>
      </c>
      <c r="G745" s="129"/>
      <c r="H745" s="256">
        <f t="shared" si="57"/>
        <v>0</v>
      </c>
    </row>
    <row r="746" spans="1:8" x14ac:dyDescent="0.3">
      <c r="A746" s="128" t="s">
        <v>187</v>
      </c>
      <c r="B746" s="129" t="s">
        <v>312</v>
      </c>
      <c r="C746" s="129" t="s">
        <v>20</v>
      </c>
      <c r="D746" s="129" t="str">
        <f t="shared" si="59"/>
        <v>Пакет Программ Главный Бухгалтер, Podpis, ilex.Накладные (1 пользователь, ЛД)ЭКСПЕРТ10</v>
      </c>
      <c r="E746" s="145">
        <v>0.15</v>
      </c>
      <c r="F746" s="144">
        <v>10</v>
      </c>
      <c r="G746" s="129"/>
      <c r="H746" s="256">
        <f t="shared" si="57"/>
        <v>0</v>
      </c>
    </row>
    <row r="747" spans="1:8" x14ac:dyDescent="0.3">
      <c r="A747" s="128" t="s">
        <v>187</v>
      </c>
      <c r="B747" s="129" t="s">
        <v>315</v>
      </c>
      <c r="C747" s="129" t="s">
        <v>20</v>
      </c>
      <c r="D747" s="129" t="str">
        <f t="shared" si="59"/>
        <v>Пакет Программ Главный Бухгалтер ПРОФ, Podpis (1 пользователь, ЛД)ЭКСПЕРТ10</v>
      </c>
      <c r="E747" s="145">
        <v>0.15</v>
      </c>
      <c r="F747" s="144">
        <v>10</v>
      </c>
      <c r="G747" s="129"/>
      <c r="H747" s="256">
        <f t="shared" si="57"/>
        <v>0</v>
      </c>
    </row>
    <row r="748" spans="1:8" x14ac:dyDescent="0.3">
      <c r="A748" s="128" t="s">
        <v>187</v>
      </c>
      <c r="B748" s="129" t="s">
        <v>313</v>
      </c>
      <c r="C748" s="129" t="s">
        <v>20</v>
      </c>
      <c r="D748" s="129" t="str">
        <f t="shared" si="59"/>
        <v>Пакет Программ Главный Бухгалтер ПРОФ, Podpis, ilex.Накладные (1 пользователь, ЛД)ЭКСПЕРТ10</v>
      </c>
      <c r="E748" s="145">
        <v>0.15</v>
      </c>
      <c r="F748" s="144">
        <v>10</v>
      </c>
      <c r="G748" s="129"/>
      <c r="H748" s="256">
        <f t="shared" si="57"/>
        <v>0</v>
      </c>
    </row>
    <row r="749" spans="1:8" x14ac:dyDescent="0.3">
      <c r="A749" s="128" t="s">
        <v>187</v>
      </c>
      <c r="B749" s="129" t="s">
        <v>314</v>
      </c>
      <c r="C749" s="129" t="s">
        <v>188</v>
      </c>
      <c r="D749" s="129" t="str">
        <f t="shared" si="59"/>
        <v>Пакет Программ Главный Бухгалтер, Podpis (1 пользователь, ЛД)ОПТИМАЛЬНЫЙ ПЛЮС10</v>
      </c>
      <c r="E749" s="145">
        <v>0.15</v>
      </c>
      <c r="F749" s="144">
        <v>10</v>
      </c>
      <c r="G749" s="129"/>
      <c r="H749" s="256">
        <f t="shared" si="57"/>
        <v>0</v>
      </c>
    </row>
    <row r="750" spans="1:8" x14ac:dyDescent="0.3">
      <c r="A750" s="128" t="s">
        <v>187</v>
      </c>
      <c r="B750" s="129" t="s">
        <v>312</v>
      </c>
      <c r="C750" s="129" t="s">
        <v>188</v>
      </c>
      <c r="D750" s="129" t="str">
        <f t="shared" si="59"/>
        <v>Пакет Программ Главный Бухгалтер, Podpis, ilex.Накладные (1 пользователь, ЛД)ОПТИМАЛЬНЫЙ ПЛЮС10</v>
      </c>
      <c r="E750" s="145">
        <v>0.15</v>
      </c>
      <c r="F750" s="144">
        <v>10</v>
      </c>
      <c r="G750" s="129"/>
      <c r="H750" s="256">
        <f t="shared" si="57"/>
        <v>0</v>
      </c>
    </row>
    <row r="751" spans="1:8" x14ac:dyDescent="0.3">
      <c r="A751" s="128" t="s">
        <v>187</v>
      </c>
      <c r="B751" s="129" t="s">
        <v>315</v>
      </c>
      <c r="C751" s="129" t="s">
        <v>188</v>
      </c>
      <c r="D751" s="129" t="str">
        <f t="shared" si="59"/>
        <v>Пакет Программ Главный Бухгалтер ПРОФ, Podpis (1 пользователь, ЛД)ОПТИМАЛЬНЫЙ ПЛЮС10</v>
      </c>
      <c r="E751" s="145">
        <v>0.15</v>
      </c>
      <c r="F751" s="144">
        <v>10</v>
      </c>
      <c r="G751" s="129"/>
      <c r="H751" s="256">
        <f t="shared" si="57"/>
        <v>0</v>
      </c>
    </row>
    <row r="752" spans="1:8" x14ac:dyDescent="0.3">
      <c r="A752" s="128" t="s">
        <v>187</v>
      </c>
      <c r="B752" s="129" t="s">
        <v>313</v>
      </c>
      <c r="C752" s="129" t="s">
        <v>188</v>
      </c>
      <c r="D752" s="129" t="str">
        <f t="shared" si="59"/>
        <v>Пакет Программ Главный Бухгалтер ПРОФ, Podpis, ilex.Накладные (1 пользователь, ЛД)ОПТИМАЛЬНЫЙ ПЛЮС10</v>
      </c>
      <c r="E752" s="145">
        <v>0.15</v>
      </c>
      <c r="F752" s="144">
        <v>10</v>
      </c>
      <c r="G752" s="129"/>
      <c r="H752" s="256">
        <f t="shared" si="57"/>
        <v>0</v>
      </c>
    </row>
    <row r="753" spans="1:8" x14ac:dyDescent="0.3">
      <c r="A753" s="128" t="s">
        <v>187</v>
      </c>
      <c r="B753" s="129" t="s">
        <v>50</v>
      </c>
      <c r="C753" s="129" t="s">
        <v>21</v>
      </c>
      <c r="D753" s="129" t="str">
        <f t="shared" si="59"/>
        <v>Предприятие (1 пользователь)ОПТИМАЛЬНЫЙ10</v>
      </c>
      <c r="E753" s="235">
        <v>0</v>
      </c>
      <c r="F753" s="144">
        <v>10</v>
      </c>
      <c r="G753" s="144" t="s">
        <v>231</v>
      </c>
      <c r="H753" s="256">
        <f t="shared" si="57"/>
        <v>0</v>
      </c>
    </row>
    <row r="754" spans="1:8" x14ac:dyDescent="0.3">
      <c r="A754" s="128" t="s">
        <v>187</v>
      </c>
      <c r="B754" s="129" t="s">
        <v>51</v>
      </c>
      <c r="C754" s="129" t="s">
        <v>21</v>
      </c>
      <c r="D754" s="129" t="str">
        <f t="shared" si="59"/>
        <v>Предприятие ПРОФ (1 пользователь)ОПТИМАЛЬНЫЙ10</v>
      </c>
      <c r="E754" s="235">
        <v>0</v>
      </c>
      <c r="F754" s="144">
        <v>10</v>
      </c>
      <c r="G754" s="144" t="s">
        <v>231</v>
      </c>
      <c r="H754" s="256">
        <f t="shared" si="57"/>
        <v>0</v>
      </c>
    </row>
    <row r="755" spans="1:8" x14ac:dyDescent="0.3">
      <c r="A755" s="128" t="s">
        <v>187</v>
      </c>
      <c r="B755" s="129" t="s">
        <v>73</v>
      </c>
      <c r="C755" s="129" t="s">
        <v>21</v>
      </c>
      <c r="D755" s="129" t="str">
        <f t="shared" si="59"/>
        <v>VIP Предприятие (1 пользователь)ОПТИМАЛЬНЫЙ10</v>
      </c>
      <c r="E755" s="235">
        <v>0</v>
      </c>
      <c r="F755" s="144">
        <v>10</v>
      </c>
      <c r="G755" s="144" t="s">
        <v>231</v>
      </c>
      <c r="H755" s="256">
        <f t="shared" si="57"/>
        <v>0</v>
      </c>
    </row>
    <row r="756" spans="1:8" x14ac:dyDescent="0.3">
      <c r="A756" s="128" t="s">
        <v>187</v>
      </c>
      <c r="B756" s="129" t="s">
        <v>314</v>
      </c>
      <c r="C756" s="129" t="s">
        <v>21</v>
      </c>
      <c r="D756" s="129" t="str">
        <f t="shared" si="59"/>
        <v>Пакет Программ Главный Бухгалтер, Podpis (1 пользователь, ЛД)ОПТИМАЛЬНЫЙ10</v>
      </c>
      <c r="E756" s="130"/>
      <c r="F756" s="129">
        <v>10</v>
      </c>
      <c r="G756" s="129"/>
      <c r="H756" s="138"/>
    </row>
    <row r="757" spans="1:8" x14ac:dyDescent="0.3">
      <c r="A757" s="128" t="s">
        <v>187</v>
      </c>
      <c r="B757" s="129" t="s">
        <v>312</v>
      </c>
      <c r="C757" s="129" t="s">
        <v>21</v>
      </c>
      <c r="D757" s="129" t="str">
        <f t="shared" si="59"/>
        <v>Пакет Программ Главный Бухгалтер, Podpis, ilex.Накладные (1 пользователь, ЛД)ОПТИМАЛЬНЫЙ10</v>
      </c>
      <c r="E757" s="130"/>
      <c r="F757" s="129">
        <v>10</v>
      </c>
      <c r="G757" s="129"/>
      <c r="H757" s="138"/>
    </row>
    <row r="758" spans="1:8" x14ac:dyDescent="0.3">
      <c r="A758" s="128" t="s">
        <v>187</v>
      </c>
      <c r="B758" s="129" t="s">
        <v>315</v>
      </c>
      <c r="C758" s="129" t="s">
        <v>21</v>
      </c>
      <c r="D758" s="129" t="str">
        <f t="shared" si="59"/>
        <v>Пакет Программ Главный Бухгалтер ПРОФ, Podpis (1 пользователь, ЛД)ОПТИМАЛЬНЫЙ10</v>
      </c>
      <c r="E758" s="145">
        <v>0.15</v>
      </c>
      <c r="F758" s="144">
        <v>10</v>
      </c>
      <c r="G758" s="129"/>
      <c r="H758" s="256">
        <f t="shared" ref="H758:H798" si="60">$B$43</f>
        <v>0</v>
      </c>
    </row>
    <row r="759" spans="1:8" x14ac:dyDescent="0.3">
      <c r="A759" s="128" t="s">
        <v>187</v>
      </c>
      <c r="B759" s="129" t="s">
        <v>313</v>
      </c>
      <c r="C759" s="129" t="s">
        <v>21</v>
      </c>
      <c r="D759" s="129" t="str">
        <f t="shared" si="59"/>
        <v>Пакет Программ Главный Бухгалтер ПРОФ, Podpis, ilex.Накладные (1 пользователь, ЛД)ОПТИМАЛЬНЫЙ10</v>
      </c>
      <c r="E759" s="145">
        <v>0.15</v>
      </c>
      <c r="F759" s="144">
        <v>10</v>
      </c>
      <c r="G759" s="129"/>
      <c r="H759" s="256">
        <f t="shared" si="60"/>
        <v>0</v>
      </c>
    </row>
    <row r="760" spans="1:8" x14ac:dyDescent="0.3">
      <c r="A760" s="128" t="s">
        <v>186</v>
      </c>
      <c r="B760" s="129" t="s">
        <v>9</v>
      </c>
      <c r="C760" s="129" t="s">
        <v>20</v>
      </c>
      <c r="D760" s="129" t="str">
        <f t="shared" ref="D760:D783" si="61">CONCATENATE(B760,C760,F760)</f>
        <v>Предприятие ПРОФЭКСПЕРТ10</v>
      </c>
      <c r="E760" s="130">
        <v>0</v>
      </c>
      <c r="F760" s="144">
        <v>10</v>
      </c>
      <c r="G760" s="144" t="s">
        <v>231</v>
      </c>
      <c r="H760" s="256">
        <f t="shared" si="60"/>
        <v>0</v>
      </c>
    </row>
    <row r="761" spans="1:8" x14ac:dyDescent="0.3">
      <c r="A761" s="128" t="s">
        <v>186</v>
      </c>
      <c r="B761" s="129" t="s">
        <v>4</v>
      </c>
      <c r="C761" s="129" t="s">
        <v>20</v>
      </c>
      <c r="D761" s="129" t="str">
        <f t="shared" si="61"/>
        <v>ПредприятиеЭКСПЕРТ10</v>
      </c>
      <c r="E761" s="130">
        <v>0</v>
      </c>
      <c r="F761" s="144">
        <v>10</v>
      </c>
      <c r="G761" s="144" t="s">
        <v>231</v>
      </c>
      <c r="H761" s="256">
        <f t="shared" si="60"/>
        <v>0</v>
      </c>
    </row>
    <row r="762" spans="1:8" x14ac:dyDescent="0.3">
      <c r="A762" s="128" t="s">
        <v>186</v>
      </c>
      <c r="B762" s="129" t="s">
        <v>10</v>
      </c>
      <c r="C762" s="129" t="s">
        <v>20</v>
      </c>
      <c r="D762" s="129" t="str">
        <f t="shared" si="61"/>
        <v>Главный Бухгалтер ПРОФЭКСПЕРТ10</v>
      </c>
      <c r="E762" s="130">
        <v>0</v>
      </c>
      <c r="F762" s="144">
        <v>10</v>
      </c>
      <c r="G762" s="144" t="s">
        <v>231</v>
      </c>
      <c r="H762" s="256">
        <f t="shared" si="60"/>
        <v>0</v>
      </c>
    </row>
    <row r="763" spans="1:8" x14ac:dyDescent="0.3">
      <c r="A763" s="128" t="s">
        <v>186</v>
      </c>
      <c r="B763" s="129" t="s">
        <v>11</v>
      </c>
      <c r="C763" s="129" t="s">
        <v>20</v>
      </c>
      <c r="D763" s="129" t="str">
        <f t="shared" si="61"/>
        <v>VIP ПредприятиеЭКСПЕРТ10</v>
      </c>
      <c r="E763" s="130">
        <v>0</v>
      </c>
      <c r="F763" s="144">
        <v>10</v>
      </c>
      <c r="G763" s="144" t="s">
        <v>231</v>
      </c>
      <c r="H763" s="256">
        <f t="shared" si="60"/>
        <v>0</v>
      </c>
    </row>
    <row r="764" spans="1:8" x14ac:dyDescent="0.3">
      <c r="A764" s="128" t="s">
        <v>186</v>
      </c>
      <c r="B764" s="129" t="s">
        <v>9</v>
      </c>
      <c r="C764" s="129" t="s">
        <v>21</v>
      </c>
      <c r="D764" s="129" t="str">
        <f t="shared" si="61"/>
        <v>Предприятие ПРОФОПТИМАЛЬНЫЙ10</v>
      </c>
      <c r="E764" s="130">
        <v>0</v>
      </c>
      <c r="F764" s="144">
        <v>10</v>
      </c>
      <c r="G764" s="144" t="s">
        <v>231</v>
      </c>
      <c r="H764" s="256">
        <f t="shared" si="60"/>
        <v>0</v>
      </c>
    </row>
    <row r="765" spans="1:8" x14ac:dyDescent="0.3">
      <c r="A765" s="128" t="s">
        <v>186</v>
      </c>
      <c r="B765" s="129" t="s">
        <v>4</v>
      </c>
      <c r="C765" s="129" t="s">
        <v>21</v>
      </c>
      <c r="D765" s="129" t="str">
        <f t="shared" si="61"/>
        <v>ПредприятиеОПТИМАЛЬНЫЙ10</v>
      </c>
      <c r="E765" s="130">
        <v>0</v>
      </c>
      <c r="F765" s="144">
        <v>10</v>
      </c>
      <c r="G765" s="144" t="s">
        <v>231</v>
      </c>
      <c r="H765" s="256">
        <f t="shared" si="60"/>
        <v>0</v>
      </c>
    </row>
    <row r="766" spans="1:8" x14ac:dyDescent="0.3">
      <c r="A766" s="128" t="s">
        <v>186</v>
      </c>
      <c r="B766" s="129" t="s">
        <v>10</v>
      </c>
      <c r="C766" s="129" t="s">
        <v>21</v>
      </c>
      <c r="D766" s="129" t="str">
        <f t="shared" si="61"/>
        <v>Главный Бухгалтер ПРОФОПТИМАЛЬНЫЙ10</v>
      </c>
      <c r="E766" s="130">
        <v>0</v>
      </c>
      <c r="F766" s="144">
        <v>10</v>
      </c>
      <c r="G766" s="144" t="s">
        <v>231</v>
      </c>
      <c r="H766" s="256">
        <f t="shared" si="60"/>
        <v>0</v>
      </c>
    </row>
    <row r="767" spans="1:8" x14ac:dyDescent="0.3">
      <c r="A767" s="128" t="s">
        <v>186</v>
      </c>
      <c r="B767" s="129" t="s">
        <v>11</v>
      </c>
      <c r="C767" s="129" t="s">
        <v>21</v>
      </c>
      <c r="D767" s="129" t="str">
        <f t="shared" si="61"/>
        <v>VIP ПредприятиеОПТИМАЛЬНЫЙ10</v>
      </c>
      <c r="E767" s="130">
        <v>0</v>
      </c>
      <c r="F767" s="144">
        <v>10</v>
      </c>
      <c r="G767" s="144" t="s">
        <v>231</v>
      </c>
      <c r="H767" s="256">
        <f t="shared" si="60"/>
        <v>0</v>
      </c>
    </row>
    <row r="768" spans="1:8" x14ac:dyDescent="0.3">
      <c r="A768" s="128" t="s">
        <v>186</v>
      </c>
      <c r="B768" s="129" t="s">
        <v>9</v>
      </c>
      <c r="C768" s="129" t="s">
        <v>189</v>
      </c>
      <c r="D768" s="129" t="str">
        <f t="shared" si="61"/>
        <v>Предприятие ПРОФЭКСПЕРТОПТИМАЛЬНЫЙ10</v>
      </c>
      <c r="E768" s="130">
        <v>0</v>
      </c>
      <c r="F768" s="144">
        <v>10</v>
      </c>
      <c r="G768" s="144" t="s">
        <v>231</v>
      </c>
      <c r="H768" s="256">
        <f t="shared" si="60"/>
        <v>0</v>
      </c>
    </row>
    <row r="769" spans="1:8" x14ac:dyDescent="0.3">
      <c r="A769" s="128" t="s">
        <v>186</v>
      </c>
      <c r="B769" s="129" t="s">
        <v>4</v>
      </c>
      <c r="C769" s="129" t="s">
        <v>189</v>
      </c>
      <c r="D769" s="129" t="str">
        <f t="shared" si="61"/>
        <v>ПредприятиеЭКСПЕРТОПТИМАЛЬНЫЙ10</v>
      </c>
      <c r="E769" s="130">
        <v>0</v>
      </c>
      <c r="F769" s="144">
        <v>10</v>
      </c>
      <c r="G769" s="144" t="s">
        <v>231</v>
      </c>
      <c r="H769" s="256">
        <f t="shared" si="60"/>
        <v>0</v>
      </c>
    </row>
    <row r="770" spans="1:8" x14ac:dyDescent="0.3">
      <c r="A770" s="128" t="s">
        <v>186</v>
      </c>
      <c r="B770" s="129" t="s">
        <v>10</v>
      </c>
      <c r="C770" s="129" t="s">
        <v>189</v>
      </c>
      <c r="D770" s="129" t="str">
        <f t="shared" si="61"/>
        <v>Главный Бухгалтер ПРОФЭКСПЕРТОПТИМАЛЬНЫЙ10</v>
      </c>
      <c r="E770" s="130">
        <v>0</v>
      </c>
      <c r="F770" s="144">
        <v>10</v>
      </c>
      <c r="G770" s="144" t="s">
        <v>231</v>
      </c>
      <c r="H770" s="256">
        <f t="shared" si="60"/>
        <v>0</v>
      </c>
    </row>
    <row r="771" spans="1:8" x14ac:dyDescent="0.3">
      <c r="A771" s="128" t="s">
        <v>186</v>
      </c>
      <c r="B771" s="129" t="s">
        <v>11</v>
      </c>
      <c r="C771" s="129" t="s">
        <v>189</v>
      </c>
      <c r="D771" s="129" t="str">
        <f t="shared" si="61"/>
        <v>VIP ПредприятиеЭКСПЕРТОПТИМАЛЬНЫЙ10</v>
      </c>
      <c r="E771" s="130">
        <v>0</v>
      </c>
      <c r="F771" s="144">
        <v>10</v>
      </c>
      <c r="G771" s="144" t="s">
        <v>231</v>
      </c>
      <c r="H771" s="256">
        <f t="shared" si="60"/>
        <v>0</v>
      </c>
    </row>
    <row r="772" spans="1:8" x14ac:dyDescent="0.3">
      <c r="A772" s="128" t="s">
        <v>186</v>
      </c>
      <c r="B772" s="129" t="s">
        <v>9</v>
      </c>
      <c r="C772" s="129" t="s">
        <v>190</v>
      </c>
      <c r="D772" s="129" t="str">
        <f t="shared" si="61"/>
        <v>Предприятие ПРОФЭКСПЕРТМИНИМАЛЬНЫЙ10</v>
      </c>
      <c r="E772" s="130">
        <v>0</v>
      </c>
      <c r="F772" s="144">
        <v>10</v>
      </c>
      <c r="G772" s="144" t="s">
        <v>231</v>
      </c>
      <c r="H772" s="256">
        <f t="shared" si="60"/>
        <v>0</v>
      </c>
    </row>
    <row r="773" spans="1:8" x14ac:dyDescent="0.3">
      <c r="A773" s="128" t="s">
        <v>186</v>
      </c>
      <c r="B773" s="129" t="s">
        <v>4</v>
      </c>
      <c r="C773" s="129" t="s">
        <v>190</v>
      </c>
      <c r="D773" s="129" t="str">
        <f t="shared" si="61"/>
        <v>ПредприятиеЭКСПЕРТМИНИМАЛЬНЫЙ10</v>
      </c>
      <c r="E773" s="130">
        <v>0</v>
      </c>
      <c r="F773" s="144">
        <v>10</v>
      </c>
      <c r="G773" s="144" t="s">
        <v>231</v>
      </c>
      <c r="H773" s="256">
        <f t="shared" si="60"/>
        <v>0</v>
      </c>
    </row>
    <row r="774" spans="1:8" x14ac:dyDescent="0.3">
      <c r="A774" s="128" t="s">
        <v>186</v>
      </c>
      <c r="B774" s="129" t="s">
        <v>10</v>
      </c>
      <c r="C774" s="129" t="s">
        <v>192</v>
      </c>
      <c r="D774" s="129" t="str">
        <f t="shared" si="61"/>
        <v>Главный Бухгалтер ПРОФЭКСПЕРТБАЗОВЫЙ10</v>
      </c>
      <c r="E774" s="130">
        <v>0</v>
      </c>
      <c r="F774" s="144">
        <v>10</v>
      </c>
      <c r="G774" s="144" t="s">
        <v>231</v>
      </c>
      <c r="H774" s="256">
        <f t="shared" si="60"/>
        <v>0</v>
      </c>
    </row>
    <row r="775" spans="1:8" x14ac:dyDescent="0.3">
      <c r="A775" s="128" t="s">
        <v>186</v>
      </c>
      <c r="B775" s="129" t="s">
        <v>11</v>
      </c>
      <c r="C775" s="129" t="s">
        <v>190</v>
      </c>
      <c r="D775" s="129" t="str">
        <f t="shared" si="61"/>
        <v>VIP ПредприятиеЭКСПЕРТМИНИМАЛЬНЫЙ10</v>
      </c>
      <c r="E775" s="130">
        <v>0</v>
      </c>
      <c r="F775" s="144">
        <v>10</v>
      </c>
      <c r="G775" s="144" t="s">
        <v>231</v>
      </c>
      <c r="H775" s="256">
        <f t="shared" si="60"/>
        <v>0</v>
      </c>
    </row>
    <row r="776" spans="1:8" x14ac:dyDescent="0.3">
      <c r="A776" s="128" t="s">
        <v>186</v>
      </c>
      <c r="B776" s="129" t="s">
        <v>9</v>
      </c>
      <c r="C776" s="129" t="s">
        <v>191</v>
      </c>
      <c r="D776" s="129" t="str">
        <f t="shared" si="61"/>
        <v>Предприятие ПРОФОПТИМАЛЬНЫЙМИНИМАЛЬНЫЙ10</v>
      </c>
      <c r="E776" s="130">
        <v>0</v>
      </c>
      <c r="F776" s="144">
        <v>10</v>
      </c>
      <c r="G776" s="144" t="s">
        <v>231</v>
      </c>
      <c r="H776" s="256">
        <f t="shared" si="60"/>
        <v>0</v>
      </c>
    </row>
    <row r="777" spans="1:8" x14ac:dyDescent="0.3">
      <c r="A777" s="128" t="s">
        <v>186</v>
      </c>
      <c r="B777" s="129" t="s">
        <v>4</v>
      </c>
      <c r="C777" s="129" t="s">
        <v>191</v>
      </c>
      <c r="D777" s="129" t="str">
        <f t="shared" si="61"/>
        <v>ПредприятиеОПТИМАЛЬНЫЙМИНИМАЛЬНЫЙ10</v>
      </c>
      <c r="E777" s="130">
        <v>0</v>
      </c>
      <c r="F777" s="144">
        <v>10</v>
      </c>
      <c r="G777" s="144" t="s">
        <v>231</v>
      </c>
      <c r="H777" s="256">
        <f t="shared" si="60"/>
        <v>0</v>
      </c>
    </row>
    <row r="778" spans="1:8" x14ac:dyDescent="0.3">
      <c r="A778" s="128" t="s">
        <v>186</v>
      </c>
      <c r="B778" s="129" t="s">
        <v>10</v>
      </c>
      <c r="C778" s="129" t="s">
        <v>234</v>
      </c>
      <c r="D778" s="129" t="str">
        <f t="shared" si="61"/>
        <v>Главный Бухгалтер ПРОФОПТИМАЛЬНЫЙБАЗОВЫЙ10</v>
      </c>
      <c r="E778" s="130">
        <v>0</v>
      </c>
      <c r="F778" s="144">
        <v>10</v>
      </c>
      <c r="G778" s="144" t="s">
        <v>231</v>
      </c>
      <c r="H778" s="256">
        <f t="shared" si="60"/>
        <v>0</v>
      </c>
    </row>
    <row r="779" spans="1:8" x14ac:dyDescent="0.3">
      <c r="A779" s="128" t="s">
        <v>186</v>
      </c>
      <c r="B779" s="129" t="s">
        <v>11</v>
      </c>
      <c r="C779" s="129" t="s">
        <v>191</v>
      </c>
      <c r="D779" s="129" t="str">
        <f t="shared" si="61"/>
        <v>VIP ПредприятиеОПТИМАЛЬНЫЙМИНИМАЛЬНЫЙ10</v>
      </c>
      <c r="E779" s="130">
        <v>0</v>
      </c>
      <c r="F779" s="144">
        <v>10</v>
      </c>
      <c r="G779" s="144" t="s">
        <v>231</v>
      </c>
      <c r="H779" s="256">
        <f t="shared" si="60"/>
        <v>0</v>
      </c>
    </row>
    <row r="780" spans="1:8" x14ac:dyDescent="0.3">
      <c r="A780" s="128" t="s">
        <v>186</v>
      </c>
      <c r="B780" s="129" t="s">
        <v>9</v>
      </c>
      <c r="C780" s="129" t="s">
        <v>194</v>
      </c>
      <c r="D780" s="129" t="str">
        <f t="shared" si="61"/>
        <v>Предприятие ПРОФЭКСПЕРТОПТИМАЛЬНЫЙМИНИМАЛЬНЫЙ10</v>
      </c>
      <c r="E780" s="130">
        <v>0</v>
      </c>
      <c r="F780" s="152">
        <v>10</v>
      </c>
      <c r="G780" s="152" t="s">
        <v>231</v>
      </c>
      <c r="H780" s="256">
        <f t="shared" si="60"/>
        <v>0</v>
      </c>
    </row>
    <row r="781" spans="1:8" x14ac:dyDescent="0.3">
      <c r="A781" s="128" t="s">
        <v>186</v>
      </c>
      <c r="B781" s="129" t="s">
        <v>4</v>
      </c>
      <c r="C781" s="129" t="s">
        <v>194</v>
      </c>
      <c r="D781" s="129" t="str">
        <f t="shared" si="61"/>
        <v>ПредприятиеЭКСПЕРТОПТИМАЛЬНЫЙМИНИМАЛЬНЫЙ10</v>
      </c>
      <c r="E781" s="130">
        <v>0</v>
      </c>
      <c r="F781" s="152">
        <v>10</v>
      </c>
      <c r="G781" s="152" t="s">
        <v>231</v>
      </c>
      <c r="H781" s="256">
        <f t="shared" si="60"/>
        <v>0</v>
      </c>
    </row>
    <row r="782" spans="1:8" x14ac:dyDescent="0.3">
      <c r="A782" s="128" t="s">
        <v>186</v>
      </c>
      <c r="B782" s="129" t="s">
        <v>10</v>
      </c>
      <c r="C782" s="129" t="s">
        <v>195</v>
      </c>
      <c r="D782" s="129" t="str">
        <f t="shared" si="61"/>
        <v>Главный Бухгалтер ПРОФЭКСПЕРТОПТИМАЛЬНЫЙБАЗОВЫЙ10</v>
      </c>
      <c r="E782" s="130">
        <v>0</v>
      </c>
      <c r="F782" s="152">
        <v>10</v>
      </c>
      <c r="G782" s="152" t="s">
        <v>231</v>
      </c>
      <c r="H782" s="256">
        <f t="shared" si="60"/>
        <v>0</v>
      </c>
    </row>
    <row r="783" spans="1:8" x14ac:dyDescent="0.3">
      <c r="A783" s="128" t="s">
        <v>186</v>
      </c>
      <c r="B783" s="129" t="s">
        <v>11</v>
      </c>
      <c r="C783" s="129" t="s">
        <v>194</v>
      </c>
      <c r="D783" s="129" t="str">
        <f t="shared" si="61"/>
        <v>VIP ПредприятиеЭКСПЕРТОПТИМАЛЬНЫЙМИНИМАЛЬНЫЙ10</v>
      </c>
      <c r="E783" s="130">
        <v>0</v>
      </c>
      <c r="F783" s="152">
        <v>10</v>
      </c>
      <c r="G783" s="152" t="s">
        <v>231</v>
      </c>
      <c r="H783" s="256">
        <f t="shared" si="60"/>
        <v>0</v>
      </c>
    </row>
    <row r="784" spans="1:8" x14ac:dyDescent="0.3">
      <c r="A784" s="128" t="s">
        <v>187</v>
      </c>
      <c r="B784" s="129" t="s">
        <v>50</v>
      </c>
      <c r="C784" s="129" t="s">
        <v>20</v>
      </c>
      <c r="D784" s="129" t="str">
        <f t="shared" ref="D784:D802" si="62">_xlfn.CONCAT(B784,C784,F784)</f>
        <v>Предприятие (1 пользователь)ЭКСПЕРТ11</v>
      </c>
      <c r="E784" s="235">
        <v>0</v>
      </c>
      <c r="F784" s="144">
        <v>11</v>
      </c>
      <c r="G784" s="144" t="s">
        <v>231</v>
      </c>
      <c r="H784" s="256">
        <f t="shared" si="60"/>
        <v>0</v>
      </c>
    </row>
    <row r="785" spans="1:8" x14ac:dyDescent="0.3">
      <c r="A785" s="128" t="s">
        <v>187</v>
      </c>
      <c r="B785" s="129" t="s">
        <v>51</v>
      </c>
      <c r="C785" s="129" t="s">
        <v>20</v>
      </c>
      <c r="D785" s="129" t="str">
        <f t="shared" si="62"/>
        <v>Предприятие ПРОФ (1 пользователь)ЭКСПЕРТ11</v>
      </c>
      <c r="E785" s="235">
        <v>0</v>
      </c>
      <c r="F785" s="144">
        <v>11</v>
      </c>
      <c r="G785" s="144" t="s">
        <v>231</v>
      </c>
      <c r="H785" s="256">
        <f t="shared" si="60"/>
        <v>0</v>
      </c>
    </row>
    <row r="786" spans="1:8" x14ac:dyDescent="0.3">
      <c r="A786" s="128" t="s">
        <v>187</v>
      </c>
      <c r="B786" s="129" t="s">
        <v>49</v>
      </c>
      <c r="C786" s="129" t="s">
        <v>20</v>
      </c>
      <c r="D786" s="129" t="str">
        <f t="shared" si="62"/>
        <v>Главный Бухгалтер ПРОФ (1 пользователь)ЭКСПЕРТ11</v>
      </c>
      <c r="E786" s="130">
        <v>0</v>
      </c>
      <c r="F786" s="144">
        <v>11</v>
      </c>
      <c r="G786" s="144" t="s">
        <v>231</v>
      </c>
      <c r="H786" s="256">
        <f t="shared" si="60"/>
        <v>0</v>
      </c>
    </row>
    <row r="787" spans="1:8" x14ac:dyDescent="0.3">
      <c r="A787" s="128" t="s">
        <v>187</v>
      </c>
      <c r="B787" s="129" t="s">
        <v>73</v>
      </c>
      <c r="C787" s="129" t="s">
        <v>20</v>
      </c>
      <c r="D787" s="129" t="str">
        <f t="shared" si="62"/>
        <v>VIP Предприятие (1 пользователь)ЭКСПЕРТ11</v>
      </c>
      <c r="E787" s="235">
        <v>0</v>
      </c>
      <c r="F787" s="144">
        <v>11</v>
      </c>
      <c r="G787" s="144" t="s">
        <v>231</v>
      </c>
      <c r="H787" s="256">
        <f t="shared" si="60"/>
        <v>0</v>
      </c>
    </row>
    <row r="788" spans="1:8" x14ac:dyDescent="0.3">
      <c r="A788" s="128" t="s">
        <v>187</v>
      </c>
      <c r="B788" s="129" t="s">
        <v>314</v>
      </c>
      <c r="C788" s="129" t="s">
        <v>20</v>
      </c>
      <c r="D788" s="129" t="str">
        <f t="shared" si="62"/>
        <v>Пакет Программ Главный Бухгалтер, Podpis (1 пользователь, ЛД)ЭКСПЕРТ11</v>
      </c>
      <c r="E788" s="145">
        <v>0.15</v>
      </c>
      <c r="F788" s="144">
        <v>11</v>
      </c>
      <c r="G788" s="129"/>
      <c r="H788" s="256">
        <f t="shared" si="60"/>
        <v>0</v>
      </c>
    </row>
    <row r="789" spans="1:8" x14ac:dyDescent="0.3">
      <c r="A789" s="128" t="s">
        <v>187</v>
      </c>
      <c r="B789" s="129" t="s">
        <v>312</v>
      </c>
      <c r="C789" s="129" t="s">
        <v>20</v>
      </c>
      <c r="D789" s="129" t="str">
        <f t="shared" si="62"/>
        <v>Пакет Программ Главный Бухгалтер, Podpis, ilex.Накладные (1 пользователь, ЛД)ЭКСПЕРТ11</v>
      </c>
      <c r="E789" s="145">
        <v>0.15</v>
      </c>
      <c r="F789" s="144">
        <v>11</v>
      </c>
      <c r="G789" s="129"/>
      <c r="H789" s="256">
        <f t="shared" si="60"/>
        <v>0</v>
      </c>
    </row>
    <row r="790" spans="1:8" x14ac:dyDescent="0.3">
      <c r="A790" s="128" t="s">
        <v>187</v>
      </c>
      <c r="B790" s="129" t="s">
        <v>315</v>
      </c>
      <c r="C790" s="129" t="s">
        <v>20</v>
      </c>
      <c r="D790" s="129" t="str">
        <f t="shared" si="62"/>
        <v>Пакет Программ Главный Бухгалтер ПРОФ, Podpis (1 пользователь, ЛД)ЭКСПЕРТ11</v>
      </c>
      <c r="E790" s="145">
        <v>0.15</v>
      </c>
      <c r="F790" s="144">
        <v>11</v>
      </c>
      <c r="G790" s="129"/>
      <c r="H790" s="256">
        <f t="shared" si="60"/>
        <v>0</v>
      </c>
    </row>
    <row r="791" spans="1:8" x14ac:dyDescent="0.3">
      <c r="A791" s="128" t="s">
        <v>187</v>
      </c>
      <c r="B791" s="129" t="s">
        <v>313</v>
      </c>
      <c r="C791" s="129" t="s">
        <v>20</v>
      </c>
      <c r="D791" s="129" t="str">
        <f t="shared" si="62"/>
        <v>Пакет Программ Главный Бухгалтер ПРОФ, Podpis, ilex.Накладные (1 пользователь, ЛД)ЭКСПЕРТ11</v>
      </c>
      <c r="E791" s="145">
        <v>0.15</v>
      </c>
      <c r="F791" s="144">
        <v>11</v>
      </c>
      <c r="G791" s="129"/>
      <c r="H791" s="256">
        <f t="shared" si="60"/>
        <v>0</v>
      </c>
    </row>
    <row r="792" spans="1:8" x14ac:dyDescent="0.3">
      <c r="A792" s="128" t="s">
        <v>187</v>
      </c>
      <c r="B792" s="129" t="s">
        <v>314</v>
      </c>
      <c r="C792" s="129" t="s">
        <v>188</v>
      </c>
      <c r="D792" s="129" t="str">
        <f t="shared" si="62"/>
        <v>Пакет Программ Главный Бухгалтер, Podpis (1 пользователь, ЛД)ОПТИМАЛЬНЫЙ ПЛЮС11</v>
      </c>
      <c r="E792" s="145">
        <v>0.15</v>
      </c>
      <c r="F792" s="144">
        <v>11</v>
      </c>
      <c r="G792" s="129"/>
      <c r="H792" s="256">
        <f t="shared" si="60"/>
        <v>0</v>
      </c>
    </row>
    <row r="793" spans="1:8" x14ac:dyDescent="0.3">
      <c r="A793" s="128" t="s">
        <v>187</v>
      </c>
      <c r="B793" s="129" t="s">
        <v>312</v>
      </c>
      <c r="C793" s="129" t="s">
        <v>188</v>
      </c>
      <c r="D793" s="129" t="str">
        <f t="shared" si="62"/>
        <v>Пакет Программ Главный Бухгалтер, Podpis, ilex.Накладные (1 пользователь, ЛД)ОПТИМАЛЬНЫЙ ПЛЮС11</v>
      </c>
      <c r="E793" s="145">
        <v>0.15</v>
      </c>
      <c r="F793" s="144">
        <v>11</v>
      </c>
      <c r="G793" s="129"/>
      <c r="H793" s="256">
        <f t="shared" si="60"/>
        <v>0</v>
      </c>
    </row>
    <row r="794" spans="1:8" x14ac:dyDescent="0.3">
      <c r="A794" s="128" t="s">
        <v>187</v>
      </c>
      <c r="B794" s="129" t="s">
        <v>315</v>
      </c>
      <c r="C794" s="129" t="s">
        <v>188</v>
      </c>
      <c r="D794" s="129" t="str">
        <f t="shared" si="62"/>
        <v>Пакет Программ Главный Бухгалтер ПРОФ, Podpis (1 пользователь, ЛД)ОПТИМАЛЬНЫЙ ПЛЮС11</v>
      </c>
      <c r="E794" s="145">
        <v>0.15</v>
      </c>
      <c r="F794" s="144">
        <v>11</v>
      </c>
      <c r="G794" s="129"/>
      <c r="H794" s="256">
        <f t="shared" si="60"/>
        <v>0</v>
      </c>
    </row>
    <row r="795" spans="1:8" x14ac:dyDescent="0.3">
      <c r="A795" s="128" t="s">
        <v>187</v>
      </c>
      <c r="B795" s="129" t="s">
        <v>313</v>
      </c>
      <c r="C795" s="129" t="s">
        <v>188</v>
      </c>
      <c r="D795" s="129" t="str">
        <f t="shared" si="62"/>
        <v>Пакет Программ Главный Бухгалтер ПРОФ, Podpis, ilex.Накладные (1 пользователь, ЛД)ОПТИМАЛЬНЫЙ ПЛЮС11</v>
      </c>
      <c r="E795" s="145">
        <v>0.15</v>
      </c>
      <c r="F795" s="144">
        <v>11</v>
      </c>
      <c r="G795" s="129"/>
      <c r="H795" s="256">
        <f t="shared" si="60"/>
        <v>0</v>
      </c>
    </row>
    <row r="796" spans="1:8" x14ac:dyDescent="0.3">
      <c r="A796" s="128" t="s">
        <v>187</v>
      </c>
      <c r="B796" s="129" t="s">
        <v>50</v>
      </c>
      <c r="C796" s="129" t="s">
        <v>21</v>
      </c>
      <c r="D796" s="129" t="str">
        <f t="shared" si="62"/>
        <v>Предприятие (1 пользователь)ОПТИМАЛЬНЫЙ11</v>
      </c>
      <c r="E796" s="235">
        <v>0</v>
      </c>
      <c r="F796" s="144">
        <v>11</v>
      </c>
      <c r="G796" s="144" t="s">
        <v>231</v>
      </c>
      <c r="H796" s="256">
        <f t="shared" si="60"/>
        <v>0</v>
      </c>
    </row>
    <row r="797" spans="1:8" x14ac:dyDescent="0.3">
      <c r="A797" s="128" t="s">
        <v>187</v>
      </c>
      <c r="B797" s="129" t="s">
        <v>51</v>
      </c>
      <c r="C797" s="129" t="s">
        <v>21</v>
      </c>
      <c r="D797" s="129" t="str">
        <f t="shared" si="62"/>
        <v>Предприятие ПРОФ (1 пользователь)ОПТИМАЛЬНЫЙ11</v>
      </c>
      <c r="E797" s="235">
        <v>0</v>
      </c>
      <c r="F797" s="144">
        <v>11</v>
      </c>
      <c r="G797" s="144" t="s">
        <v>231</v>
      </c>
      <c r="H797" s="256">
        <f t="shared" si="60"/>
        <v>0</v>
      </c>
    </row>
    <row r="798" spans="1:8" x14ac:dyDescent="0.3">
      <c r="A798" s="128" t="s">
        <v>187</v>
      </c>
      <c r="B798" s="129" t="s">
        <v>73</v>
      </c>
      <c r="C798" s="129" t="s">
        <v>21</v>
      </c>
      <c r="D798" s="129" t="str">
        <f t="shared" si="62"/>
        <v>VIP Предприятие (1 пользователь)ОПТИМАЛЬНЫЙ11</v>
      </c>
      <c r="E798" s="235">
        <v>0</v>
      </c>
      <c r="F798" s="144">
        <v>11</v>
      </c>
      <c r="G798" s="144" t="s">
        <v>231</v>
      </c>
      <c r="H798" s="256">
        <f t="shared" si="60"/>
        <v>0</v>
      </c>
    </row>
    <row r="799" spans="1:8" x14ac:dyDescent="0.3">
      <c r="A799" s="128" t="s">
        <v>187</v>
      </c>
      <c r="B799" s="129" t="s">
        <v>314</v>
      </c>
      <c r="C799" s="129" t="s">
        <v>21</v>
      </c>
      <c r="D799" s="129" t="str">
        <f t="shared" si="62"/>
        <v>Пакет Программ Главный Бухгалтер, Podpis (1 пользователь, ЛД)ОПТИМАЛЬНЫЙ11</v>
      </c>
      <c r="E799" s="130"/>
      <c r="F799" s="129">
        <v>11</v>
      </c>
      <c r="G799" s="129"/>
      <c r="H799" s="138"/>
    </row>
    <row r="800" spans="1:8" x14ac:dyDescent="0.3">
      <c r="A800" s="128" t="s">
        <v>187</v>
      </c>
      <c r="B800" s="129" t="s">
        <v>312</v>
      </c>
      <c r="C800" s="129" t="s">
        <v>21</v>
      </c>
      <c r="D800" s="129" t="str">
        <f t="shared" si="62"/>
        <v>Пакет Программ Главный Бухгалтер, Podpis, ilex.Накладные (1 пользователь, ЛД)ОПТИМАЛЬНЫЙ11</v>
      </c>
      <c r="E800" s="130"/>
      <c r="F800" s="129">
        <v>11</v>
      </c>
      <c r="G800" s="129"/>
      <c r="H800" s="138"/>
    </row>
    <row r="801" spans="1:8" x14ac:dyDescent="0.3">
      <c r="A801" s="128" t="s">
        <v>187</v>
      </c>
      <c r="B801" s="129" t="s">
        <v>315</v>
      </c>
      <c r="C801" s="129" t="s">
        <v>21</v>
      </c>
      <c r="D801" s="129" t="str">
        <f t="shared" si="62"/>
        <v>Пакет Программ Главный Бухгалтер ПРОФ, Podpis (1 пользователь, ЛД)ОПТИМАЛЬНЫЙ11</v>
      </c>
      <c r="E801" s="145">
        <v>0.15</v>
      </c>
      <c r="F801" s="144">
        <v>11</v>
      </c>
      <c r="G801" s="129"/>
      <c r="H801" s="256">
        <f t="shared" ref="H801:H841" si="63">$B$43</f>
        <v>0</v>
      </c>
    </row>
    <row r="802" spans="1:8" x14ac:dyDescent="0.3">
      <c r="A802" s="128" t="s">
        <v>187</v>
      </c>
      <c r="B802" s="129" t="s">
        <v>313</v>
      </c>
      <c r="C802" s="129" t="s">
        <v>21</v>
      </c>
      <c r="D802" s="129" t="str">
        <f t="shared" si="62"/>
        <v>Пакет Программ Главный Бухгалтер ПРОФ, Podpis, ilex.Накладные (1 пользователь, ЛД)ОПТИМАЛЬНЫЙ11</v>
      </c>
      <c r="E802" s="145">
        <v>0.15</v>
      </c>
      <c r="F802" s="144">
        <v>11</v>
      </c>
      <c r="G802" s="129"/>
      <c r="H802" s="256">
        <f t="shared" si="63"/>
        <v>0</v>
      </c>
    </row>
    <row r="803" spans="1:8" x14ac:dyDescent="0.3">
      <c r="A803" s="128" t="s">
        <v>186</v>
      </c>
      <c r="B803" s="129" t="s">
        <v>9</v>
      </c>
      <c r="C803" s="129" t="s">
        <v>20</v>
      </c>
      <c r="D803" s="129" t="str">
        <f t="shared" ref="D803:D826" si="64">CONCATENATE(B803,C803,F803)</f>
        <v>Предприятие ПРОФЭКСПЕРТ11</v>
      </c>
      <c r="E803" s="130">
        <v>0</v>
      </c>
      <c r="F803" s="144">
        <v>11</v>
      </c>
      <c r="G803" s="144" t="s">
        <v>231</v>
      </c>
      <c r="H803" s="256">
        <f t="shared" si="63"/>
        <v>0</v>
      </c>
    </row>
    <row r="804" spans="1:8" x14ac:dyDescent="0.3">
      <c r="A804" s="128" t="s">
        <v>186</v>
      </c>
      <c r="B804" s="129" t="s">
        <v>4</v>
      </c>
      <c r="C804" s="129" t="s">
        <v>20</v>
      </c>
      <c r="D804" s="129" t="str">
        <f t="shared" si="64"/>
        <v>ПредприятиеЭКСПЕРТ11</v>
      </c>
      <c r="E804" s="130">
        <v>0</v>
      </c>
      <c r="F804" s="144">
        <v>11</v>
      </c>
      <c r="G804" s="144" t="s">
        <v>231</v>
      </c>
      <c r="H804" s="256">
        <f t="shared" si="63"/>
        <v>0</v>
      </c>
    </row>
    <row r="805" spans="1:8" x14ac:dyDescent="0.3">
      <c r="A805" s="128" t="s">
        <v>186</v>
      </c>
      <c r="B805" s="129" t="s">
        <v>10</v>
      </c>
      <c r="C805" s="129" t="s">
        <v>20</v>
      </c>
      <c r="D805" s="129" t="str">
        <f t="shared" si="64"/>
        <v>Главный Бухгалтер ПРОФЭКСПЕРТ11</v>
      </c>
      <c r="E805" s="130">
        <v>0</v>
      </c>
      <c r="F805" s="144">
        <v>11</v>
      </c>
      <c r="G805" s="144" t="s">
        <v>231</v>
      </c>
      <c r="H805" s="256">
        <f t="shared" si="63"/>
        <v>0</v>
      </c>
    </row>
    <row r="806" spans="1:8" x14ac:dyDescent="0.3">
      <c r="A806" s="128" t="s">
        <v>186</v>
      </c>
      <c r="B806" s="129" t="s">
        <v>11</v>
      </c>
      <c r="C806" s="129" t="s">
        <v>20</v>
      </c>
      <c r="D806" s="129" t="str">
        <f t="shared" si="64"/>
        <v>VIP ПредприятиеЭКСПЕРТ11</v>
      </c>
      <c r="E806" s="130">
        <v>0</v>
      </c>
      <c r="F806" s="144">
        <v>11</v>
      </c>
      <c r="G806" s="144" t="s">
        <v>231</v>
      </c>
      <c r="H806" s="256">
        <f t="shared" si="63"/>
        <v>0</v>
      </c>
    </row>
    <row r="807" spans="1:8" x14ac:dyDescent="0.3">
      <c r="A807" s="128" t="s">
        <v>186</v>
      </c>
      <c r="B807" s="129" t="s">
        <v>9</v>
      </c>
      <c r="C807" s="129" t="s">
        <v>21</v>
      </c>
      <c r="D807" s="129" t="str">
        <f t="shared" si="64"/>
        <v>Предприятие ПРОФОПТИМАЛЬНЫЙ11</v>
      </c>
      <c r="E807" s="130">
        <v>0</v>
      </c>
      <c r="F807" s="144">
        <v>11</v>
      </c>
      <c r="G807" s="144" t="s">
        <v>231</v>
      </c>
      <c r="H807" s="256">
        <f t="shared" si="63"/>
        <v>0</v>
      </c>
    </row>
    <row r="808" spans="1:8" x14ac:dyDescent="0.3">
      <c r="A808" s="128" t="s">
        <v>186</v>
      </c>
      <c r="B808" s="129" t="s">
        <v>4</v>
      </c>
      <c r="C808" s="129" t="s">
        <v>21</v>
      </c>
      <c r="D808" s="129" t="str">
        <f t="shared" si="64"/>
        <v>ПредприятиеОПТИМАЛЬНЫЙ11</v>
      </c>
      <c r="E808" s="130">
        <v>0</v>
      </c>
      <c r="F808" s="144">
        <v>11</v>
      </c>
      <c r="G808" s="144" t="s">
        <v>231</v>
      </c>
      <c r="H808" s="256">
        <f t="shared" si="63"/>
        <v>0</v>
      </c>
    </row>
    <row r="809" spans="1:8" x14ac:dyDescent="0.3">
      <c r="A809" s="128" t="s">
        <v>186</v>
      </c>
      <c r="B809" s="129" t="s">
        <v>10</v>
      </c>
      <c r="C809" s="129" t="s">
        <v>21</v>
      </c>
      <c r="D809" s="129" t="str">
        <f t="shared" si="64"/>
        <v>Главный Бухгалтер ПРОФОПТИМАЛЬНЫЙ11</v>
      </c>
      <c r="E809" s="130">
        <v>0</v>
      </c>
      <c r="F809" s="144">
        <v>11</v>
      </c>
      <c r="G809" s="144" t="s">
        <v>231</v>
      </c>
      <c r="H809" s="256">
        <f t="shared" si="63"/>
        <v>0</v>
      </c>
    </row>
    <row r="810" spans="1:8" x14ac:dyDescent="0.3">
      <c r="A810" s="128" t="s">
        <v>186</v>
      </c>
      <c r="B810" s="129" t="s">
        <v>11</v>
      </c>
      <c r="C810" s="129" t="s">
        <v>21</v>
      </c>
      <c r="D810" s="129" t="str">
        <f t="shared" si="64"/>
        <v>VIP ПредприятиеОПТИМАЛЬНЫЙ11</v>
      </c>
      <c r="E810" s="130">
        <v>0</v>
      </c>
      <c r="F810" s="144">
        <v>11</v>
      </c>
      <c r="G810" s="144" t="s">
        <v>231</v>
      </c>
      <c r="H810" s="256">
        <f t="shared" si="63"/>
        <v>0</v>
      </c>
    </row>
    <row r="811" spans="1:8" x14ac:dyDescent="0.3">
      <c r="A811" s="128" t="s">
        <v>186</v>
      </c>
      <c r="B811" s="129" t="s">
        <v>9</v>
      </c>
      <c r="C811" s="129" t="s">
        <v>189</v>
      </c>
      <c r="D811" s="129" t="str">
        <f t="shared" si="64"/>
        <v>Предприятие ПРОФЭКСПЕРТОПТИМАЛЬНЫЙ11</v>
      </c>
      <c r="E811" s="130">
        <v>0</v>
      </c>
      <c r="F811" s="144">
        <v>11</v>
      </c>
      <c r="G811" s="144" t="s">
        <v>231</v>
      </c>
      <c r="H811" s="256">
        <f t="shared" si="63"/>
        <v>0</v>
      </c>
    </row>
    <row r="812" spans="1:8" x14ac:dyDescent="0.3">
      <c r="A812" s="128" t="s">
        <v>186</v>
      </c>
      <c r="B812" s="129" t="s">
        <v>4</v>
      </c>
      <c r="C812" s="129" t="s">
        <v>189</v>
      </c>
      <c r="D812" s="129" t="str">
        <f t="shared" si="64"/>
        <v>ПредприятиеЭКСПЕРТОПТИМАЛЬНЫЙ11</v>
      </c>
      <c r="E812" s="130">
        <v>0</v>
      </c>
      <c r="F812" s="144">
        <v>11</v>
      </c>
      <c r="G812" s="144" t="s">
        <v>231</v>
      </c>
      <c r="H812" s="256">
        <f t="shared" si="63"/>
        <v>0</v>
      </c>
    </row>
    <row r="813" spans="1:8" x14ac:dyDescent="0.3">
      <c r="A813" s="128" t="s">
        <v>186</v>
      </c>
      <c r="B813" s="129" t="s">
        <v>10</v>
      </c>
      <c r="C813" s="129" t="s">
        <v>189</v>
      </c>
      <c r="D813" s="129" t="str">
        <f t="shared" si="64"/>
        <v>Главный Бухгалтер ПРОФЭКСПЕРТОПТИМАЛЬНЫЙ11</v>
      </c>
      <c r="E813" s="130">
        <v>0</v>
      </c>
      <c r="F813" s="144">
        <v>11</v>
      </c>
      <c r="G813" s="144" t="s">
        <v>231</v>
      </c>
      <c r="H813" s="256">
        <f t="shared" si="63"/>
        <v>0</v>
      </c>
    </row>
    <row r="814" spans="1:8" x14ac:dyDescent="0.3">
      <c r="A814" s="128" t="s">
        <v>186</v>
      </c>
      <c r="B814" s="129" t="s">
        <v>11</v>
      </c>
      <c r="C814" s="129" t="s">
        <v>189</v>
      </c>
      <c r="D814" s="129" t="str">
        <f t="shared" si="64"/>
        <v>VIP ПредприятиеЭКСПЕРТОПТИМАЛЬНЫЙ11</v>
      </c>
      <c r="E814" s="130">
        <v>0</v>
      </c>
      <c r="F814" s="144">
        <v>11</v>
      </c>
      <c r="G814" s="144" t="s">
        <v>231</v>
      </c>
      <c r="H814" s="256">
        <f t="shared" si="63"/>
        <v>0</v>
      </c>
    </row>
    <row r="815" spans="1:8" x14ac:dyDescent="0.3">
      <c r="A815" s="128" t="s">
        <v>186</v>
      </c>
      <c r="B815" s="129" t="s">
        <v>9</v>
      </c>
      <c r="C815" s="129" t="s">
        <v>190</v>
      </c>
      <c r="D815" s="129" t="str">
        <f t="shared" si="64"/>
        <v>Предприятие ПРОФЭКСПЕРТМИНИМАЛЬНЫЙ11</v>
      </c>
      <c r="E815" s="130">
        <v>0</v>
      </c>
      <c r="F815" s="144">
        <v>11</v>
      </c>
      <c r="G815" s="144" t="s">
        <v>231</v>
      </c>
      <c r="H815" s="256">
        <f t="shared" si="63"/>
        <v>0</v>
      </c>
    </row>
    <row r="816" spans="1:8" x14ac:dyDescent="0.3">
      <c r="A816" s="128" t="s">
        <v>186</v>
      </c>
      <c r="B816" s="129" t="s">
        <v>4</v>
      </c>
      <c r="C816" s="129" t="s">
        <v>190</v>
      </c>
      <c r="D816" s="129" t="str">
        <f t="shared" si="64"/>
        <v>ПредприятиеЭКСПЕРТМИНИМАЛЬНЫЙ11</v>
      </c>
      <c r="E816" s="130">
        <v>0</v>
      </c>
      <c r="F816" s="144">
        <v>11</v>
      </c>
      <c r="G816" s="144" t="s">
        <v>231</v>
      </c>
      <c r="H816" s="256">
        <f t="shared" si="63"/>
        <v>0</v>
      </c>
    </row>
    <row r="817" spans="1:8" x14ac:dyDescent="0.3">
      <c r="A817" s="128" t="s">
        <v>186</v>
      </c>
      <c r="B817" s="129" t="s">
        <v>10</v>
      </c>
      <c r="C817" s="129" t="s">
        <v>192</v>
      </c>
      <c r="D817" s="129" t="str">
        <f t="shared" si="64"/>
        <v>Главный Бухгалтер ПРОФЭКСПЕРТБАЗОВЫЙ11</v>
      </c>
      <c r="E817" s="130">
        <v>0</v>
      </c>
      <c r="F817" s="144">
        <v>11</v>
      </c>
      <c r="G817" s="144" t="s">
        <v>231</v>
      </c>
      <c r="H817" s="256">
        <f t="shared" si="63"/>
        <v>0</v>
      </c>
    </row>
    <row r="818" spans="1:8" x14ac:dyDescent="0.3">
      <c r="A818" s="128" t="s">
        <v>186</v>
      </c>
      <c r="B818" s="129" t="s">
        <v>11</v>
      </c>
      <c r="C818" s="129" t="s">
        <v>190</v>
      </c>
      <c r="D818" s="129" t="str">
        <f t="shared" si="64"/>
        <v>VIP ПредприятиеЭКСПЕРТМИНИМАЛЬНЫЙ11</v>
      </c>
      <c r="E818" s="130">
        <v>0</v>
      </c>
      <c r="F818" s="144">
        <v>11</v>
      </c>
      <c r="G818" s="144" t="s">
        <v>231</v>
      </c>
      <c r="H818" s="256">
        <f t="shared" si="63"/>
        <v>0</v>
      </c>
    </row>
    <row r="819" spans="1:8" x14ac:dyDescent="0.3">
      <c r="A819" s="128" t="s">
        <v>186</v>
      </c>
      <c r="B819" s="129" t="s">
        <v>9</v>
      </c>
      <c r="C819" s="129" t="s">
        <v>191</v>
      </c>
      <c r="D819" s="129" t="str">
        <f t="shared" si="64"/>
        <v>Предприятие ПРОФОПТИМАЛЬНЫЙМИНИМАЛЬНЫЙ11</v>
      </c>
      <c r="E819" s="130">
        <v>0</v>
      </c>
      <c r="F819" s="144">
        <v>11</v>
      </c>
      <c r="G819" s="144" t="s">
        <v>231</v>
      </c>
      <c r="H819" s="256">
        <f t="shared" si="63"/>
        <v>0</v>
      </c>
    </row>
    <row r="820" spans="1:8" x14ac:dyDescent="0.3">
      <c r="A820" s="128" t="s">
        <v>186</v>
      </c>
      <c r="B820" s="129" t="s">
        <v>4</v>
      </c>
      <c r="C820" s="129" t="s">
        <v>191</v>
      </c>
      <c r="D820" s="129" t="str">
        <f t="shared" si="64"/>
        <v>ПредприятиеОПТИМАЛЬНЫЙМИНИМАЛЬНЫЙ11</v>
      </c>
      <c r="E820" s="130">
        <v>0</v>
      </c>
      <c r="F820" s="144">
        <v>11</v>
      </c>
      <c r="G820" s="144" t="s">
        <v>231</v>
      </c>
      <c r="H820" s="256">
        <f t="shared" si="63"/>
        <v>0</v>
      </c>
    </row>
    <row r="821" spans="1:8" x14ac:dyDescent="0.3">
      <c r="A821" s="128" t="s">
        <v>186</v>
      </c>
      <c r="B821" s="129" t="s">
        <v>10</v>
      </c>
      <c r="C821" s="129" t="s">
        <v>234</v>
      </c>
      <c r="D821" s="129" t="str">
        <f t="shared" si="64"/>
        <v>Главный Бухгалтер ПРОФОПТИМАЛЬНЫЙБАЗОВЫЙ11</v>
      </c>
      <c r="E821" s="130">
        <v>0</v>
      </c>
      <c r="F821" s="144">
        <v>11</v>
      </c>
      <c r="G821" s="144" t="s">
        <v>231</v>
      </c>
      <c r="H821" s="256">
        <f t="shared" si="63"/>
        <v>0</v>
      </c>
    </row>
    <row r="822" spans="1:8" x14ac:dyDescent="0.3">
      <c r="A822" s="128" t="s">
        <v>186</v>
      </c>
      <c r="B822" s="129" t="s">
        <v>11</v>
      </c>
      <c r="C822" s="129" t="s">
        <v>191</v>
      </c>
      <c r="D822" s="129" t="str">
        <f t="shared" si="64"/>
        <v>VIP ПредприятиеОПТИМАЛЬНЫЙМИНИМАЛЬНЫЙ11</v>
      </c>
      <c r="E822" s="130">
        <v>0</v>
      </c>
      <c r="F822" s="144">
        <v>11</v>
      </c>
      <c r="G822" s="144" t="s">
        <v>231</v>
      </c>
      <c r="H822" s="256">
        <f t="shared" si="63"/>
        <v>0</v>
      </c>
    </row>
    <row r="823" spans="1:8" x14ac:dyDescent="0.3">
      <c r="A823" s="128" t="s">
        <v>186</v>
      </c>
      <c r="B823" s="129" t="s">
        <v>9</v>
      </c>
      <c r="C823" s="129" t="s">
        <v>194</v>
      </c>
      <c r="D823" s="129" t="str">
        <f t="shared" si="64"/>
        <v>Предприятие ПРОФЭКСПЕРТОПТИМАЛЬНЫЙМИНИМАЛЬНЫЙ11</v>
      </c>
      <c r="E823" s="130">
        <v>0</v>
      </c>
      <c r="F823" s="152">
        <v>11</v>
      </c>
      <c r="G823" s="152" t="s">
        <v>231</v>
      </c>
      <c r="H823" s="256">
        <f t="shared" si="63"/>
        <v>0</v>
      </c>
    </row>
    <row r="824" spans="1:8" x14ac:dyDescent="0.3">
      <c r="A824" s="128" t="s">
        <v>186</v>
      </c>
      <c r="B824" s="129" t="s">
        <v>4</v>
      </c>
      <c r="C824" s="129" t="s">
        <v>194</v>
      </c>
      <c r="D824" s="129" t="str">
        <f t="shared" si="64"/>
        <v>ПредприятиеЭКСПЕРТОПТИМАЛЬНЫЙМИНИМАЛЬНЫЙ11</v>
      </c>
      <c r="E824" s="130">
        <v>0</v>
      </c>
      <c r="F824" s="152">
        <v>11</v>
      </c>
      <c r="G824" s="152" t="s">
        <v>231</v>
      </c>
      <c r="H824" s="256">
        <f t="shared" si="63"/>
        <v>0</v>
      </c>
    </row>
    <row r="825" spans="1:8" x14ac:dyDescent="0.3">
      <c r="A825" s="128" t="s">
        <v>186</v>
      </c>
      <c r="B825" s="129" t="s">
        <v>10</v>
      </c>
      <c r="C825" s="129" t="s">
        <v>195</v>
      </c>
      <c r="D825" s="129" t="str">
        <f t="shared" si="64"/>
        <v>Главный Бухгалтер ПРОФЭКСПЕРТОПТИМАЛЬНЫЙБАЗОВЫЙ11</v>
      </c>
      <c r="E825" s="130">
        <v>0</v>
      </c>
      <c r="F825" s="152">
        <v>11</v>
      </c>
      <c r="G825" s="152" t="s">
        <v>231</v>
      </c>
      <c r="H825" s="256">
        <f t="shared" si="63"/>
        <v>0</v>
      </c>
    </row>
    <row r="826" spans="1:8" x14ac:dyDescent="0.3">
      <c r="A826" s="128" t="s">
        <v>186</v>
      </c>
      <c r="B826" s="129" t="s">
        <v>11</v>
      </c>
      <c r="C826" s="129" t="s">
        <v>194</v>
      </c>
      <c r="D826" s="129" t="str">
        <f t="shared" si="64"/>
        <v>VIP ПредприятиеЭКСПЕРТОПТИМАЛЬНЫЙМИНИМАЛЬНЫЙ11</v>
      </c>
      <c r="E826" s="130">
        <v>0</v>
      </c>
      <c r="F826" s="152">
        <v>11</v>
      </c>
      <c r="G826" s="152" t="s">
        <v>231</v>
      </c>
      <c r="H826" s="256">
        <f t="shared" si="63"/>
        <v>0</v>
      </c>
    </row>
    <row r="827" spans="1:8" x14ac:dyDescent="0.3">
      <c r="A827" s="128" t="s">
        <v>187</v>
      </c>
      <c r="B827" s="129" t="s">
        <v>50</v>
      </c>
      <c r="C827" s="129" t="s">
        <v>20</v>
      </c>
      <c r="D827" s="129" t="str">
        <f t="shared" ref="D827:D845" si="65">_xlfn.CONCAT(B827,C827,F827)</f>
        <v>Предприятие (1 пользователь)ЭКСПЕРТ12</v>
      </c>
      <c r="E827" s="145">
        <v>0.1</v>
      </c>
      <c r="F827" s="144">
        <v>12</v>
      </c>
      <c r="G827" s="144" t="s">
        <v>232</v>
      </c>
      <c r="H827" s="256">
        <f t="shared" si="63"/>
        <v>0</v>
      </c>
    </row>
    <row r="828" spans="1:8" x14ac:dyDescent="0.3">
      <c r="A828" s="128" t="s">
        <v>187</v>
      </c>
      <c r="B828" s="129" t="s">
        <v>51</v>
      </c>
      <c r="C828" s="129" t="s">
        <v>20</v>
      </c>
      <c r="D828" s="129" t="str">
        <f t="shared" si="65"/>
        <v>Предприятие ПРОФ (1 пользователь)ЭКСПЕРТ12</v>
      </c>
      <c r="E828" s="145">
        <v>0.1</v>
      </c>
      <c r="F828" s="144">
        <v>12</v>
      </c>
      <c r="G828" s="144" t="s">
        <v>232</v>
      </c>
      <c r="H828" s="256">
        <f t="shared" si="63"/>
        <v>0</v>
      </c>
    </row>
    <row r="829" spans="1:8" x14ac:dyDescent="0.3">
      <c r="A829" s="128" t="s">
        <v>187</v>
      </c>
      <c r="B829" s="129" t="s">
        <v>49</v>
      </c>
      <c r="C829" s="129" t="s">
        <v>20</v>
      </c>
      <c r="D829" s="129" t="str">
        <f t="shared" si="65"/>
        <v>Главный Бухгалтер ПРОФ (1 пользователь)ЭКСПЕРТ12</v>
      </c>
      <c r="E829" s="145">
        <v>0.1</v>
      </c>
      <c r="F829" s="144">
        <v>12</v>
      </c>
      <c r="G829" s="144" t="s">
        <v>232</v>
      </c>
      <c r="H829" s="256">
        <f t="shared" si="63"/>
        <v>0</v>
      </c>
    </row>
    <row r="830" spans="1:8" x14ac:dyDescent="0.3">
      <c r="A830" s="128" t="s">
        <v>187</v>
      </c>
      <c r="B830" s="129" t="s">
        <v>73</v>
      </c>
      <c r="C830" s="129" t="s">
        <v>20</v>
      </c>
      <c r="D830" s="129" t="str">
        <f t="shared" si="65"/>
        <v>VIP Предприятие (1 пользователь)ЭКСПЕРТ12</v>
      </c>
      <c r="E830" s="145">
        <v>0.1</v>
      </c>
      <c r="F830" s="144">
        <v>12</v>
      </c>
      <c r="G830" s="144" t="s">
        <v>232</v>
      </c>
      <c r="H830" s="256">
        <f t="shared" si="63"/>
        <v>0</v>
      </c>
    </row>
    <row r="831" spans="1:8" x14ac:dyDescent="0.3">
      <c r="A831" s="128" t="s">
        <v>187</v>
      </c>
      <c r="B831" s="129" t="s">
        <v>314</v>
      </c>
      <c r="C831" s="129" t="s">
        <v>20</v>
      </c>
      <c r="D831" s="129" t="str">
        <f t="shared" si="65"/>
        <v>Пакет Программ Главный Бухгалтер, Podpis (1 пользователь, ЛД)ЭКСПЕРТ12</v>
      </c>
      <c r="E831" s="145">
        <v>0.25</v>
      </c>
      <c r="F831" s="144">
        <v>12</v>
      </c>
      <c r="G831" s="129"/>
      <c r="H831" s="256">
        <f t="shared" si="63"/>
        <v>0</v>
      </c>
    </row>
    <row r="832" spans="1:8" x14ac:dyDescent="0.3">
      <c r="A832" s="128" t="s">
        <v>187</v>
      </c>
      <c r="B832" s="129" t="s">
        <v>312</v>
      </c>
      <c r="C832" s="129" t="s">
        <v>20</v>
      </c>
      <c r="D832" s="129" t="str">
        <f t="shared" si="65"/>
        <v>Пакет Программ Главный Бухгалтер, Podpis, ilex.Накладные (1 пользователь, ЛД)ЭКСПЕРТ12</v>
      </c>
      <c r="E832" s="145">
        <v>0.25</v>
      </c>
      <c r="F832" s="144">
        <v>12</v>
      </c>
      <c r="G832" s="129"/>
      <c r="H832" s="256">
        <f t="shared" si="63"/>
        <v>0</v>
      </c>
    </row>
    <row r="833" spans="1:8" x14ac:dyDescent="0.3">
      <c r="A833" s="128" t="s">
        <v>187</v>
      </c>
      <c r="B833" s="129" t="s">
        <v>315</v>
      </c>
      <c r="C833" s="129" t="s">
        <v>20</v>
      </c>
      <c r="D833" s="129" t="str">
        <f t="shared" si="65"/>
        <v>Пакет Программ Главный Бухгалтер ПРОФ, Podpis (1 пользователь, ЛД)ЭКСПЕРТ12</v>
      </c>
      <c r="E833" s="145">
        <v>0.25</v>
      </c>
      <c r="F833" s="144">
        <v>12</v>
      </c>
      <c r="G833" s="129"/>
      <c r="H833" s="256">
        <f t="shared" si="63"/>
        <v>0</v>
      </c>
    </row>
    <row r="834" spans="1:8" x14ac:dyDescent="0.3">
      <c r="A834" s="128" t="s">
        <v>187</v>
      </c>
      <c r="B834" s="129" t="s">
        <v>313</v>
      </c>
      <c r="C834" s="129" t="s">
        <v>20</v>
      </c>
      <c r="D834" s="129" t="str">
        <f t="shared" si="65"/>
        <v>Пакет Программ Главный Бухгалтер ПРОФ, Podpis, ilex.Накладные (1 пользователь, ЛД)ЭКСПЕРТ12</v>
      </c>
      <c r="E834" s="145">
        <v>0.25</v>
      </c>
      <c r="F834" s="144">
        <v>12</v>
      </c>
      <c r="G834" s="129"/>
      <c r="H834" s="256">
        <f t="shared" si="63"/>
        <v>0</v>
      </c>
    </row>
    <row r="835" spans="1:8" x14ac:dyDescent="0.3">
      <c r="A835" s="128" t="s">
        <v>187</v>
      </c>
      <c r="B835" s="129" t="s">
        <v>314</v>
      </c>
      <c r="C835" s="129" t="s">
        <v>188</v>
      </c>
      <c r="D835" s="129" t="str">
        <f t="shared" si="65"/>
        <v>Пакет Программ Главный Бухгалтер, Podpis (1 пользователь, ЛД)ОПТИМАЛЬНЫЙ ПЛЮС12</v>
      </c>
      <c r="E835" s="145">
        <v>0.25</v>
      </c>
      <c r="F835" s="144">
        <v>12</v>
      </c>
      <c r="G835" s="129"/>
      <c r="H835" s="256">
        <f t="shared" si="63"/>
        <v>0</v>
      </c>
    </row>
    <row r="836" spans="1:8" x14ac:dyDescent="0.3">
      <c r="A836" s="128" t="s">
        <v>187</v>
      </c>
      <c r="B836" s="129" t="s">
        <v>312</v>
      </c>
      <c r="C836" s="129" t="s">
        <v>188</v>
      </c>
      <c r="D836" s="129" t="str">
        <f t="shared" si="65"/>
        <v>Пакет Программ Главный Бухгалтер, Podpis, ilex.Накладные (1 пользователь, ЛД)ОПТИМАЛЬНЫЙ ПЛЮС12</v>
      </c>
      <c r="E836" s="145">
        <v>0.25</v>
      </c>
      <c r="F836" s="144">
        <v>12</v>
      </c>
      <c r="G836" s="129"/>
      <c r="H836" s="256">
        <f t="shared" si="63"/>
        <v>0</v>
      </c>
    </row>
    <row r="837" spans="1:8" x14ac:dyDescent="0.3">
      <c r="A837" s="128" t="s">
        <v>187</v>
      </c>
      <c r="B837" s="129" t="s">
        <v>315</v>
      </c>
      <c r="C837" s="129" t="s">
        <v>188</v>
      </c>
      <c r="D837" s="129" t="str">
        <f t="shared" si="65"/>
        <v>Пакет Программ Главный Бухгалтер ПРОФ, Podpis (1 пользователь, ЛД)ОПТИМАЛЬНЫЙ ПЛЮС12</v>
      </c>
      <c r="E837" s="145">
        <v>0.25</v>
      </c>
      <c r="F837" s="144">
        <v>12</v>
      </c>
      <c r="G837" s="129"/>
      <c r="H837" s="256">
        <f t="shared" si="63"/>
        <v>0</v>
      </c>
    </row>
    <row r="838" spans="1:8" x14ac:dyDescent="0.3">
      <c r="A838" s="128" t="s">
        <v>187</v>
      </c>
      <c r="B838" s="129" t="s">
        <v>313</v>
      </c>
      <c r="C838" s="129" t="s">
        <v>188</v>
      </c>
      <c r="D838" s="129" t="str">
        <f t="shared" si="65"/>
        <v>Пакет Программ Главный Бухгалтер ПРОФ, Podpis, ilex.Накладные (1 пользователь, ЛД)ОПТИМАЛЬНЫЙ ПЛЮС12</v>
      </c>
      <c r="E838" s="145">
        <v>0.25</v>
      </c>
      <c r="F838" s="144">
        <v>12</v>
      </c>
      <c r="G838" s="129"/>
      <c r="H838" s="256">
        <f t="shared" si="63"/>
        <v>0</v>
      </c>
    </row>
    <row r="839" spans="1:8" x14ac:dyDescent="0.3">
      <c r="A839" s="128" t="s">
        <v>187</v>
      </c>
      <c r="B839" s="129" t="s">
        <v>50</v>
      </c>
      <c r="C839" s="129" t="s">
        <v>21</v>
      </c>
      <c r="D839" s="129" t="str">
        <f t="shared" si="65"/>
        <v>Предприятие (1 пользователь)ОПТИМАЛЬНЫЙ12</v>
      </c>
      <c r="E839" s="145">
        <v>0.1</v>
      </c>
      <c r="F839" s="144">
        <v>12</v>
      </c>
      <c r="G839" s="144" t="s">
        <v>232</v>
      </c>
      <c r="H839" s="256">
        <f t="shared" si="63"/>
        <v>0</v>
      </c>
    </row>
    <row r="840" spans="1:8" x14ac:dyDescent="0.3">
      <c r="A840" s="128" t="s">
        <v>187</v>
      </c>
      <c r="B840" s="129" t="s">
        <v>51</v>
      </c>
      <c r="C840" s="129" t="s">
        <v>21</v>
      </c>
      <c r="D840" s="129" t="str">
        <f t="shared" si="65"/>
        <v>Предприятие ПРОФ (1 пользователь)ОПТИМАЛЬНЫЙ12</v>
      </c>
      <c r="E840" s="145">
        <v>0.1</v>
      </c>
      <c r="F840" s="144">
        <v>12</v>
      </c>
      <c r="G840" s="144" t="s">
        <v>232</v>
      </c>
      <c r="H840" s="256">
        <f t="shared" si="63"/>
        <v>0</v>
      </c>
    </row>
    <row r="841" spans="1:8" x14ac:dyDescent="0.3">
      <c r="A841" s="128" t="s">
        <v>187</v>
      </c>
      <c r="B841" s="129" t="s">
        <v>73</v>
      </c>
      <c r="C841" s="129" t="s">
        <v>21</v>
      </c>
      <c r="D841" s="129" t="str">
        <f t="shared" si="65"/>
        <v>VIP Предприятие (1 пользователь)ОПТИМАЛЬНЫЙ12</v>
      </c>
      <c r="E841" s="145">
        <v>0.1</v>
      </c>
      <c r="F841" s="144">
        <v>12</v>
      </c>
      <c r="G841" s="144" t="s">
        <v>232</v>
      </c>
      <c r="H841" s="256">
        <f t="shared" si="63"/>
        <v>0</v>
      </c>
    </row>
    <row r="842" spans="1:8" x14ac:dyDescent="0.3">
      <c r="A842" s="128" t="s">
        <v>187</v>
      </c>
      <c r="B842" s="129" t="s">
        <v>314</v>
      </c>
      <c r="C842" s="129" t="s">
        <v>21</v>
      </c>
      <c r="D842" s="129" t="str">
        <f t="shared" si="65"/>
        <v>Пакет Программ Главный Бухгалтер, Podpis (1 пользователь, ЛД)ОПТИМАЛЬНЫЙ12</v>
      </c>
      <c r="E842" s="130"/>
      <c r="F842" s="129">
        <v>12</v>
      </c>
      <c r="G842" s="129"/>
      <c r="H842" s="138"/>
    </row>
    <row r="843" spans="1:8" x14ac:dyDescent="0.3">
      <c r="A843" s="128" t="s">
        <v>187</v>
      </c>
      <c r="B843" s="129" t="s">
        <v>312</v>
      </c>
      <c r="C843" s="129" t="s">
        <v>21</v>
      </c>
      <c r="D843" s="129" t="str">
        <f t="shared" si="65"/>
        <v>Пакет Программ Главный Бухгалтер, Podpis, ilex.Накладные (1 пользователь, ЛД)ОПТИМАЛЬНЫЙ12</v>
      </c>
      <c r="E843" s="130"/>
      <c r="F843" s="129">
        <v>12</v>
      </c>
      <c r="G843" s="129"/>
      <c r="H843" s="138"/>
    </row>
    <row r="844" spans="1:8" x14ac:dyDescent="0.3">
      <c r="A844" s="128" t="s">
        <v>187</v>
      </c>
      <c r="B844" s="129" t="s">
        <v>315</v>
      </c>
      <c r="C844" s="129" t="s">
        <v>21</v>
      </c>
      <c r="D844" s="129" t="str">
        <f t="shared" si="65"/>
        <v>Пакет Программ Главный Бухгалтер ПРОФ, Podpis (1 пользователь, ЛД)ОПТИМАЛЬНЫЙ12</v>
      </c>
      <c r="E844" s="145">
        <v>0.25</v>
      </c>
      <c r="F844" s="144">
        <v>12</v>
      </c>
      <c r="G844" s="129"/>
      <c r="H844" s="256">
        <f t="shared" ref="H844:H875" si="66">$B$43</f>
        <v>0</v>
      </c>
    </row>
    <row r="845" spans="1:8" x14ac:dyDescent="0.3">
      <c r="A845" s="128" t="s">
        <v>187</v>
      </c>
      <c r="B845" s="129" t="s">
        <v>313</v>
      </c>
      <c r="C845" s="129" t="s">
        <v>21</v>
      </c>
      <c r="D845" s="129" t="str">
        <f t="shared" si="65"/>
        <v>Пакет Программ Главный Бухгалтер ПРОФ, Podpis, ilex.Накладные (1 пользователь, ЛД)ОПТИМАЛЬНЫЙ12</v>
      </c>
      <c r="E845" s="145">
        <v>0.25</v>
      </c>
      <c r="F845" s="144">
        <v>12</v>
      </c>
      <c r="G845" s="129"/>
      <c r="H845" s="256">
        <f t="shared" si="66"/>
        <v>0</v>
      </c>
    </row>
    <row r="846" spans="1:8" x14ac:dyDescent="0.3">
      <c r="A846" s="128" t="s">
        <v>186</v>
      </c>
      <c r="B846" s="129" t="s">
        <v>9</v>
      </c>
      <c r="C846" s="129" t="s">
        <v>20</v>
      </c>
      <c r="D846" s="129" t="str">
        <f t="shared" ref="D846:D869" si="67">CONCATENATE(B846,C846,F846)</f>
        <v>Предприятие ПРОФЭКСПЕРТ12</v>
      </c>
      <c r="E846" s="145">
        <v>0.1</v>
      </c>
      <c r="F846" s="144">
        <v>12</v>
      </c>
      <c r="G846" s="144" t="s">
        <v>232</v>
      </c>
      <c r="H846" s="256">
        <f t="shared" si="66"/>
        <v>0</v>
      </c>
    </row>
    <row r="847" spans="1:8" x14ac:dyDescent="0.3">
      <c r="A847" s="128" t="s">
        <v>186</v>
      </c>
      <c r="B847" s="129" t="s">
        <v>4</v>
      </c>
      <c r="C847" s="129" t="s">
        <v>20</v>
      </c>
      <c r="D847" s="129" t="str">
        <f t="shared" si="67"/>
        <v>ПредприятиеЭКСПЕРТ12</v>
      </c>
      <c r="E847" s="145">
        <v>0.1</v>
      </c>
      <c r="F847" s="144">
        <v>12</v>
      </c>
      <c r="G847" s="144" t="s">
        <v>232</v>
      </c>
      <c r="H847" s="256">
        <f t="shared" si="66"/>
        <v>0</v>
      </c>
    </row>
    <row r="848" spans="1:8" x14ac:dyDescent="0.3">
      <c r="A848" s="128" t="s">
        <v>186</v>
      </c>
      <c r="B848" s="129" t="s">
        <v>10</v>
      </c>
      <c r="C848" s="129" t="s">
        <v>20</v>
      </c>
      <c r="D848" s="129" t="str">
        <f t="shared" si="67"/>
        <v>Главный Бухгалтер ПРОФЭКСПЕРТ12</v>
      </c>
      <c r="E848" s="145">
        <v>0.1</v>
      </c>
      <c r="F848" s="144">
        <v>12</v>
      </c>
      <c r="G848" s="144" t="s">
        <v>232</v>
      </c>
      <c r="H848" s="256">
        <f t="shared" si="66"/>
        <v>0</v>
      </c>
    </row>
    <row r="849" spans="1:8" x14ac:dyDescent="0.3">
      <c r="A849" s="128" t="s">
        <v>186</v>
      </c>
      <c r="B849" s="129" t="s">
        <v>11</v>
      </c>
      <c r="C849" s="129" t="s">
        <v>20</v>
      </c>
      <c r="D849" s="129" t="str">
        <f t="shared" si="67"/>
        <v>VIP ПредприятиеЭКСПЕРТ12</v>
      </c>
      <c r="E849" s="145">
        <v>0.1</v>
      </c>
      <c r="F849" s="144">
        <v>12</v>
      </c>
      <c r="G849" s="144" t="s">
        <v>232</v>
      </c>
      <c r="H849" s="256">
        <f t="shared" si="66"/>
        <v>0</v>
      </c>
    </row>
    <row r="850" spans="1:8" x14ac:dyDescent="0.3">
      <c r="A850" s="128" t="s">
        <v>186</v>
      </c>
      <c r="B850" s="129" t="s">
        <v>9</v>
      </c>
      <c r="C850" s="129" t="s">
        <v>21</v>
      </c>
      <c r="D850" s="129" t="str">
        <f t="shared" si="67"/>
        <v>Предприятие ПРОФОПТИМАЛЬНЫЙ12</v>
      </c>
      <c r="E850" s="145">
        <v>0.1</v>
      </c>
      <c r="F850" s="144">
        <v>12</v>
      </c>
      <c r="G850" s="144" t="s">
        <v>232</v>
      </c>
      <c r="H850" s="256">
        <f t="shared" si="66"/>
        <v>0</v>
      </c>
    </row>
    <row r="851" spans="1:8" x14ac:dyDescent="0.3">
      <c r="A851" s="128" t="s">
        <v>186</v>
      </c>
      <c r="B851" s="129" t="s">
        <v>4</v>
      </c>
      <c r="C851" s="129" t="s">
        <v>21</v>
      </c>
      <c r="D851" s="129" t="str">
        <f t="shared" si="67"/>
        <v>ПредприятиеОПТИМАЛЬНЫЙ12</v>
      </c>
      <c r="E851" s="145">
        <v>0.1</v>
      </c>
      <c r="F851" s="144">
        <v>12</v>
      </c>
      <c r="G851" s="144" t="s">
        <v>232</v>
      </c>
      <c r="H851" s="256">
        <f t="shared" si="66"/>
        <v>0</v>
      </c>
    </row>
    <row r="852" spans="1:8" x14ac:dyDescent="0.3">
      <c r="A852" s="128" t="s">
        <v>186</v>
      </c>
      <c r="B852" s="129" t="s">
        <v>10</v>
      </c>
      <c r="C852" s="129" t="s">
        <v>21</v>
      </c>
      <c r="D852" s="129" t="str">
        <f t="shared" si="67"/>
        <v>Главный Бухгалтер ПРОФОПТИМАЛЬНЫЙ12</v>
      </c>
      <c r="E852" s="145">
        <v>0.1</v>
      </c>
      <c r="F852" s="144">
        <v>12</v>
      </c>
      <c r="G852" s="144" t="s">
        <v>232</v>
      </c>
      <c r="H852" s="256">
        <f t="shared" si="66"/>
        <v>0</v>
      </c>
    </row>
    <row r="853" spans="1:8" x14ac:dyDescent="0.3">
      <c r="A853" s="128" t="s">
        <v>186</v>
      </c>
      <c r="B853" s="129" t="s">
        <v>11</v>
      </c>
      <c r="C853" s="129" t="s">
        <v>21</v>
      </c>
      <c r="D853" s="129" t="str">
        <f t="shared" si="67"/>
        <v>VIP ПредприятиеОПТИМАЛЬНЫЙ12</v>
      </c>
      <c r="E853" s="145">
        <v>0.1</v>
      </c>
      <c r="F853" s="144">
        <v>12</v>
      </c>
      <c r="G853" s="144" t="s">
        <v>232</v>
      </c>
      <c r="H853" s="256">
        <f t="shared" si="66"/>
        <v>0</v>
      </c>
    </row>
    <row r="854" spans="1:8" x14ac:dyDescent="0.3">
      <c r="A854" s="128" t="s">
        <v>186</v>
      </c>
      <c r="B854" s="129" t="s">
        <v>9</v>
      </c>
      <c r="C854" s="129" t="s">
        <v>189</v>
      </c>
      <c r="D854" s="129" t="str">
        <f t="shared" si="67"/>
        <v>Предприятие ПРОФЭКСПЕРТОПТИМАЛЬНЫЙ12</v>
      </c>
      <c r="E854" s="145">
        <v>0.1</v>
      </c>
      <c r="F854" s="144">
        <v>12</v>
      </c>
      <c r="G854" s="144" t="s">
        <v>232</v>
      </c>
      <c r="H854" s="256">
        <f t="shared" si="66"/>
        <v>0</v>
      </c>
    </row>
    <row r="855" spans="1:8" x14ac:dyDescent="0.3">
      <c r="A855" s="128" t="s">
        <v>186</v>
      </c>
      <c r="B855" s="129" t="s">
        <v>4</v>
      </c>
      <c r="C855" s="129" t="s">
        <v>189</v>
      </c>
      <c r="D855" s="129" t="str">
        <f t="shared" si="67"/>
        <v>ПредприятиеЭКСПЕРТОПТИМАЛЬНЫЙ12</v>
      </c>
      <c r="E855" s="145">
        <v>0.1</v>
      </c>
      <c r="F855" s="144">
        <v>12</v>
      </c>
      <c r="G855" s="144" t="s">
        <v>232</v>
      </c>
      <c r="H855" s="256">
        <f t="shared" si="66"/>
        <v>0</v>
      </c>
    </row>
    <row r="856" spans="1:8" x14ac:dyDescent="0.3">
      <c r="A856" s="128" t="s">
        <v>186</v>
      </c>
      <c r="B856" s="129" t="s">
        <v>10</v>
      </c>
      <c r="C856" s="129" t="s">
        <v>189</v>
      </c>
      <c r="D856" s="129" t="str">
        <f t="shared" si="67"/>
        <v>Главный Бухгалтер ПРОФЭКСПЕРТОПТИМАЛЬНЫЙ12</v>
      </c>
      <c r="E856" s="145">
        <v>0.1</v>
      </c>
      <c r="F856" s="144">
        <v>12</v>
      </c>
      <c r="G856" s="144" t="s">
        <v>232</v>
      </c>
      <c r="H856" s="256">
        <f t="shared" si="66"/>
        <v>0</v>
      </c>
    </row>
    <row r="857" spans="1:8" x14ac:dyDescent="0.3">
      <c r="A857" s="128" t="s">
        <v>186</v>
      </c>
      <c r="B857" s="129" t="s">
        <v>11</v>
      </c>
      <c r="C857" s="129" t="s">
        <v>189</v>
      </c>
      <c r="D857" s="129" t="str">
        <f t="shared" si="67"/>
        <v>VIP ПредприятиеЭКСПЕРТОПТИМАЛЬНЫЙ12</v>
      </c>
      <c r="E857" s="145">
        <v>0.1</v>
      </c>
      <c r="F857" s="144">
        <v>12</v>
      </c>
      <c r="G857" s="144" t="s">
        <v>232</v>
      </c>
      <c r="H857" s="256">
        <f t="shared" si="66"/>
        <v>0</v>
      </c>
    </row>
    <row r="858" spans="1:8" x14ac:dyDescent="0.3">
      <c r="A858" s="128" t="s">
        <v>186</v>
      </c>
      <c r="B858" s="129" t="s">
        <v>9</v>
      </c>
      <c r="C858" s="129" t="s">
        <v>190</v>
      </c>
      <c r="D858" s="129" t="str">
        <f t="shared" si="67"/>
        <v>Предприятие ПРОФЭКСПЕРТМИНИМАЛЬНЫЙ12</v>
      </c>
      <c r="E858" s="145">
        <v>0.1</v>
      </c>
      <c r="F858" s="144">
        <v>12</v>
      </c>
      <c r="G858" s="144" t="s">
        <v>232</v>
      </c>
      <c r="H858" s="256">
        <f t="shared" si="66"/>
        <v>0</v>
      </c>
    </row>
    <row r="859" spans="1:8" x14ac:dyDescent="0.3">
      <c r="A859" s="128" t="s">
        <v>186</v>
      </c>
      <c r="B859" s="129" t="s">
        <v>4</v>
      </c>
      <c r="C859" s="129" t="s">
        <v>190</v>
      </c>
      <c r="D859" s="129" t="str">
        <f t="shared" si="67"/>
        <v>ПредприятиеЭКСПЕРТМИНИМАЛЬНЫЙ12</v>
      </c>
      <c r="E859" s="145">
        <v>0.1</v>
      </c>
      <c r="F859" s="144">
        <v>12</v>
      </c>
      <c r="G859" s="144" t="s">
        <v>232</v>
      </c>
      <c r="H859" s="256">
        <f t="shared" si="66"/>
        <v>0</v>
      </c>
    </row>
    <row r="860" spans="1:8" x14ac:dyDescent="0.3">
      <c r="A860" s="128" t="s">
        <v>186</v>
      </c>
      <c r="B860" s="129" t="s">
        <v>10</v>
      </c>
      <c r="C860" s="129" t="s">
        <v>192</v>
      </c>
      <c r="D860" s="129" t="str">
        <f t="shared" si="67"/>
        <v>Главный Бухгалтер ПРОФЭКСПЕРТБАЗОВЫЙ12</v>
      </c>
      <c r="E860" s="145">
        <v>0.1</v>
      </c>
      <c r="F860" s="144">
        <v>12</v>
      </c>
      <c r="G860" s="144" t="s">
        <v>232</v>
      </c>
      <c r="H860" s="256">
        <f t="shared" si="66"/>
        <v>0</v>
      </c>
    </row>
    <row r="861" spans="1:8" x14ac:dyDescent="0.3">
      <c r="A861" s="128" t="s">
        <v>186</v>
      </c>
      <c r="B861" s="129" t="s">
        <v>11</v>
      </c>
      <c r="C861" s="129" t="s">
        <v>190</v>
      </c>
      <c r="D861" s="129" t="str">
        <f t="shared" si="67"/>
        <v>VIP ПредприятиеЭКСПЕРТМИНИМАЛЬНЫЙ12</v>
      </c>
      <c r="E861" s="145">
        <v>0.1</v>
      </c>
      <c r="F861" s="144">
        <v>12</v>
      </c>
      <c r="G861" s="144" t="s">
        <v>232</v>
      </c>
      <c r="H861" s="256">
        <f t="shared" si="66"/>
        <v>0</v>
      </c>
    </row>
    <row r="862" spans="1:8" x14ac:dyDescent="0.3">
      <c r="A862" s="128" t="s">
        <v>186</v>
      </c>
      <c r="B862" s="129" t="s">
        <v>9</v>
      </c>
      <c r="C862" s="129" t="s">
        <v>191</v>
      </c>
      <c r="D862" s="129" t="str">
        <f t="shared" si="67"/>
        <v>Предприятие ПРОФОПТИМАЛЬНЫЙМИНИМАЛЬНЫЙ12</v>
      </c>
      <c r="E862" s="145">
        <v>0.1</v>
      </c>
      <c r="F862" s="144">
        <v>12</v>
      </c>
      <c r="G862" s="144" t="s">
        <v>232</v>
      </c>
      <c r="H862" s="256">
        <f t="shared" si="66"/>
        <v>0</v>
      </c>
    </row>
    <row r="863" spans="1:8" x14ac:dyDescent="0.3">
      <c r="A863" s="128" t="s">
        <v>186</v>
      </c>
      <c r="B863" s="129" t="s">
        <v>4</v>
      </c>
      <c r="C863" s="129" t="s">
        <v>191</v>
      </c>
      <c r="D863" s="129" t="str">
        <f t="shared" si="67"/>
        <v>ПредприятиеОПТИМАЛЬНЫЙМИНИМАЛЬНЫЙ12</v>
      </c>
      <c r="E863" s="145">
        <v>0.1</v>
      </c>
      <c r="F863" s="144">
        <v>12</v>
      </c>
      <c r="G863" s="144" t="s">
        <v>232</v>
      </c>
      <c r="H863" s="256">
        <f t="shared" si="66"/>
        <v>0</v>
      </c>
    </row>
    <row r="864" spans="1:8" x14ac:dyDescent="0.3">
      <c r="A864" s="128" t="s">
        <v>186</v>
      </c>
      <c r="B864" s="129" t="s">
        <v>10</v>
      </c>
      <c r="C864" s="129" t="s">
        <v>234</v>
      </c>
      <c r="D864" s="129" t="str">
        <f t="shared" si="67"/>
        <v>Главный Бухгалтер ПРОФОПТИМАЛЬНЫЙБАЗОВЫЙ12</v>
      </c>
      <c r="E864" s="145">
        <v>0.1</v>
      </c>
      <c r="F864" s="144">
        <v>12</v>
      </c>
      <c r="G864" s="144" t="s">
        <v>232</v>
      </c>
      <c r="H864" s="256">
        <f t="shared" si="66"/>
        <v>0</v>
      </c>
    </row>
    <row r="865" spans="1:8" x14ac:dyDescent="0.3">
      <c r="A865" s="128" t="s">
        <v>186</v>
      </c>
      <c r="B865" s="129" t="s">
        <v>11</v>
      </c>
      <c r="C865" s="129" t="s">
        <v>191</v>
      </c>
      <c r="D865" s="129" t="str">
        <f t="shared" si="67"/>
        <v>VIP ПредприятиеОПТИМАЛЬНЫЙМИНИМАЛЬНЫЙ12</v>
      </c>
      <c r="E865" s="145">
        <v>0.1</v>
      </c>
      <c r="F865" s="144">
        <v>12</v>
      </c>
      <c r="G865" s="144" t="s">
        <v>232</v>
      </c>
      <c r="H865" s="256">
        <f t="shared" si="66"/>
        <v>0</v>
      </c>
    </row>
    <row r="866" spans="1:8" x14ac:dyDescent="0.3">
      <c r="A866" s="128" t="s">
        <v>186</v>
      </c>
      <c r="B866" s="129" t="s">
        <v>9</v>
      </c>
      <c r="C866" s="129" t="s">
        <v>194</v>
      </c>
      <c r="D866" s="129" t="str">
        <f t="shared" si="67"/>
        <v>Предприятие ПРОФЭКСПЕРТОПТИМАЛЬНЫЙМИНИМАЛЬНЫЙ12</v>
      </c>
      <c r="E866" s="151">
        <v>0.1</v>
      </c>
      <c r="F866" s="152">
        <v>12</v>
      </c>
      <c r="G866" s="152" t="s">
        <v>232</v>
      </c>
      <c r="H866" s="256">
        <f t="shared" si="66"/>
        <v>0</v>
      </c>
    </row>
    <row r="867" spans="1:8" x14ac:dyDescent="0.3">
      <c r="A867" s="128" t="s">
        <v>186</v>
      </c>
      <c r="B867" s="129" t="s">
        <v>4</v>
      </c>
      <c r="C867" s="129" t="s">
        <v>194</v>
      </c>
      <c r="D867" s="129" t="str">
        <f t="shared" si="67"/>
        <v>ПредприятиеЭКСПЕРТОПТИМАЛЬНЫЙМИНИМАЛЬНЫЙ12</v>
      </c>
      <c r="E867" s="151">
        <v>0.1</v>
      </c>
      <c r="F867" s="152">
        <v>12</v>
      </c>
      <c r="G867" s="152" t="s">
        <v>232</v>
      </c>
      <c r="H867" s="256">
        <f t="shared" si="66"/>
        <v>0</v>
      </c>
    </row>
    <row r="868" spans="1:8" x14ac:dyDescent="0.3">
      <c r="A868" s="128" t="s">
        <v>186</v>
      </c>
      <c r="B868" s="129" t="s">
        <v>10</v>
      </c>
      <c r="C868" s="129" t="s">
        <v>195</v>
      </c>
      <c r="D868" s="129" t="str">
        <f t="shared" si="67"/>
        <v>Главный Бухгалтер ПРОФЭКСПЕРТОПТИМАЛЬНЫЙБАЗОВЫЙ12</v>
      </c>
      <c r="E868" s="151">
        <v>0.1</v>
      </c>
      <c r="F868" s="152">
        <v>12</v>
      </c>
      <c r="G868" s="152" t="s">
        <v>232</v>
      </c>
      <c r="H868" s="256">
        <f t="shared" si="66"/>
        <v>0</v>
      </c>
    </row>
    <row r="869" spans="1:8" x14ac:dyDescent="0.3">
      <c r="A869" s="131" t="s">
        <v>186</v>
      </c>
      <c r="B869" s="132" t="s">
        <v>11</v>
      </c>
      <c r="C869" s="132" t="s">
        <v>194</v>
      </c>
      <c r="D869" s="129" t="str">
        <f t="shared" si="67"/>
        <v>VIP ПредприятиеЭКСПЕРТОПТИМАЛЬНЫЙМИНИМАЛЬНЫЙ12</v>
      </c>
      <c r="E869" s="153">
        <v>0.1</v>
      </c>
      <c r="F869" s="154">
        <v>12</v>
      </c>
      <c r="G869" s="152" t="s">
        <v>232</v>
      </c>
      <c r="H869" s="256">
        <f t="shared" si="66"/>
        <v>0</v>
      </c>
    </row>
    <row r="870" spans="1:8" x14ac:dyDescent="0.3">
      <c r="A870" s="128" t="s">
        <v>187</v>
      </c>
      <c r="B870" s="129" t="s">
        <v>262</v>
      </c>
      <c r="C870" s="129" t="s">
        <v>20</v>
      </c>
      <c r="D870" s="129" t="str">
        <f t="shared" ref="D870:D876" si="68">_xlfn.CONCAT(B870,C870,F870)</f>
        <v>Комплекс коммерческий Предприятие (1 пользователь)ЭКСПЕРТ6</v>
      </c>
      <c r="E870" s="235">
        <v>0</v>
      </c>
      <c r="F870" s="144">
        <v>6</v>
      </c>
      <c r="G870" s="144" t="s">
        <v>231</v>
      </c>
      <c r="H870" s="256">
        <f t="shared" si="66"/>
        <v>0</v>
      </c>
    </row>
    <row r="871" spans="1:8" x14ac:dyDescent="0.3">
      <c r="A871" s="128" t="s">
        <v>187</v>
      </c>
      <c r="B871" s="129" t="s">
        <v>263</v>
      </c>
      <c r="C871" s="129" t="s">
        <v>20</v>
      </c>
      <c r="D871" s="129" t="str">
        <f t="shared" si="68"/>
        <v>Комплекс коммерческий Предприятие ПРОФ (1 пользователь)ЭКСПЕРТ6</v>
      </c>
      <c r="E871" s="235">
        <v>0</v>
      </c>
      <c r="F871" s="144">
        <v>6</v>
      </c>
      <c r="G871" s="144" t="s">
        <v>231</v>
      </c>
      <c r="H871" s="256">
        <f t="shared" si="66"/>
        <v>0</v>
      </c>
    </row>
    <row r="872" spans="1:8" x14ac:dyDescent="0.3">
      <c r="A872" s="128" t="s">
        <v>187</v>
      </c>
      <c r="B872" s="129" t="s">
        <v>261</v>
      </c>
      <c r="C872" s="129" t="s">
        <v>20</v>
      </c>
      <c r="D872" s="129" t="str">
        <f t="shared" si="68"/>
        <v>Комплекс коммерческий Главный Бухгалтер ПРОФ (1 пользователь)ЭКСПЕРТ6</v>
      </c>
      <c r="E872" s="130">
        <v>0</v>
      </c>
      <c r="F872" s="144">
        <v>6</v>
      </c>
      <c r="G872" s="144" t="s">
        <v>231</v>
      </c>
      <c r="H872" s="256">
        <f t="shared" si="66"/>
        <v>0</v>
      </c>
    </row>
    <row r="873" spans="1:8" x14ac:dyDescent="0.3">
      <c r="A873" s="128" t="s">
        <v>187</v>
      </c>
      <c r="B873" s="129" t="s">
        <v>264</v>
      </c>
      <c r="C873" s="129" t="s">
        <v>20</v>
      </c>
      <c r="D873" s="129" t="str">
        <f t="shared" si="68"/>
        <v>Комплекс коммерческий VIP Предприятие (1 пользователь)ЭКСПЕРТ6</v>
      </c>
      <c r="E873" s="235">
        <v>0</v>
      </c>
      <c r="F873" s="144">
        <v>6</v>
      </c>
      <c r="G873" s="144" t="s">
        <v>231</v>
      </c>
      <c r="H873" s="256">
        <f t="shared" si="66"/>
        <v>0</v>
      </c>
    </row>
    <row r="874" spans="1:8" x14ac:dyDescent="0.3">
      <c r="A874" s="128" t="s">
        <v>187</v>
      </c>
      <c r="B874" s="129" t="s">
        <v>262</v>
      </c>
      <c r="C874" s="129" t="s">
        <v>21</v>
      </c>
      <c r="D874" s="129" t="str">
        <f t="shared" si="68"/>
        <v>Комплекс коммерческий Предприятие (1 пользователь)ОПТИМАЛЬНЫЙ6</v>
      </c>
      <c r="E874" s="235">
        <v>0</v>
      </c>
      <c r="F874" s="144">
        <v>6</v>
      </c>
      <c r="G874" s="144" t="s">
        <v>231</v>
      </c>
      <c r="H874" s="256">
        <f t="shared" si="66"/>
        <v>0</v>
      </c>
    </row>
    <row r="875" spans="1:8" x14ac:dyDescent="0.3">
      <c r="A875" s="128" t="s">
        <v>187</v>
      </c>
      <c r="B875" s="129" t="s">
        <v>263</v>
      </c>
      <c r="C875" s="129" t="s">
        <v>21</v>
      </c>
      <c r="D875" s="129" t="str">
        <f t="shared" si="68"/>
        <v>Комплекс коммерческий Предприятие ПРОФ (1 пользователь)ОПТИМАЛЬНЫЙ6</v>
      </c>
      <c r="E875" s="235">
        <v>0</v>
      </c>
      <c r="F875" s="144">
        <v>6</v>
      </c>
      <c r="G875" s="144" t="s">
        <v>231</v>
      </c>
      <c r="H875" s="256">
        <f t="shared" si="66"/>
        <v>0</v>
      </c>
    </row>
    <row r="876" spans="1:8" x14ac:dyDescent="0.3">
      <c r="A876" s="128" t="s">
        <v>187</v>
      </c>
      <c r="B876" s="129" t="s">
        <v>264</v>
      </c>
      <c r="C876" s="129" t="s">
        <v>21</v>
      </c>
      <c r="D876" s="129" t="str">
        <f t="shared" si="68"/>
        <v>Комплекс коммерческий VIP Предприятие (1 пользователь)ОПТИМАЛЬНЫЙ6</v>
      </c>
      <c r="E876" s="235">
        <v>0</v>
      </c>
      <c r="F876" s="144">
        <v>6</v>
      </c>
      <c r="G876" s="144" t="s">
        <v>231</v>
      </c>
      <c r="H876" s="256">
        <f t="shared" ref="H876:H907" si="69">$B$43</f>
        <v>0</v>
      </c>
    </row>
    <row r="877" spans="1:8" x14ac:dyDescent="0.3">
      <c r="A877" s="128" t="s">
        <v>186</v>
      </c>
      <c r="B877" s="129" t="s">
        <v>259</v>
      </c>
      <c r="C877" s="129" t="s">
        <v>20</v>
      </c>
      <c r="D877" s="129" t="str">
        <f t="shared" ref="D877:D900" si="70">CONCATENATE(B877,C877,F877)</f>
        <v>Комплекс коммерческий Предприятие ПРОФЭКСПЕРТ6</v>
      </c>
      <c r="E877" s="130">
        <v>0</v>
      </c>
      <c r="F877" s="144">
        <v>6</v>
      </c>
      <c r="G877" s="144" t="s">
        <v>231</v>
      </c>
      <c r="H877" s="256">
        <f t="shared" si="69"/>
        <v>0</v>
      </c>
    </row>
    <row r="878" spans="1:8" x14ac:dyDescent="0.3">
      <c r="A878" s="128" t="s">
        <v>186</v>
      </c>
      <c r="B878" s="129" t="s">
        <v>258</v>
      </c>
      <c r="C878" s="129" t="s">
        <v>20</v>
      </c>
      <c r="D878" s="129" t="str">
        <f t="shared" si="70"/>
        <v>Комплекс коммерческий ПредприятиеЭКСПЕРТ6</v>
      </c>
      <c r="E878" s="130">
        <v>0</v>
      </c>
      <c r="F878" s="144">
        <v>6</v>
      </c>
      <c r="G878" s="144" t="s">
        <v>231</v>
      </c>
      <c r="H878" s="256">
        <f t="shared" si="69"/>
        <v>0</v>
      </c>
    </row>
    <row r="879" spans="1:8" x14ac:dyDescent="0.3">
      <c r="A879" s="128" t="s">
        <v>186</v>
      </c>
      <c r="B879" s="129" t="s">
        <v>257</v>
      </c>
      <c r="C879" s="129" t="s">
        <v>20</v>
      </c>
      <c r="D879" s="129" t="str">
        <f t="shared" si="70"/>
        <v>Комплекс коммерческий Главный Бухгалтер ПРОФЭКСПЕРТ6</v>
      </c>
      <c r="E879" s="130">
        <v>0</v>
      </c>
      <c r="F879" s="144">
        <v>6</v>
      </c>
      <c r="G879" s="144" t="s">
        <v>231</v>
      </c>
      <c r="H879" s="256">
        <f t="shared" si="69"/>
        <v>0</v>
      </c>
    </row>
    <row r="880" spans="1:8" x14ac:dyDescent="0.3">
      <c r="A880" s="128" t="s">
        <v>186</v>
      </c>
      <c r="B880" s="129" t="s">
        <v>260</v>
      </c>
      <c r="C880" s="129" t="s">
        <v>20</v>
      </c>
      <c r="D880" s="129" t="str">
        <f t="shared" si="70"/>
        <v>Комплекс коммерческий VIP ПредприятиеЭКСПЕРТ6</v>
      </c>
      <c r="E880" s="130">
        <v>0</v>
      </c>
      <c r="F880" s="144">
        <v>6</v>
      </c>
      <c r="G880" s="144" t="s">
        <v>231</v>
      </c>
      <c r="H880" s="256">
        <f t="shared" si="69"/>
        <v>0</v>
      </c>
    </row>
    <row r="881" spans="1:8" x14ac:dyDescent="0.3">
      <c r="A881" s="128" t="s">
        <v>186</v>
      </c>
      <c r="B881" s="129" t="s">
        <v>259</v>
      </c>
      <c r="C881" s="129" t="s">
        <v>21</v>
      </c>
      <c r="D881" s="129" t="str">
        <f t="shared" si="70"/>
        <v>Комплекс коммерческий Предприятие ПРОФОПТИМАЛЬНЫЙ6</v>
      </c>
      <c r="E881" s="130">
        <v>0</v>
      </c>
      <c r="F881" s="144">
        <v>6</v>
      </c>
      <c r="G881" s="144" t="s">
        <v>231</v>
      </c>
      <c r="H881" s="256">
        <f t="shared" si="69"/>
        <v>0</v>
      </c>
    </row>
    <row r="882" spans="1:8" x14ac:dyDescent="0.3">
      <c r="A882" s="128" t="s">
        <v>186</v>
      </c>
      <c r="B882" s="129" t="s">
        <v>258</v>
      </c>
      <c r="C882" s="129" t="s">
        <v>21</v>
      </c>
      <c r="D882" s="129" t="str">
        <f t="shared" si="70"/>
        <v>Комплекс коммерческий ПредприятиеОПТИМАЛЬНЫЙ6</v>
      </c>
      <c r="E882" s="130">
        <v>0</v>
      </c>
      <c r="F882" s="144">
        <v>6</v>
      </c>
      <c r="G882" s="144" t="s">
        <v>231</v>
      </c>
      <c r="H882" s="256">
        <f t="shared" si="69"/>
        <v>0</v>
      </c>
    </row>
    <row r="883" spans="1:8" x14ac:dyDescent="0.3">
      <c r="A883" s="128" t="s">
        <v>186</v>
      </c>
      <c r="B883" s="129" t="s">
        <v>257</v>
      </c>
      <c r="C883" s="129" t="s">
        <v>21</v>
      </c>
      <c r="D883" s="129" t="str">
        <f t="shared" si="70"/>
        <v>Комплекс коммерческий Главный Бухгалтер ПРОФОПТИМАЛЬНЫЙ6</v>
      </c>
      <c r="E883" s="130">
        <v>0</v>
      </c>
      <c r="F883" s="144">
        <v>6</v>
      </c>
      <c r="G883" s="144" t="s">
        <v>231</v>
      </c>
      <c r="H883" s="256">
        <f t="shared" si="69"/>
        <v>0</v>
      </c>
    </row>
    <row r="884" spans="1:8" x14ac:dyDescent="0.3">
      <c r="A884" s="128" t="s">
        <v>186</v>
      </c>
      <c r="B884" s="129" t="s">
        <v>260</v>
      </c>
      <c r="C884" s="129" t="s">
        <v>21</v>
      </c>
      <c r="D884" s="129" t="str">
        <f t="shared" si="70"/>
        <v>Комплекс коммерческий VIP ПредприятиеОПТИМАЛЬНЫЙ6</v>
      </c>
      <c r="E884" s="130">
        <v>0</v>
      </c>
      <c r="F884" s="144">
        <v>6</v>
      </c>
      <c r="G884" s="144" t="s">
        <v>231</v>
      </c>
      <c r="H884" s="256">
        <f t="shared" si="69"/>
        <v>0</v>
      </c>
    </row>
    <row r="885" spans="1:8" x14ac:dyDescent="0.3">
      <c r="A885" s="128" t="s">
        <v>186</v>
      </c>
      <c r="B885" s="129" t="s">
        <v>259</v>
      </c>
      <c r="C885" s="129" t="s">
        <v>189</v>
      </c>
      <c r="D885" s="129" t="str">
        <f t="shared" si="70"/>
        <v>Комплекс коммерческий Предприятие ПРОФЭКСПЕРТОПТИМАЛЬНЫЙ6</v>
      </c>
      <c r="E885" s="130">
        <v>0</v>
      </c>
      <c r="F885" s="144">
        <v>6</v>
      </c>
      <c r="G885" s="144" t="s">
        <v>231</v>
      </c>
      <c r="H885" s="256">
        <f t="shared" si="69"/>
        <v>0</v>
      </c>
    </row>
    <row r="886" spans="1:8" x14ac:dyDescent="0.3">
      <c r="A886" s="128" t="s">
        <v>186</v>
      </c>
      <c r="B886" s="129" t="s">
        <v>258</v>
      </c>
      <c r="C886" s="129" t="s">
        <v>189</v>
      </c>
      <c r="D886" s="129" t="str">
        <f t="shared" si="70"/>
        <v>Комплекс коммерческий ПредприятиеЭКСПЕРТОПТИМАЛЬНЫЙ6</v>
      </c>
      <c r="E886" s="130">
        <v>0</v>
      </c>
      <c r="F886" s="144">
        <v>6</v>
      </c>
      <c r="G886" s="144" t="s">
        <v>231</v>
      </c>
      <c r="H886" s="256">
        <f t="shared" si="69"/>
        <v>0</v>
      </c>
    </row>
    <row r="887" spans="1:8" x14ac:dyDescent="0.3">
      <c r="A887" s="128" t="s">
        <v>186</v>
      </c>
      <c r="B887" s="129" t="s">
        <v>257</v>
      </c>
      <c r="C887" s="129" t="s">
        <v>189</v>
      </c>
      <c r="D887" s="129" t="str">
        <f t="shared" si="70"/>
        <v>Комплекс коммерческий Главный Бухгалтер ПРОФЭКСПЕРТОПТИМАЛЬНЫЙ6</v>
      </c>
      <c r="E887" s="130">
        <v>0</v>
      </c>
      <c r="F887" s="144">
        <v>6</v>
      </c>
      <c r="G887" s="144" t="s">
        <v>231</v>
      </c>
      <c r="H887" s="256">
        <f t="shared" si="69"/>
        <v>0</v>
      </c>
    </row>
    <row r="888" spans="1:8" x14ac:dyDescent="0.3">
      <c r="A888" s="128" t="s">
        <v>186</v>
      </c>
      <c r="B888" s="129" t="s">
        <v>260</v>
      </c>
      <c r="C888" s="129" t="s">
        <v>189</v>
      </c>
      <c r="D888" s="129" t="str">
        <f t="shared" si="70"/>
        <v>Комплекс коммерческий VIP ПредприятиеЭКСПЕРТОПТИМАЛЬНЫЙ6</v>
      </c>
      <c r="E888" s="130">
        <v>0</v>
      </c>
      <c r="F888" s="144">
        <v>6</v>
      </c>
      <c r="G888" s="144" t="s">
        <v>231</v>
      </c>
      <c r="H888" s="256">
        <f t="shared" si="69"/>
        <v>0</v>
      </c>
    </row>
    <row r="889" spans="1:8" x14ac:dyDescent="0.3">
      <c r="A889" s="128" t="s">
        <v>186</v>
      </c>
      <c r="B889" s="129" t="s">
        <v>259</v>
      </c>
      <c r="C889" s="129" t="s">
        <v>190</v>
      </c>
      <c r="D889" s="129" t="str">
        <f t="shared" si="70"/>
        <v>Комплекс коммерческий Предприятие ПРОФЭКСПЕРТМИНИМАЛЬНЫЙ6</v>
      </c>
      <c r="E889" s="130">
        <v>0</v>
      </c>
      <c r="F889" s="144">
        <v>6</v>
      </c>
      <c r="G889" s="144" t="s">
        <v>231</v>
      </c>
      <c r="H889" s="256">
        <f t="shared" si="69"/>
        <v>0</v>
      </c>
    </row>
    <row r="890" spans="1:8" x14ac:dyDescent="0.3">
      <c r="A890" s="128" t="s">
        <v>186</v>
      </c>
      <c r="B890" s="129" t="s">
        <v>258</v>
      </c>
      <c r="C890" s="129" t="s">
        <v>190</v>
      </c>
      <c r="D890" s="129" t="str">
        <f t="shared" si="70"/>
        <v>Комплекс коммерческий ПредприятиеЭКСПЕРТМИНИМАЛЬНЫЙ6</v>
      </c>
      <c r="E890" s="130">
        <v>0</v>
      </c>
      <c r="F890" s="144">
        <v>6</v>
      </c>
      <c r="G890" s="144" t="s">
        <v>231</v>
      </c>
      <c r="H890" s="256">
        <f t="shared" si="69"/>
        <v>0</v>
      </c>
    </row>
    <row r="891" spans="1:8" x14ac:dyDescent="0.3">
      <c r="A891" s="128" t="s">
        <v>186</v>
      </c>
      <c r="B891" s="129" t="s">
        <v>257</v>
      </c>
      <c r="C891" s="129" t="s">
        <v>192</v>
      </c>
      <c r="D891" s="129" t="str">
        <f t="shared" si="70"/>
        <v>Комплекс коммерческий Главный Бухгалтер ПРОФЭКСПЕРТБАЗОВЫЙ6</v>
      </c>
      <c r="E891" s="130">
        <v>0</v>
      </c>
      <c r="F891" s="144">
        <v>6</v>
      </c>
      <c r="G891" s="144" t="s">
        <v>231</v>
      </c>
      <c r="H891" s="256">
        <f t="shared" si="69"/>
        <v>0</v>
      </c>
    </row>
    <row r="892" spans="1:8" x14ac:dyDescent="0.3">
      <c r="A892" s="128" t="s">
        <v>186</v>
      </c>
      <c r="B892" s="129" t="s">
        <v>260</v>
      </c>
      <c r="C892" s="129" t="s">
        <v>190</v>
      </c>
      <c r="D892" s="129" t="str">
        <f t="shared" si="70"/>
        <v>Комплекс коммерческий VIP ПредприятиеЭКСПЕРТМИНИМАЛЬНЫЙ6</v>
      </c>
      <c r="E892" s="130">
        <v>0</v>
      </c>
      <c r="F892" s="144">
        <v>6</v>
      </c>
      <c r="G892" s="144" t="s">
        <v>231</v>
      </c>
      <c r="H892" s="256">
        <f t="shared" si="69"/>
        <v>0</v>
      </c>
    </row>
    <row r="893" spans="1:8" x14ac:dyDescent="0.3">
      <c r="A893" s="128" t="s">
        <v>186</v>
      </c>
      <c r="B893" s="129" t="s">
        <v>259</v>
      </c>
      <c r="C893" s="129" t="s">
        <v>191</v>
      </c>
      <c r="D893" s="129" t="str">
        <f t="shared" si="70"/>
        <v>Комплекс коммерческий Предприятие ПРОФОПТИМАЛЬНЫЙМИНИМАЛЬНЫЙ6</v>
      </c>
      <c r="E893" s="130">
        <v>0</v>
      </c>
      <c r="F893" s="144">
        <v>6</v>
      </c>
      <c r="G893" s="144" t="s">
        <v>231</v>
      </c>
      <c r="H893" s="256">
        <f t="shared" si="69"/>
        <v>0</v>
      </c>
    </row>
    <row r="894" spans="1:8" x14ac:dyDescent="0.3">
      <c r="A894" s="128" t="s">
        <v>186</v>
      </c>
      <c r="B894" s="129" t="s">
        <v>258</v>
      </c>
      <c r="C894" s="129" t="s">
        <v>191</v>
      </c>
      <c r="D894" s="129" t="str">
        <f t="shared" si="70"/>
        <v>Комплекс коммерческий ПредприятиеОПТИМАЛЬНЫЙМИНИМАЛЬНЫЙ6</v>
      </c>
      <c r="E894" s="130">
        <v>0</v>
      </c>
      <c r="F894" s="144">
        <v>6</v>
      </c>
      <c r="G894" s="144" t="s">
        <v>231</v>
      </c>
      <c r="H894" s="256">
        <f t="shared" si="69"/>
        <v>0</v>
      </c>
    </row>
    <row r="895" spans="1:8" x14ac:dyDescent="0.3">
      <c r="A895" s="128" t="s">
        <v>186</v>
      </c>
      <c r="B895" s="129" t="s">
        <v>257</v>
      </c>
      <c r="C895" s="129" t="s">
        <v>234</v>
      </c>
      <c r="D895" s="129" t="str">
        <f t="shared" si="70"/>
        <v>Комплекс коммерческий Главный Бухгалтер ПРОФОПТИМАЛЬНЫЙБАЗОВЫЙ6</v>
      </c>
      <c r="E895" s="130">
        <v>0</v>
      </c>
      <c r="F895" s="144">
        <v>6</v>
      </c>
      <c r="G895" s="144" t="s">
        <v>231</v>
      </c>
      <c r="H895" s="256">
        <f t="shared" si="69"/>
        <v>0</v>
      </c>
    </row>
    <row r="896" spans="1:8" x14ac:dyDescent="0.3">
      <c r="A896" s="128" t="s">
        <v>186</v>
      </c>
      <c r="B896" s="129" t="s">
        <v>260</v>
      </c>
      <c r="C896" s="129" t="s">
        <v>191</v>
      </c>
      <c r="D896" s="129" t="str">
        <f t="shared" si="70"/>
        <v>Комплекс коммерческий VIP ПредприятиеОПТИМАЛЬНЫЙМИНИМАЛЬНЫЙ6</v>
      </c>
      <c r="E896" s="130">
        <v>0</v>
      </c>
      <c r="F896" s="144">
        <v>6</v>
      </c>
      <c r="G896" s="144" t="s">
        <v>231</v>
      </c>
      <c r="H896" s="256">
        <f t="shared" si="69"/>
        <v>0</v>
      </c>
    </row>
    <row r="897" spans="1:8" x14ac:dyDescent="0.3">
      <c r="A897" s="128" t="s">
        <v>186</v>
      </c>
      <c r="B897" s="129" t="s">
        <v>259</v>
      </c>
      <c r="C897" s="129" t="s">
        <v>194</v>
      </c>
      <c r="D897" s="129" t="str">
        <f t="shared" si="70"/>
        <v>Комплекс коммерческий Предприятие ПРОФЭКСПЕРТОПТИМАЛЬНЫЙМИНИМАЛЬНЫЙ6</v>
      </c>
      <c r="E897" s="130">
        <v>0</v>
      </c>
      <c r="F897" s="152">
        <v>6</v>
      </c>
      <c r="G897" s="152" t="s">
        <v>231</v>
      </c>
      <c r="H897" s="256">
        <f t="shared" si="69"/>
        <v>0</v>
      </c>
    </row>
    <row r="898" spans="1:8" x14ac:dyDescent="0.3">
      <c r="A898" s="128" t="s">
        <v>186</v>
      </c>
      <c r="B898" s="129" t="s">
        <v>258</v>
      </c>
      <c r="C898" s="129" t="s">
        <v>194</v>
      </c>
      <c r="D898" s="129" t="str">
        <f t="shared" si="70"/>
        <v>Комплекс коммерческий ПредприятиеЭКСПЕРТОПТИМАЛЬНЫЙМИНИМАЛЬНЫЙ6</v>
      </c>
      <c r="E898" s="130">
        <v>0</v>
      </c>
      <c r="F898" s="152">
        <v>6</v>
      </c>
      <c r="G898" s="152" t="s">
        <v>231</v>
      </c>
      <c r="H898" s="256">
        <f t="shared" si="69"/>
        <v>0</v>
      </c>
    </row>
    <row r="899" spans="1:8" x14ac:dyDescent="0.3">
      <c r="A899" s="128" t="s">
        <v>186</v>
      </c>
      <c r="B899" s="129" t="s">
        <v>257</v>
      </c>
      <c r="C899" s="129" t="s">
        <v>195</v>
      </c>
      <c r="D899" s="129" t="str">
        <f t="shared" si="70"/>
        <v>Комплекс коммерческий Главный Бухгалтер ПРОФЭКСПЕРТОПТИМАЛЬНЫЙБАЗОВЫЙ6</v>
      </c>
      <c r="E899" s="130">
        <v>0</v>
      </c>
      <c r="F899" s="152">
        <v>6</v>
      </c>
      <c r="G899" s="152" t="s">
        <v>231</v>
      </c>
      <c r="H899" s="256">
        <f t="shared" si="69"/>
        <v>0</v>
      </c>
    </row>
    <row r="900" spans="1:8" x14ac:dyDescent="0.3">
      <c r="A900" s="128" t="s">
        <v>186</v>
      </c>
      <c r="B900" s="129" t="s">
        <v>260</v>
      </c>
      <c r="C900" s="129" t="s">
        <v>194</v>
      </c>
      <c r="D900" s="129" t="str">
        <f t="shared" si="70"/>
        <v>Комплекс коммерческий VIP ПредприятиеЭКСПЕРТОПТИМАЛЬНЫЙМИНИМАЛЬНЫЙ6</v>
      </c>
      <c r="E900" s="130">
        <v>0</v>
      </c>
      <c r="F900" s="152">
        <v>6</v>
      </c>
      <c r="G900" s="152" t="s">
        <v>231</v>
      </c>
      <c r="H900" s="256">
        <f t="shared" si="69"/>
        <v>0</v>
      </c>
    </row>
    <row r="901" spans="1:8" x14ac:dyDescent="0.3">
      <c r="A901" s="128" t="s">
        <v>187</v>
      </c>
      <c r="B901" s="129" t="s">
        <v>262</v>
      </c>
      <c r="C901" s="129" t="s">
        <v>20</v>
      </c>
      <c r="D901" s="129" t="str">
        <f t="shared" ref="D901:D907" si="71">_xlfn.CONCAT(B901,C901,F901)</f>
        <v>Комплекс коммерческий Предприятие (1 пользователь)ЭКСПЕРТ7</v>
      </c>
      <c r="E901" s="235">
        <v>0</v>
      </c>
      <c r="F901" s="144">
        <v>7</v>
      </c>
      <c r="G901" s="144" t="s">
        <v>231</v>
      </c>
      <c r="H901" s="256">
        <f t="shared" si="69"/>
        <v>0</v>
      </c>
    </row>
    <row r="902" spans="1:8" x14ac:dyDescent="0.3">
      <c r="A902" s="128" t="s">
        <v>187</v>
      </c>
      <c r="B902" s="129" t="s">
        <v>263</v>
      </c>
      <c r="C902" s="129" t="s">
        <v>20</v>
      </c>
      <c r="D902" s="129" t="str">
        <f t="shared" si="71"/>
        <v>Комплекс коммерческий Предприятие ПРОФ (1 пользователь)ЭКСПЕРТ7</v>
      </c>
      <c r="E902" s="235">
        <v>0</v>
      </c>
      <c r="F902" s="144">
        <v>7</v>
      </c>
      <c r="G902" s="144" t="s">
        <v>231</v>
      </c>
      <c r="H902" s="256">
        <f t="shared" si="69"/>
        <v>0</v>
      </c>
    </row>
    <row r="903" spans="1:8" x14ac:dyDescent="0.3">
      <c r="A903" s="128" t="s">
        <v>187</v>
      </c>
      <c r="B903" s="129" t="s">
        <v>261</v>
      </c>
      <c r="C903" s="129" t="s">
        <v>20</v>
      </c>
      <c r="D903" s="129" t="str">
        <f t="shared" si="71"/>
        <v>Комплекс коммерческий Главный Бухгалтер ПРОФ (1 пользователь)ЭКСПЕРТ7</v>
      </c>
      <c r="E903" s="130">
        <v>0</v>
      </c>
      <c r="F903" s="144">
        <v>7</v>
      </c>
      <c r="G903" s="144" t="s">
        <v>231</v>
      </c>
      <c r="H903" s="256">
        <f t="shared" si="69"/>
        <v>0</v>
      </c>
    </row>
    <row r="904" spans="1:8" x14ac:dyDescent="0.3">
      <c r="A904" s="128" t="s">
        <v>187</v>
      </c>
      <c r="B904" s="129" t="s">
        <v>264</v>
      </c>
      <c r="C904" s="129" t="s">
        <v>20</v>
      </c>
      <c r="D904" s="129" t="str">
        <f t="shared" si="71"/>
        <v>Комплекс коммерческий VIP Предприятие (1 пользователь)ЭКСПЕРТ7</v>
      </c>
      <c r="E904" s="235">
        <v>0</v>
      </c>
      <c r="F904" s="144">
        <v>7</v>
      </c>
      <c r="G904" s="144" t="s">
        <v>231</v>
      </c>
      <c r="H904" s="256">
        <f t="shared" si="69"/>
        <v>0</v>
      </c>
    </row>
    <row r="905" spans="1:8" x14ac:dyDescent="0.3">
      <c r="A905" s="128" t="s">
        <v>187</v>
      </c>
      <c r="B905" s="129" t="s">
        <v>262</v>
      </c>
      <c r="C905" s="129" t="s">
        <v>21</v>
      </c>
      <c r="D905" s="129" t="str">
        <f t="shared" si="71"/>
        <v>Комплекс коммерческий Предприятие (1 пользователь)ОПТИМАЛЬНЫЙ7</v>
      </c>
      <c r="E905" s="235">
        <v>0</v>
      </c>
      <c r="F905" s="144">
        <v>7</v>
      </c>
      <c r="G905" s="144" t="s">
        <v>231</v>
      </c>
      <c r="H905" s="256">
        <f t="shared" si="69"/>
        <v>0</v>
      </c>
    </row>
    <row r="906" spans="1:8" x14ac:dyDescent="0.3">
      <c r="A906" s="128" t="s">
        <v>187</v>
      </c>
      <c r="B906" s="129" t="s">
        <v>263</v>
      </c>
      <c r="C906" s="129" t="s">
        <v>21</v>
      </c>
      <c r="D906" s="129" t="str">
        <f t="shared" si="71"/>
        <v>Комплекс коммерческий Предприятие ПРОФ (1 пользователь)ОПТИМАЛЬНЫЙ7</v>
      </c>
      <c r="E906" s="235">
        <v>0</v>
      </c>
      <c r="F906" s="144">
        <v>7</v>
      </c>
      <c r="G906" s="144" t="s">
        <v>231</v>
      </c>
      <c r="H906" s="256">
        <f t="shared" si="69"/>
        <v>0</v>
      </c>
    </row>
    <row r="907" spans="1:8" x14ac:dyDescent="0.3">
      <c r="A907" s="128" t="s">
        <v>187</v>
      </c>
      <c r="B907" s="129" t="s">
        <v>264</v>
      </c>
      <c r="C907" s="129" t="s">
        <v>21</v>
      </c>
      <c r="D907" s="129" t="str">
        <f t="shared" si="71"/>
        <v>Комплекс коммерческий VIP Предприятие (1 пользователь)ОПТИМАЛЬНЫЙ7</v>
      </c>
      <c r="E907" s="235">
        <v>0</v>
      </c>
      <c r="F907" s="144">
        <v>7</v>
      </c>
      <c r="G907" s="144" t="s">
        <v>231</v>
      </c>
      <c r="H907" s="256">
        <f t="shared" si="69"/>
        <v>0</v>
      </c>
    </row>
    <row r="908" spans="1:8" x14ac:dyDescent="0.3">
      <c r="A908" s="128" t="s">
        <v>186</v>
      </c>
      <c r="B908" s="129" t="s">
        <v>259</v>
      </c>
      <c r="C908" s="129" t="s">
        <v>20</v>
      </c>
      <c r="D908" s="129" t="str">
        <f t="shared" ref="D908:D931" si="72">CONCATENATE(B908,C908,F908)</f>
        <v>Комплекс коммерческий Предприятие ПРОФЭКСПЕРТ7</v>
      </c>
      <c r="E908" s="130">
        <v>0</v>
      </c>
      <c r="F908" s="144">
        <v>7</v>
      </c>
      <c r="G908" s="144" t="s">
        <v>231</v>
      </c>
      <c r="H908" s="256">
        <f t="shared" ref="H908:H939" si="73">$B$43</f>
        <v>0</v>
      </c>
    </row>
    <row r="909" spans="1:8" x14ac:dyDescent="0.3">
      <c r="A909" s="128" t="s">
        <v>186</v>
      </c>
      <c r="B909" s="129" t="s">
        <v>258</v>
      </c>
      <c r="C909" s="129" t="s">
        <v>20</v>
      </c>
      <c r="D909" s="129" t="str">
        <f t="shared" si="72"/>
        <v>Комплекс коммерческий ПредприятиеЭКСПЕРТ7</v>
      </c>
      <c r="E909" s="130">
        <v>0</v>
      </c>
      <c r="F909" s="144">
        <v>7</v>
      </c>
      <c r="G909" s="144" t="s">
        <v>231</v>
      </c>
      <c r="H909" s="256">
        <f t="shared" si="73"/>
        <v>0</v>
      </c>
    </row>
    <row r="910" spans="1:8" x14ac:dyDescent="0.3">
      <c r="A910" s="128" t="s">
        <v>186</v>
      </c>
      <c r="B910" s="129" t="s">
        <v>257</v>
      </c>
      <c r="C910" s="129" t="s">
        <v>20</v>
      </c>
      <c r="D910" s="129" t="str">
        <f t="shared" si="72"/>
        <v>Комплекс коммерческий Главный Бухгалтер ПРОФЭКСПЕРТ7</v>
      </c>
      <c r="E910" s="130">
        <v>0</v>
      </c>
      <c r="F910" s="144">
        <v>7</v>
      </c>
      <c r="G910" s="144" t="s">
        <v>231</v>
      </c>
      <c r="H910" s="256">
        <f t="shared" si="73"/>
        <v>0</v>
      </c>
    </row>
    <row r="911" spans="1:8" x14ac:dyDescent="0.3">
      <c r="A911" s="128" t="s">
        <v>186</v>
      </c>
      <c r="B911" s="129" t="s">
        <v>260</v>
      </c>
      <c r="C911" s="129" t="s">
        <v>20</v>
      </c>
      <c r="D911" s="129" t="str">
        <f t="shared" si="72"/>
        <v>Комплекс коммерческий VIP ПредприятиеЭКСПЕРТ7</v>
      </c>
      <c r="E911" s="130">
        <v>0</v>
      </c>
      <c r="F911" s="144">
        <v>7</v>
      </c>
      <c r="G911" s="144" t="s">
        <v>231</v>
      </c>
      <c r="H911" s="256">
        <f t="shared" si="73"/>
        <v>0</v>
      </c>
    </row>
    <row r="912" spans="1:8" x14ac:dyDescent="0.3">
      <c r="A912" s="128" t="s">
        <v>186</v>
      </c>
      <c r="B912" s="129" t="s">
        <v>259</v>
      </c>
      <c r="C912" s="129" t="s">
        <v>21</v>
      </c>
      <c r="D912" s="129" t="str">
        <f t="shared" si="72"/>
        <v>Комплекс коммерческий Предприятие ПРОФОПТИМАЛЬНЫЙ7</v>
      </c>
      <c r="E912" s="130">
        <v>0</v>
      </c>
      <c r="F912" s="144">
        <v>7</v>
      </c>
      <c r="G912" s="144" t="s">
        <v>231</v>
      </c>
      <c r="H912" s="256">
        <f t="shared" si="73"/>
        <v>0</v>
      </c>
    </row>
    <row r="913" spans="1:8" x14ac:dyDescent="0.3">
      <c r="A913" s="128" t="s">
        <v>186</v>
      </c>
      <c r="B913" s="129" t="s">
        <v>258</v>
      </c>
      <c r="C913" s="129" t="s">
        <v>21</v>
      </c>
      <c r="D913" s="129" t="str">
        <f t="shared" si="72"/>
        <v>Комплекс коммерческий ПредприятиеОПТИМАЛЬНЫЙ7</v>
      </c>
      <c r="E913" s="130">
        <v>0</v>
      </c>
      <c r="F913" s="144">
        <v>7</v>
      </c>
      <c r="G913" s="144" t="s">
        <v>231</v>
      </c>
      <c r="H913" s="256">
        <f t="shared" si="73"/>
        <v>0</v>
      </c>
    </row>
    <row r="914" spans="1:8" x14ac:dyDescent="0.3">
      <c r="A914" s="128" t="s">
        <v>186</v>
      </c>
      <c r="B914" s="129" t="s">
        <v>257</v>
      </c>
      <c r="C914" s="129" t="s">
        <v>21</v>
      </c>
      <c r="D914" s="129" t="str">
        <f t="shared" si="72"/>
        <v>Комплекс коммерческий Главный Бухгалтер ПРОФОПТИМАЛЬНЫЙ7</v>
      </c>
      <c r="E914" s="130">
        <v>0</v>
      </c>
      <c r="F914" s="144">
        <v>7</v>
      </c>
      <c r="G914" s="144" t="s">
        <v>231</v>
      </c>
      <c r="H914" s="256">
        <f t="shared" si="73"/>
        <v>0</v>
      </c>
    </row>
    <row r="915" spans="1:8" x14ac:dyDescent="0.3">
      <c r="A915" s="128" t="s">
        <v>186</v>
      </c>
      <c r="B915" s="129" t="s">
        <v>260</v>
      </c>
      <c r="C915" s="129" t="s">
        <v>21</v>
      </c>
      <c r="D915" s="129" t="str">
        <f t="shared" si="72"/>
        <v>Комплекс коммерческий VIP ПредприятиеОПТИМАЛЬНЫЙ7</v>
      </c>
      <c r="E915" s="130">
        <v>0</v>
      </c>
      <c r="F915" s="144">
        <v>7</v>
      </c>
      <c r="G915" s="144" t="s">
        <v>231</v>
      </c>
      <c r="H915" s="256">
        <f t="shared" si="73"/>
        <v>0</v>
      </c>
    </row>
    <row r="916" spans="1:8" x14ac:dyDescent="0.3">
      <c r="A916" s="128" t="s">
        <v>186</v>
      </c>
      <c r="B916" s="129" t="s">
        <v>259</v>
      </c>
      <c r="C916" s="129" t="s">
        <v>189</v>
      </c>
      <c r="D916" s="129" t="str">
        <f t="shared" si="72"/>
        <v>Комплекс коммерческий Предприятие ПРОФЭКСПЕРТОПТИМАЛЬНЫЙ7</v>
      </c>
      <c r="E916" s="130">
        <v>0</v>
      </c>
      <c r="F916" s="144">
        <v>7</v>
      </c>
      <c r="G916" s="144" t="s">
        <v>231</v>
      </c>
      <c r="H916" s="256">
        <f t="shared" si="73"/>
        <v>0</v>
      </c>
    </row>
    <row r="917" spans="1:8" x14ac:dyDescent="0.3">
      <c r="A917" s="128" t="s">
        <v>186</v>
      </c>
      <c r="B917" s="129" t="s">
        <v>258</v>
      </c>
      <c r="C917" s="129" t="s">
        <v>189</v>
      </c>
      <c r="D917" s="129" t="str">
        <f t="shared" si="72"/>
        <v>Комплекс коммерческий ПредприятиеЭКСПЕРТОПТИМАЛЬНЫЙ7</v>
      </c>
      <c r="E917" s="130">
        <v>0</v>
      </c>
      <c r="F917" s="144">
        <v>7</v>
      </c>
      <c r="G917" s="144" t="s">
        <v>231</v>
      </c>
      <c r="H917" s="256">
        <f t="shared" si="73"/>
        <v>0</v>
      </c>
    </row>
    <row r="918" spans="1:8" x14ac:dyDescent="0.3">
      <c r="A918" s="128" t="s">
        <v>186</v>
      </c>
      <c r="B918" s="129" t="s">
        <v>257</v>
      </c>
      <c r="C918" s="129" t="s">
        <v>189</v>
      </c>
      <c r="D918" s="129" t="str">
        <f t="shared" si="72"/>
        <v>Комплекс коммерческий Главный Бухгалтер ПРОФЭКСПЕРТОПТИМАЛЬНЫЙ7</v>
      </c>
      <c r="E918" s="130">
        <v>0</v>
      </c>
      <c r="F918" s="144">
        <v>7</v>
      </c>
      <c r="G918" s="144" t="s">
        <v>231</v>
      </c>
      <c r="H918" s="256">
        <f t="shared" si="73"/>
        <v>0</v>
      </c>
    </row>
    <row r="919" spans="1:8" x14ac:dyDescent="0.3">
      <c r="A919" s="128" t="s">
        <v>186</v>
      </c>
      <c r="B919" s="129" t="s">
        <v>260</v>
      </c>
      <c r="C919" s="129" t="s">
        <v>189</v>
      </c>
      <c r="D919" s="129" t="str">
        <f t="shared" si="72"/>
        <v>Комплекс коммерческий VIP ПредприятиеЭКСПЕРТОПТИМАЛЬНЫЙ7</v>
      </c>
      <c r="E919" s="130">
        <v>0</v>
      </c>
      <c r="F919" s="144">
        <v>7</v>
      </c>
      <c r="G919" s="144" t="s">
        <v>231</v>
      </c>
      <c r="H919" s="256">
        <f t="shared" si="73"/>
        <v>0</v>
      </c>
    </row>
    <row r="920" spans="1:8" x14ac:dyDescent="0.3">
      <c r="A920" s="128" t="s">
        <v>186</v>
      </c>
      <c r="B920" s="129" t="s">
        <v>259</v>
      </c>
      <c r="C920" s="129" t="s">
        <v>190</v>
      </c>
      <c r="D920" s="129" t="str">
        <f t="shared" si="72"/>
        <v>Комплекс коммерческий Предприятие ПРОФЭКСПЕРТМИНИМАЛЬНЫЙ7</v>
      </c>
      <c r="E920" s="130">
        <v>0</v>
      </c>
      <c r="F920" s="144">
        <v>7</v>
      </c>
      <c r="G920" s="144" t="s">
        <v>231</v>
      </c>
      <c r="H920" s="256">
        <f t="shared" si="73"/>
        <v>0</v>
      </c>
    </row>
    <row r="921" spans="1:8" x14ac:dyDescent="0.3">
      <c r="A921" s="128" t="s">
        <v>186</v>
      </c>
      <c r="B921" s="129" t="s">
        <v>258</v>
      </c>
      <c r="C921" s="129" t="s">
        <v>190</v>
      </c>
      <c r="D921" s="129" t="str">
        <f t="shared" si="72"/>
        <v>Комплекс коммерческий ПредприятиеЭКСПЕРТМИНИМАЛЬНЫЙ7</v>
      </c>
      <c r="E921" s="130">
        <v>0</v>
      </c>
      <c r="F921" s="144">
        <v>7</v>
      </c>
      <c r="G921" s="144" t="s">
        <v>231</v>
      </c>
      <c r="H921" s="256">
        <f t="shared" si="73"/>
        <v>0</v>
      </c>
    </row>
    <row r="922" spans="1:8" x14ac:dyDescent="0.3">
      <c r="A922" s="128" t="s">
        <v>186</v>
      </c>
      <c r="B922" s="129" t="s">
        <v>257</v>
      </c>
      <c r="C922" s="129" t="s">
        <v>192</v>
      </c>
      <c r="D922" s="129" t="str">
        <f t="shared" si="72"/>
        <v>Комплекс коммерческий Главный Бухгалтер ПРОФЭКСПЕРТБАЗОВЫЙ7</v>
      </c>
      <c r="E922" s="130">
        <v>0</v>
      </c>
      <c r="F922" s="144">
        <v>7</v>
      </c>
      <c r="G922" s="144" t="s">
        <v>231</v>
      </c>
      <c r="H922" s="256">
        <f t="shared" si="73"/>
        <v>0</v>
      </c>
    </row>
    <row r="923" spans="1:8" x14ac:dyDescent="0.3">
      <c r="A923" s="128" t="s">
        <v>186</v>
      </c>
      <c r="B923" s="129" t="s">
        <v>260</v>
      </c>
      <c r="C923" s="129" t="s">
        <v>190</v>
      </c>
      <c r="D923" s="129" t="str">
        <f t="shared" si="72"/>
        <v>Комплекс коммерческий VIP ПредприятиеЭКСПЕРТМИНИМАЛЬНЫЙ7</v>
      </c>
      <c r="E923" s="130">
        <v>0</v>
      </c>
      <c r="F923" s="144">
        <v>7</v>
      </c>
      <c r="G923" s="144" t="s">
        <v>231</v>
      </c>
      <c r="H923" s="256">
        <f t="shared" si="73"/>
        <v>0</v>
      </c>
    </row>
    <row r="924" spans="1:8" x14ac:dyDescent="0.3">
      <c r="A924" s="128" t="s">
        <v>186</v>
      </c>
      <c r="B924" s="129" t="s">
        <v>259</v>
      </c>
      <c r="C924" s="129" t="s">
        <v>191</v>
      </c>
      <c r="D924" s="129" t="str">
        <f t="shared" si="72"/>
        <v>Комплекс коммерческий Предприятие ПРОФОПТИМАЛЬНЫЙМИНИМАЛЬНЫЙ7</v>
      </c>
      <c r="E924" s="130">
        <v>0</v>
      </c>
      <c r="F924" s="144">
        <v>7</v>
      </c>
      <c r="G924" s="144" t="s">
        <v>231</v>
      </c>
      <c r="H924" s="256">
        <f t="shared" si="73"/>
        <v>0</v>
      </c>
    </row>
    <row r="925" spans="1:8" x14ac:dyDescent="0.3">
      <c r="A925" s="128" t="s">
        <v>186</v>
      </c>
      <c r="B925" s="129" t="s">
        <v>258</v>
      </c>
      <c r="C925" s="129" t="s">
        <v>191</v>
      </c>
      <c r="D925" s="129" t="str">
        <f t="shared" si="72"/>
        <v>Комплекс коммерческий ПредприятиеОПТИМАЛЬНЫЙМИНИМАЛЬНЫЙ7</v>
      </c>
      <c r="E925" s="130">
        <v>0</v>
      </c>
      <c r="F925" s="144">
        <v>7</v>
      </c>
      <c r="G925" s="144" t="s">
        <v>231</v>
      </c>
      <c r="H925" s="256">
        <f t="shared" si="73"/>
        <v>0</v>
      </c>
    </row>
    <row r="926" spans="1:8" x14ac:dyDescent="0.3">
      <c r="A926" s="128" t="s">
        <v>186</v>
      </c>
      <c r="B926" s="129" t="s">
        <v>257</v>
      </c>
      <c r="C926" s="129" t="s">
        <v>234</v>
      </c>
      <c r="D926" s="129" t="str">
        <f t="shared" si="72"/>
        <v>Комплекс коммерческий Главный Бухгалтер ПРОФОПТИМАЛЬНЫЙБАЗОВЫЙ7</v>
      </c>
      <c r="E926" s="130">
        <v>0</v>
      </c>
      <c r="F926" s="144">
        <v>7</v>
      </c>
      <c r="G926" s="144" t="s">
        <v>231</v>
      </c>
      <c r="H926" s="256">
        <f t="shared" si="73"/>
        <v>0</v>
      </c>
    </row>
    <row r="927" spans="1:8" x14ac:dyDescent="0.3">
      <c r="A927" s="128" t="s">
        <v>186</v>
      </c>
      <c r="B927" s="129" t="s">
        <v>260</v>
      </c>
      <c r="C927" s="129" t="s">
        <v>191</v>
      </c>
      <c r="D927" s="129" t="str">
        <f t="shared" si="72"/>
        <v>Комплекс коммерческий VIP ПредприятиеОПТИМАЛЬНЫЙМИНИМАЛЬНЫЙ7</v>
      </c>
      <c r="E927" s="130">
        <v>0</v>
      </c>
      <c r="F927" s="144">
        <v>7</v>
      </c>
      <c r="G927" s="144" t="s">
        <v>231</v>
      </c>
      <c r="H927" s="256">
        <f t="shared" si="73"/>
        <v>0</v>
      </c>
    </row>
    <row r="928" spans="1:8" x14ac:dyDescent="0.3">
      <c r="A928" s="128" t="s">
        <v>186</v>
      </c>
      <c r="B928" s="129" t="s">
        <v>259</v>
      </c>
      <c r="C928" s="129" t="s">
        <v>194</v>
      </c>
      <c r="D928" s="129" t="str">
        <f t="shared" si="72"/>
        <v>Комплекс коммерческий Предприятие ПРОФЭКСПЕРТОПТИМАЛЬНЫЙМИНИМАЛЬНЫЙ7</v>
      </c>
      <c r="E928" s="130">
        <v>0</v>
      </c>
      <c r="F928" s="152">
        <v>7</v>
      </c>
      <c r="G928" s="152" t="s">
        <v>231</v>
      </c>
      <c r="H928" s="256">
        <f t="shared" si="73"/>
        <v>0</v>
      </c>
    </row>
    <row r="929" spans="1:8" x14ac:dyDescent="0.3">
      <c r="A929" s="128" t="s">
        <v>186</v>
      </c>
      <c r="B929" s="129" t="s">
        <v>258</v>
      </c>
      <c r="C929" s="129" t="s">
        <v>194</v>
      </c>
      <c r="D929" s="129" t="str">
        <f t="shared" si="72"/>
        <v>Комплекс коммерческий ПредприятиеЭКСПЕРТОПТИМАЛЬНЫЙМИНИМАЛЬНЫЙ7</v>
      </c>
      <c r="E929" s="130">
        <v>0</v>
      </c>
      <c r="F929" s="152">
        <v>7</v>
      </c>
      <c r="G929" s="152" t="s">
        <v>231</v>
      </c>
      <c r="H929" s="256">
        <f t="shared" si="73"/>
        <v>0</v>
      </c>
    </row>
    <row r="930" spans="1:8" x14ac:dyDescent="0.3">
      <c r="A930" s="128" t="s">
        <v>186</v>
      </c>
      <c r="B930" s="129" t="s">
        <v>257</v>
      </c>
      <c r="C930" s="129" t="s">
        <v>195</v>
      </c>
      <c r="D930" s="129" t="str">
        <f t="shared" si="72"/>
        <v>Комплекс коммерческий Главный Бухгалтер ПРОФЭКСПЕРТОПТИМАЛЬНЫЙБАЗОВЫЙ7</v>
      </c>
      <c r="E930" s="130">
        <v>0</v>
      </c>
      <c r="F930" s="152">
        <v>7</v>
      </c>
      <c r="G930" s="152" t="s">
        <v>231</v>
      </c>
      <c r="H930" s="256">
        <f t="shared" si="73"/>
        <v>0</v>
      </c>
    </row>
    <row r="931" spans="1:8" x14ac:dyDescent="0.3">
      <c r="A931" s="128" t="s">
        <v>186</v>
      </c>
      <c r="B931" s="129" t="s">
        <v>260</v>
      </c>
      <c r="C931" s="129" t="s">
        <v>194</v>
      </c>
      <c r="D931" s="129" t="str">
        <f t="shared" si="72"/>
        <v>Комплекс коммерческий VIP ПредприятиеЭКСПЕРТОПТИМАЛЬНЫЙМИНИМАЛЬНЫЙ7</v>
      </c>
      <c r="E931" s="130">
        <v>0</v>
      </c>
      <c r="F931" s="152">
        <v>7</v>
      </c>
      <c r="G931" s="152" t="s">
        <v>231</v>
      </c>
      <c r="H931" s="256">
        <f t="shared" si="73"/>
        <v>0</v>
      </c>
    </row>
    <row r="932" spans="1:8" x14ac:dyDescent="0.3">
      <c r="A932" s="128" t="s">
        <v>187</v>
      </c>
      <c r="B932" s="129" t="s">
        <v>262</v>
      </c>
      <c r="C932" s="129" t="s">
        <v>20</v>
      </c>
      <c r="D932" s="129" t="str">
        <f t="shared" ref="D932:D938" si="74">_xlfn.CONCAT(B932,C932,F932)</f>
        <v>Комплекс коммерческий Предприятие (1 пользователь)ЭКСПЕРТ8</v>
      </c>
      <c r="E932" s="235">
        <v>0</v>
      </c>
      <c r="F932" s="144">
        <v>8</v>
      </c>
      <c r="G932" s="144" t="s">
        <v>231</v>
      </c>
      <c r="H932" s="256">
        <f t="shared" si="73"/>
        <v>0</v>
      </c>
    </row>
    <row r="933" spans="1:8" x14ac:dyDescent="0.3">
      <c r="A933" s="128" t="s">
        <v>187</v>
      </c>
      <c r="B933" s="129" t="s">
        <v>263</v>
      </c>
      <c r="C933" s="129" t="s">
        <v>20</v>
      </c>
      <c r="D933" s="129" t="str">
        <f t="shared" si="74"/>
        <v>Комплекс коммерческий Предприятие ПРОФ (1 пользователь)ЭКСПЕРТ8</v>
      </c>
      <c r="E933" s="235">
        <v>0</v>
      </c>
      <c r="F933" s="144">
        <v>8</v>
      </c>
      <c r="G933" s="144" t="s">
        <v>231</v>
      </c>
      <c r="H933" s="256">
        <f t="shared" si="73"/>
        <v>0</v>
      </c>
    </row>
    <row r="934" spans="1:8" x14ac:dyDescent="0.3">
      <c r="A934" s="128" t="s">
        <v>187</v>
      </c>
      <c r="B934" s="129" t="s">
        <v>261</v>
      </c>
      <c r="C934" s="129" t="s">
        <v>20</v>
      </c>
      <c r="D934" s="129" t="str">
        <f t="shared" si="74"/>
        <v>Комплекс коммерческий Главный Бухгалтер ПРОФ (1 пользователь)ЭКСПЕРТ8</v>
      </c>
      <c r="E934" s="130">
        <v>0</v>
      </c>
      <c r="F934" s="144">
        <v>8</v>
      </c>
      <c r="G934" s="144" t="s">
        <v>231</v>
      </c>
      <c r="H934" s="256">
        <f t="shared" si="73"/>
        <v>0</v>
      </c>
    </row>
    <row r="935" spans="1:8" x14ac:dyDescent="0.3">
      <c r="A935" s="128" t="s">
        <v>187</v>
      </c>
      <c r="B935" s="129" t="s">
        <v>264</v>
      </c>
      <c r="C935" s="129" t="s">
        <v>20</v>
      </c>
      <c r="D935" s="129" t="str">
        <f t="shared" si="74"/>
        <v>Комплекс коммерческий VIP Предприятие (1 пользователь)ЭКСПЕРТ8</v>
      </c>
      <c r="E935" s="235">
        <v>0</v>
      </c>
      <c r="F935" s="144">
        <v>8</v>
      </c>
      <c r="G935" s="144" t="s">
        <v>231</v>
      </c>
      <c r="H935" s="256">
        <f t="shared" si="73"/>
        <v>0</v>
      </c>
    </row>
    <row r="936" spans="1:8" x14ac:dyDescent="0.3">
      <c r="A936" s="128" t="s">
        <v>187</v>
      </c>
      <c r="B936" s="129" t="s">
        <v>262</v>
      </c>
      <c r="C936" s="129" t="s">
        <v>21</v>
      </c>
      <c r="D936" s="129" t="str">
        <f t="shared" si="74"/>
        <v>Комплекс коммерческий Предприятие (1 пользователь)ОПТИМАЛЬНЫЙ8</v>
      </c>
      <c r="E936" s="235">
        <v>0</v>
      </c>
      <c r="F936" s="144">
        <v>8</v>
      </c>
      <c r="G936" s="144" t="s">
        <v>231</v>
      </c>
      <c r="H936" s="256">
        <f t="shared" si="73"/>
        <v>0</v>
      </c>
    </row>
    <row r="937" spans="1:8" x14ac:dyDescent="0.3">
      <c r="A937" s="128" t="s">
        <v>187</v>
      </c>
      <c r="B937" s="129" t="s">
        <v>263</v>
      </c>
      <c r="C937" s="129" t="s">
        <v>21</v>
      </c>
      <c r="D937" s="129" t="str">
        <f t="shared" si="74"/>
        <v>Комплекс коммерческий Предприятие ПРОФ (1 пользователь)ОПТИМАЛЬНЫЙ8</v>
      </c>
      <c r="E937" s="235">
        <v>0</v>
      </c>
      <c r="F937" s="144">
        <v>8</v>
      </c>
      <c r="G937" s="144" t="s">
        <v>231</v>
      </c>
      <c r="H937" s="256">
        <f t="shared" si="73"/>
        <v>0</v>
      </c>
    </row>
    <row r="938" spans="1:8" x14ac:dyDescent="0.3">
      <c r="A938" s="128" t="s">
        <v>187</v>
      </c>
      <c r="B938" s="129" t="s">
        <v>264</v>
      </c>
      <c r="C938" s="129" t="s">
        <v>21</v>
      </c>
      <c r="D938" s="129" t="str">
        <f t="shared" si="74"/>
        <v>Комплекс коммерческий VIP Предприятие (1 пользователь)ОПТИМАЛЬНЫЙ8</v>
      </c>
      <c r="E938" s="235">
        <v>0</v>
      </c>
      <c r="F938" s="144">
        <v>8</v>
      </c>
      <c r="G938" s="144" t="s">
        <v>231</v>
      </c>
      <c r="H938" s="256">
        <f t="shared" si="73"/>
        <v>0</v>
      </c>
    </row>
    <row r="939" spans="1:8" x14ac:dyDescent="0.3">
      <c r="A939" s="128" t="s">
        <v>186</v>
      </c>
      <c r="B939" s="129" t="s">
        <v>259</v>
      </c>
      <c r="C939" s="129" t="s">
        <v>20</v>
      </c>
      <c r="D939" s="129" t="str">
        <f t="shared" ref="D939:D962" si="75">CONCATENATE(B939,C939,F939)</f>
        <v>Комплекс коммерческий Предприятие ПРОФЭКСПЕРТ8</v>
      </c>
      <c r="E939" s="130">
        <v>0</v>
      </c>
      <c r="F939" s="144">
        <v>8</v>
      </c>
      <c r="G939" s="144" t="s">
        <v>231</v>
      </c>
      <c r="H939" s="256">
        <f t="shared" si="73"/>
        <v>0</v>
      </c>
    </row>
    <row r="940" spans="1:8" x14ac:dyDescent="0.3">
      <c r="A940" s="128" t="s">
        <v>186</v>
      </c>
      <c r="B940" s="129" t="s">
        <v>258</v>
      </c>
      <c r="C940" s="129" t="s">
        <v>20</v>
      </c>
      <c r="D940" s="129" t="str">
        <f t="shared" si="75"/>
        <v>Комплекс коммерческий ПредприятиеЭКСПЕРТ8</v>
      </c>
      <c r="E940" s="130">
        <v>0</v>
      </c>
      <c r="F940" s="144">
        <v>8</v>
      </c>
      <c r="G940" s="144" t="s">
        <v>231</v>
      </c>
      <c r="H940" s="256">
        <f t="shared" ref="H940:H971" si="76">$B$43</f>
        <v>0</v>
      </c>
    </row>
    <row r="941" spans="1:8" x14ac:dyDescent="0.3">
      <c r="A941" s="128" t="s">
        <v>186</v>
      </c>
      <c r="B941" s="129" t="s">
        <v>257</v>
      </c>
      <c r="C941" s="129" t="s">
        <v>20</v>
      </c>
      <c r="D941" s="129" t="str">
        <f t="shared" si="75"/>
        <v>Комплекс коммерческий Главный Бухгалтер ПРОФЭКСПЕРТ8</v>
      </c>
      <c r="E941" s="130">
        <v>0</v>
      </c>
      <c r="F941" s="144">
        <v>8</v>
      </c>
      <c r="G941" s="144" t="s">
        <v>231</v>
      </c>
      <c r="H941" s="256">
        <f t="shared" si="76"/>
        <v>0</v>
      </c>
    </row>
    <row r="942" spans="1:8" x14ac:dyDescent="0.3">
      <c r="A942" s="128" t="s">
        <v>186</v>
      </c>
      <c r="B942" s="129" t="s">
        <v>260</v>
      </c>
      <c r="C942" s="129" t="s">
        <v>20</v>
      </c>
      <c r="D942" s="129" t="str">
        <f t="shared" si="75"/>
        <v>Комплекс коммерческий VIP ПредприятиеЭКСПЕРТ8</v>
      </c>
      <c r="E942" s="130">
        <v>0</v>
      </c>
      <c r="F942" s="144">
        <v>8</v>
      </c>
      <c r="G942" s="144" t="s">
        <v>231</v>
      </c>
      <c r="H942" s="256">
        <f t="shared" si="76"/>
        <v>0</v>
      </c>
    </row>
    <row r="943" spans="1:8" x14ac:dyDescent="0.3">
      <c r="A943" s="128" t="s">
        <v>186</v>
      </c>
      <c r="B943" s="129" t="s">
        <v>259</v>
      </c>
      <c r="C943" s="129" t="s">
        <v>21</v>
      </c>
      <c r="D943" s="129" t="str">
        <f t="shared" si="75"/>
        <v>Комплекс коммерческий Предприятие ПРОФОПТИМАЛЬНЫЙ8</v>
      </c>
      <c r="E943" s="130">
        <v>0</v>
      </c>
      <c r="F943" s="144">
        <v>8</v>
      </c>
      <c r="G943" s="144" t="s">
        <v>231</v>
      </c>
      <c r="H943" s="256">
        <f t="shared" si="76"/>
        <v>0</v>
      </c>
    </row>
    <row r="944" spans="1:8" x14ac:dyDescent="0.3">
      <c r="A944" s="128" t="s">
        <v>186</v>
      </c>
      <c r="B944" s="129" t="s">
        <v>258</v>
      </c>
      <c r="C944" s="129" t="s">
        <v>21</v>
      </c>
      <c r="D944" s="129" t="str">
        <f t="shared" si="75"/>
        <v>Комплекс коммерческий ПредприятиеОПТИМАЛЬНЫЙ8</v>
      </c>
      <c r="E944" s="130">
        <v>0</v>
      </c>
      <c r="F944" s="144">
        <v>8</v>
      </c>
      <c r="G944" s="144" t="s">
        <v>231</v>
      </c>
      <c r="H944" s="256">
        <f t="shared" si="76"/>
        <v>0</v>
      </c>
    </row>
    <row r="945" spans="1:8" x14ac:dyDescent="0.3">
      <c r="A945" s="128" t="s">
        <v>186</v>
      </c>
      <c r="B945" s="129" t="s">
        <v>257</v>
      </c>
      <c r="C945" s="129" t="s">
        <v>21</v>
      </c>
      <c r="D945" s="129" t="str">
        <f t="shared" si="75"/>
        <v>Комплекс коммерческий Главный Бухгалтер ПРОФОПТИМАЛЬНЫЙ8</v>
      </c>
      <c r="E945" s="130">
        <v>0</v>
      </c>
      <c r="F945" s="144">
        <v>8</v>
      </c>
      <c r="G945" s="144" t="s">
        <v>231</v>
      </c>
      <c r="H945" s="256">
        <f t="shared" si="76"/>
        <v>0</v>
      </c>
    </row>
    <row r="946" spans="1:8" x14ac:dyDescent="0.3">
      <c r="A946" s="128" t="s">
        <v>186</v>
      </c>
      <c r="B946" s="129" t="s">
        <v>260</v>
      </c>
      <c r="C946" s="129" t="s">
        <v>21</v>
      </c>
      <c r="D946" s="129" t="str">
        <f t="shared" si="75"/>
        <v>Комплекс коммерческий VIP ПредприятиеОПТИМАЛЬНЫЙ8</v>
      </c>
      <c r="E946" s="130">
        <v>0</v>
      </c>
      <c r="F946" s="144">
        <v>8</v>
      </c>
      <c r="G946" s="144" t="s">
        <v>231</v>
      </c>
      <c r="H946" s="256">
        <f t="shared" si="76"/>
        <v>0</v>
      </c>
    </row>
    <row r="947" spans="1:8" x14ac:dyDescent="0.3">
      <c r="A947" s="128" t="s">
        <v>186</v>
      </c>
      <c r="B947" s="129" t="s">
        <v>259</v>
      </c>
      <c r="C947" s="129" t="s">
        <v>189</v>
      </c>
      <c r="D947" s="129" t="str">
        <f t="shared" si="75"/>
        <v>Комплекс коммерческий Предприятие ПРОФЭКСПЕРТОПТИМАЛЬНЫЙ8</v>
      </c>
      <c r="E947" s="130">
        <v>0</v>
      </c>
      <c r="F947" s="144">
        <v>8</v>
      </c>
      <c r="G947" s="144" t="s">
        <v>231</v>
      </c>
      <c r="H947" s="256">
        <f t="shared" si="76"/>
        <v>0</v>
      </c>
    </row>
    <row r="948" spans="1:8" x14ac:dyDescent="0.3">
      <c r="A948" s="128" t="s">
        <v>186</v>
      </c>
      <c r="B948" s="129" t="s">
        <v>258</v>
      </c>
      <c r="C948" s="129" t="s">
        <v>189</v>
      </c>
      <c r="D948" s="129" t="str">
        <f t="shared" si="75"/>
        <v>Комплекс коммерческий ПредприятиеЭКСПЕРТОПТИМАЛЬНЫЙ8</v>
      </c>
      <c r="E948" s="130">
        <v>0</v>
      </c>
      <c r="F948" s="144">
        <v>8</v>
      </c>
      <c r="G948" s="144" t="s">
        <v>231</v>
      </c>
      <c r="H948" s="256">
        <f t="shared" si="76"/>
        <v>0</v>
      </c>
    </row>
    <row r="949" spans="1:8" x14ac:dyDescent="0.3">
      <c r="A949" s="128" t="s">
        <v>186</v>
      </c>
      <c r="B949" s="129" t="s">
        <v>257</v>
      </c>
      <c r="C949" s="129" t="s">
        <v>189</v>
      </c>
      <c r="D949" s="129" t="str">
        <f t="shared" si="75"/>
        <v>Комплекс коммерческий Главный Бухгалтер ПРОФЭКСПЕРТОПТИМАЛЬНЫЙ8</v>
      </c>
      <c r="E949" s="130">
        <v>0</v>
      </c>
      <c r="F949" s="144">
        <v>8</v>
      </c>
      <c r="G949" s="144" t="s">
        <v>231</v>
      </c>
      <c r="H949" s="256">
        <f t="shared" si="76"/>
        <v>0</v>
      </c>
    </row>
    <row r="950" spans="1:8" x14ac:dyDescent="0.3">
      <c r="A950" s="128" t="s">
        <v>186</v>
      </c>
      <c r="B950" s="129" t="s">
        <v>260</v>
      </c>
      <c r="C950" s="129" t="s">
        <v>189</v>
      </c>
      <c r="D950" s="129" t="str">
        <f t="shared" si="75"/>
        <v>Комплекс коммерческий VIP ПредприятиеЭКСПЕРТОПТИМАЛЬНЫЙ8</v>
      </c>
      <c r="E950" s="130">
        <v>0</v>
      </c>
      <c r="F950" s="144">
        <v>8</v>
      </c>
      <c r="G950" s="144" t="s">
        <v>231</v>
      </c>
      <c r="H950" s="256">
        <f t="shared" si="76"/>
        <v>0</v>
      </c>
    </row>
    <row r="951" spans="1:8" x14ac:dyDescent="0.3">
      <c r="A951" s="128" t="s">
        <v>186</v>
      </c>
      <c r="B951" s="129" t="s">
        <v>259</v>
      </c>
      <c r="C951" s="129" t="s">
        <v>190</v>
      </c>
      <c r="D951" s="129" t="str">
        <f t="shared" si="75"/>
        <v>Комплекс коммерческий Предприятие ПРОФЭКСПЕРТМИНИМАЛЬНЫЙ8</v>
      </c>
      <c r="E951" s="130">
        <v>0</v>
      </c>
      <c r="F951" s="144">
        <v>8</v>
      </c>
      <c r="G951" s="144" t="s">
        <v>231</v>
      </c>
      <c r="H951" s="256">
        <f t="shared" si="76"/>
        <v>0</v>
      </c>
    </row>
    <row r="952" spans="1:8" x14ac:dyDescent="0.3">
      <c r="A952" s="128" t="s">
        <v>186</v>
      </c>
      <c r="B952" s="129" t="s">
        <v>258</v>
      </c>
      <c r="C952" s="129" t="s">
        <v>190</v>
      </c>
      <c r="D952" s="129" t="str">
        <f t="shared" si="75"/>
        <v>Комплекс коммерческий ПредприятиеЭКСПЕРТМИНИМАЛЬНЫЙ8</v>
      </c>
      <c r="E952" s="130">
        <v>0</v>
      </c>
      <c r="F952" s="144">
        <v>8</v>
      </c>
      <c r="G952" s="144" t="s">
        <v>231</v>
      </c>
      <c r="H952" s="256">
        <f t="shared" si="76"/>
        <v>0</v>
      </c>
    </row>
    <row r="953" spans="1:8" x14ac:dyDescent="0.3">
      <c r="A953" s="128" t="s">
        <v>186</v>
      </c>
      <c r="B953" s="129" t="s">
        <v>257</v>
      </c>
      <c r="C953" s="129" t="s">
        <v>192</v>
      </c>
      <c r="D953" s="129" t="str">
        <f t="shared" si="75"/>
        <v>Комплекс коммерческий Главный Бухгалтер ПРОФЭКСПЕРТБАЗОВЫЙ8</v>
      </c>
      <c r="E953" s="130">
        <v>0</v>
      </c>
      <c r="F953" s="144">
        <v>8</v>
      </c>
      <c r="G953" s="144" t="s">
        <v>231</v>
      </c>
      <c r="H953" s="256">
        <f t="shared" si="76"/>
        <v>0</v>
      </c>
    </row>
    <row r="954" spans="1:8" x14ac:dyDescent="0.3">
      <c r="A954" s="128" t="s">
        <v>186</v>
      </c>
      <c r="B954" s="129" t="s">
        <v>260</v>
      </c>
      <c r="C954" s="129" t="s">
        <v>190</v>
      </c>
      <c r="D954" s="129" t="str">
        <f t="shared" si="75"/>
        <v>Комплекс коммерческий VIP ПредприятиеЭКСПЕРТМИНИМАЛЬНЫЙ8</v>
      </c>
      <c r="E954" s="130">
        <v>0</v>
      </c>
      <c r="F954" s="144">
        <v>8</v>
      </c>
      <c r="G954" s="144" t="s">
        <v>231</v>
      </c>
      <c r="H954" s="256">
        <f t="shared" si="76"/>
        <v>0</v>
      </c>
    </row>
    <row r="955" spans="1:8" x14ac:dyDescent="0.3">
      <c r="A955" s="128" t="s">
        <v>186</v>
      </c>
      <c r="B955" s="129" t="s">
        <v>259</v>
      </c>
      <c r="C955" s="129" t="s">
        <v>191</v>
      </c>
      <c r="D955" s="129" t="str">
        <f t="shared" si="75"/>
        <v>Комплекс коммерческий Предприятие ПРОФОПТИМАЛЬНЫЙМИНИМАЛЬНЫЙ8</v>
      </c>
      <c r="E955" s="130">
        <v>0</v>
      </c>
      <c r="F955" s="144">
        <v>8</v>
      </c>
      <c r="G955" s="144" t="s">
        <v>231</v>
      </c>
      <c r="H955" s="256">
        <f t="shared" si="76"/>
        <v>0</v>
      </c>
    </row>
    <row r="956" spans="1:8" x14ac:dyDescent="0.3">
      <c r="A956" s="128" t="s">
        <v>186</v>
      </c>
      <c r="B956" s="129" t="s">
        <v>258</v>
      </c>
      <c r="C956" s="129" t="s">
        <v>191</v>
      </c>
      <c r="D956" s="129" t="str">
        <f t="shared" si="75"/>
        <v>Комплекс коммерческий ПредприятиеОПТИМАЛЬНЫЙМИНИМАЛЬНЫЙ8</v>
      </c>
      <c r="E956" s="130">
        <v>0</v>
      </c>
      <c r="F956" s="144">
        <v>8</v>
      </c>
      <c r="G956" s="144" t="s">
        <v>231</v>
      </c>
      <c r="H956" s="256">
        <f t="shared" si="76"/>
        <v>0</v>
      </c>
    </row>
    <row r="957" spans="1:8" x14ac:dyDescent="0.3">
      <c r="A957" s="128" t="s">
        <v>186</v>
      </c>
      <c r="B957" s="129" t="s">
        <v>257</v>
      </c>
      <c r="C957" s="129" t="s">
        <v>234</v>
      </c>
      <c r="D957" s="129" t="str">
        <f t="shared" si="75"/>
        <v>Комплекс коммерческий Главный Бухгалтер ПРОФОПТИМАЛЬНЫЙБАЗОВЫЙ8</v>
      </c>
      <c r="E957" s="130">
        <v>0</v>
      </c>
      <c r="F957" s="144">
        <v>8</v>
      </c>
      <c r="G957" s="144" t="s">
        <v>231</v>
      </c>
      <c r="H957" s="256">
        <f t="shared" si="76"/>
        <v>0</v>
      </c>
    </row>
    <row r="958" spans="1:8" x14ac:dyDescent="0.3">
      <c r="A958" s="128" t="s">
        <v>186</v>
      </c>
      <c r="B958" s="129" t="s">
        <v>260</v>
      </c>
      <c r="C958" s="129" t="s">
        <v>191</v>
      </c>
      <c r="D958" s="129" t="str">
        <f t="shared" si="75"/>
        <v>Комплекс коммерческий VIP ПредприятиеОПТИМАЛЬНЫЙМИНИМАЛЬНЫЙ8</v>
      </c>
      <c r="E958" s="130">
        <v>0</v>
      </c>
      <c r="F958" s="144">
        <v>8</v>
      </c>
      <c r="G958" s="144" t="s">
        <v>231</v>
      </c>
      <c r="H958" s="256">
        <f t="shared" si="76"/>
        <v>0</v>
      </c>
    </row>
    <row r="959" spans="1:8" x14ac:dyDescent="0.3">
      <c r="A959" s="128" t="s">
        <v>186</v>
      </c>
      <c r="B959" s="129" t="s">
        <v>259</v>
      </c>
      <c r="C959" s="129" t="s">
        <v>194</v>
      </c>
      <c r="D959" s="129" t="str">
        <f t="shared" si="75"/>
        <v>Комплекс коммерческий Предприятие ПРОФЭКСПЕРТОПТИМАЛЬНЫЙМИНИМАЛЬНЫЙ8</v>
      </c>
      <c r="E959" s="130">
        <v>0</v>
      </c>
      <c r="F959" s="152">
        <v>8</v>
      </c>
      <c r="G959" s="152" t="s">
        <v>231</v>
      </c>
      <c r="H959" s="256">
        <f t="shared" si="76"/>
        <v>0</v>
      </c>
    </row>
    <row r="960" spans="1:8" x14ac:dyDescent="0.3">
      <c r="A960" s="128" t="s">
        <v>186</v>
      </c>
      <c r="B960" s="129" t="s">
        <v>258</v>
      </c>
      <c r="C960" s="129" t="s">
        <v>194</v>
      </c>
      <c r="D960" s="129" t="str">
        <f t="shared" si="75"/>
        <v>Комплекс коммерческий ПредприятиеЭКСПЕРТОПТИМАЛЬНЫЙМИНИМАЛЬНЫЙ8</v>
      </c>
      <c r="E960" s="130">
        <v>0</v>
      </c>
      <c r="F960" s="152">
        <v>8</v>
      </c>
      <c r="G960" s="152" t="s">
        <v>231</v>
      </c>
      <c r="H960" s="256">
        <f t="shared" si="76"/>
        <v>0</v>
      </c>
    </row>
    <row r="961" spans="1:8" x14ac:dyDescent="0.3">
      <c r="A961" s="128" t="s">
        <v>186</v>
      </c>
      <c r="B961" s="129" t="s">
        <v>257</v>
      </c>
      <c r="C961" s="129" t="s">
        <v>195</v>
      </c>
      <c r="D961" s="129" t="str">
        <f t="shared" si="75"/>
        <v>Комплекс коммерческий Главный Бухгалтер ПРОФЭКСПЕРТОПТИМАЛЬНЫЙБАЗОВЫЙ8</v>
      </c>
      <c r="E961" s="130">
        <v>0</v>
      </c>
      <c r="F961" s="152">
        <v>8</v>
      </c>
      <c r="G961" s="152" t="s">
        <v>231</v>
      </c>
      <c r="H961" s="256">
        <f t="shared" si="76"/>
        <v>0</v>
      </c>
    </row>
    <row r="962" spans="1:8" x14ac:dyDescent="0.3">
      <c r="A962" s="128" t="s">
        <v>186</v>
      </c>
      <c r="B962" s="129" t="s">
        <v>260</v>
      </c>
      <c r="C962" s="129" t="s">
        <v>194</v>
      </c>
      <c r="D962" s="129" t="str">
        <f t="shared" si="75"/>
        <v>Комплекс коммерческий VIP ПредприятиеЭКСПЕРТОПТИМАЛЬНЫЙМИНИМАЛЬНЫЙ8</v>
      </c>
      <c r="E962" s="130">
        <v>0</v>
      </c>
      <c r="F962" s="152">
        <v>8</v>
      </c>
      <c r="G962" s="152" t="s">
        <v>231</v>
      </c>
      <c r="H962" s="256">
        <f t="shared" si="76"/>
        <v>0</v>
      </c>
    </row>
    <row r="963" spans="1:8" x14ac:dyDescent="0.3">
      <c r="A963" s="128" t="s">
        <v>187</v>
      </c>
      <c r="B963" s="129" t="s">
        <v>262</v>
      </c>
      <c r="C963" s="129" t="s">
        <v>20</v>
      </c>
      <c r="D963" s="129" t="str">
        <f t="shared" ref="D963:D969" si="77">_xlfn.CONCAT(B963,C963,F963)</f>
        <v>Комплекс коммерческий Предприятие (1 пользователь)ЭКСПЕРТ9</v>
      </c>
      <c r="E963" s="235">
        <v>0</v>
      </c>
      <c r="F963" s="144">
        <v>9</v>
      </c>
      <c r="G963" s="144" t="s">
        <v>231</v>
      </c>
      <c r="H963" s="256">
        <f t="shared" si="76"/>
        <v>0</v>
      </c>
    </row>
    <row r="964" spans="1:8" x14ac:dyDescent="0.3">
      <c r="A964" s="128" t="s">
        <v>187</v>
      </c>
      <c r="B964" s="129" t="s">
        <v>263</v>
      </c>
      <c r="C964" s="129" t="s">
        <v>20</v>
      </c>
      <c r="D964" s="129" t="str">
        <f t="shared" si="77"/>
        <v>Комплекс коммерческий Предприятие ПРОФ (1 пользователь)ЭКСПЕРТ9</v>
      </c>
      <c r="E964" s="235">
        <v>0</v>
      </c>
      <c r="F964" s="144">
        <v>9</v>
      </c>
      <c r="G964" s="144" t="s">
        <v>231</v>
      </c>
      <c r="H964" s="256">
        <f t="shared" si="76"/>
        <v>0</v>
      </c>
    </row>
    <row r="965" spans="1:8" x14ac:dyDescent="0.3">
      <c r="A965" s="128" t="s">
        <v>187</v>
      </c>
      <c r="B965" s="129" t="s">
        <v>261</v>
      </c>
      <c r="C965" s="129" t="s">
        <v>20</v>
      </c>
      <c r="D965" s="129" t="str">
        <f t="shared" si="77"/>
        <v>Комплекс коммерческий Главный Бухгалтер ПРОФ (1 пользователь)ЭКСПЕРТ9</v>
      </c>
      <c r="E965" s="130">
        <v>0</v>
      </c>
      <c r="F965" s="144">
        <v>9</v>
      </c>
      <c r="G965" s="144" t="s">
        <v>231</v>
      </c>
      <c r="H965" s="256">
        <f t="shared" si="76"/>
        <v>0</v>
      </c>
    </row>
    <row r="966" spans="1:8" x14ac:dyDescent="0.3">
      <c r="A966" s="128" t="s">
        <v>187</v>
      </c>
      <c r="B966" s="129" t="s">
        <v>264</v>
      </c>
      <c r="C966" s="129" t="s">
        <v>20</v>
      </c>
      <c r="D966" s="129" t="str">
        <f t="shared" si="77"/>
        <v>Комплекс коммерческий VIP Предприятие (1 пользователь)ЭКСПЕРТ9</v>
      </c>
      <c r="E966" s="235">
        <v>0</v>
      </c>
      <c r="F966" s="144">
        <v>9</v>
      </c>
      <c r="G966" s="144" t="s">
        <v>231</v>
      </c>
      <c r="H966" s="256">
        <f t="shared" si="76"/>
        <v>0</v>
      </c>
    </row>
    <row r="967" spans="1:8" x14ac:dyDescent="0.3">
      <c r="A967" s="128" t="s">
        <v>187</v>
      </c>
      <c r="B967" s="129" t="s">
        <v>262</v>
      </c>
      <c r="C967" s="129" t="s">
        <v>21</v>
      </c>
      <c r="D967" s="129" t="str">
        <f t="shared" si="77"/>
        <v>Комплекс коммерческий Предприятие (1 пользователь)ОПТИМАЛЬНЫЙ9</v>
      </c>
      <c r="E967" s="235">
        <v>0</v>
      </c>
      <c r="F967" s="144">
        <v>9</v>
      </c>
      <c r="G967" s="144" t="s">
        <v>231</v>
      </c>
      <c r="H967" s="256">
        <f t="shared" si="76"/>
        <v>0</v>
      </c>
    </row>
    <row r="968" spans="1:8" x14ac:dyDescent="0.3">
      <c r="A968" s="128" t="s">
        <v>187</v>
      </c>
      <c r="B968" s="129" t="s">
        <v>263</v>
      </c>
      <c r="C968" s="129" t="s">
        <v>21</v>
      </c>
      <c r="D968" s="129" t="str">
        <f t="shared" si="77"/>
        <v>Комплекс коммерческий Предприятие ПРОФ (1 пользователь)ОПТИМАЛЬНЫЙ9</v>
      </c>
      <c r="E968" s="235">
        <v>0</v>
      </c>
      <c r="F968" s="144">
        <v>9</v>
      </c>
      <c r="G968" s="144" t="s">
        <v>231</v>
      </c>
      <c r="H968" s="256">
        <f t="shared" si="76"/>
        <v>0</v>
      </c>
    </row>
    <row r="969" spans="1:8" x14ac:dyDescent="0.3">
      <c r="A969" s="128" t="s">
        <v>187</v>
      </c>
      <c r="B969" s="129" t="s">
        <v>264</v>
      </c>
      <c r="C969" s="129" t="s">
        <v>21</v>
      </c>
      <c r="D969" s="129" t="str">
        <f t="shared" si="77"/>
        <v>Комплекс коммерческий VIP Предприятие (1 пользователь)ОПТИМАЛЬНЫЙ9</v>
      </c>
      <c r="E969" s="235">
        <v>0</v>
      </c>
      <c r="F969" s="144">
        <v>9</v>
      </c>
      <c r="G969" s="144" t="s">
        <v>231</v>
      </c>
      <c r="H969" s="256">
        <f t="shared" si="76"/>
        <v>0</v>
      </c>
    </row>
    <row r="970" spans="1:8" x14ac:dyDescent="0.3">
      <c r="A970" s="128" t="s">
        <v>186</v>
      </c>
      <c r="B970" s="129" t="s">
        <v>259</v>
      </c>
      <c r="C970" s="129" t="s">
        <v>20</v>
      </c>
      <c r="D970" s="129" t="str">
        <f t="shared" ref="D970:D993" si="78">CONCATENATE(B970,C970,F970)</f>
        <v>Комплекс коммерческий Предприятие ПРОФЭКСПЕРТ9</v>
      </c>
      <c r="E970" s="130">
        <v>0</v>
      </c>
      <c r="F970" s="144">
        <v>9</v>
      </c>
      <c r="G970" s="144" t="s">
        <v>231</v>
      </c>
      <c r="H970" s="256">
        <f t="shared" si="76"/>
        <v>0</v>
      </c>
    </row>
    <row r="971" spans="1:8" x14ac:dyDescent="0.3">
      <c r="A971" s="128" t="s">
        <v>186</v>
      </c>
      <c r="B971" s="129" t="s">
        <v>258</v>
      </c>
      <c r="C971" s="129" t="s">
        <v>20</v>
      </c>
      <c r="D971" s="129" t="str">
        <f t="shared" si="78"/>
        <v>Комплекс коммерческий ПредприятиеЭКСПЕРТ9</v>
      </c>
      <c r="E971" s="130">
        <v>0</v>
      </c>
      <c r="F971" s="144">
        <v>9</v>
      </c>
      <c r="G971" s="144" t="s">
        <v>231</v>
      </c>
      <c r="H971" s="256">
        <f t="shared" si="76"/>
        <v>0</v>
      </c>
    </row>
    <row r="972" spans="1:8" x14ac:dyDescent="0.3">
      <c r="A972" s="128" t="s">
        <v>186</v>
      </c>
      <c r="B972" s="129" t="s">
        <v>257</v>
      </c>
      <c r="C972" s="129" t="s">
        <v>20</v>
      </c>
      <c r="D972" s="129" t="str">
        <f t="shared" si="78"/>
        <v>Комплекс коммерческий Главный Бухгалтер ПРОФЭКСПЕРТ9</v>
      </c>
      <c r="E972" s="130">
        <v>0</v>
      </c>
      <c r="F972" s="144">
        <v>9</v>
      </c>
      <c r="G972" s="144" t="s">
        <v>231</v>
      </c>
      <c r="H972" s="256">
        <f t="shared" ref="H972:H1003" si="79">$B$43</f>
        <v>0</v>
      </c>
    </row>
    <row r="973" spans="1:8" x14ac:dyDescent="0.3">
      <c r="A973" s="128" t="s">
        <v>186</v>
      </c>
      <c r="B973" s="129" t="s">
        <v>260</v>
      </c>
      <c r="C973" s="129" t="s">
        <v>20</v>
      </c>
      <c r="D973" s="129" t="str">
        <f t="shared" si="78"/>
        <v>Комплекс коммерческий VIP ПредприятиеЭКСПЕРТ9</v>
      </c>
      <c r="E973" s="130">
        <v>0</v>
      </c>
      <c r="F973" s="144">
        <v>9</v>
      </c>
      <c r="G973" s="144" t="s">
        <v>231</v>
      </c>
      <c r="H973" s="256">
        <f t="shared" si="79"/>
        <v>0</v>
      </c>
    </row>
    <row r="974" spans="1:8" x14ac:dyDescent="0.3">
      <c r="A974" s="128" t="s">
        <v>186</v>
      </c>
      <c r="B974" s="129" t="s">
        <v>259</v>
      </c>
      <c r="C974" s="129" t="s">
        <v>21</v>
      </c>
      <c r="D974" s="129" t="str">
        <f t="shared" si="78"/>
        <v>Комплекс коммерческий Предприятие ПРОФОПТИМАЛЬНЫЙ9</v>
      </c>
      <c r="E974" s="130">
        <v>0</v>
      </c>
      <c r="F974" s="144">
        <v>9</v>
      </c>
      <c r="G974" s="144" t="s">
        <v>231</v>
      </c>
      <c r="H974" s="256">
        <f t="shared" si="79"/>
        <v>0</v>
      </c>
    </row>
    <row r="975" spans="1:8" x14ac:dyDescent="0.3">
      <c r="A975" s="128" t="s">
        <v>186</v>
      </c>
      <c r="B975" s="129" t="s">
        <v>258</v>
      </c>
      <c r="C975" s="129" t="s">
        <v>21</v>
      </c>
      <c r="D975" s="129" t="str">
        <f t="shared" si="78"/>
        <v>Комплекс коммерческий ПредприятиеОПТИМАЛЬНЫЙ9</v>
      </c>
      <c r="E975" s="130">
        <v>0</v>
      </c>
      <c r="F975" s="144">
        <v>9</v>
      </c>
      <c r="G975" s="144" t="s">
        <v>231</v>
      </c>
      <c r="H975" s="256">
        <f t="shared" si="79"/>
        <v>0</v>
      </c>
    </row>
    <row r="976" spans="1:8" x14ac:dyDescent="0.3">
      <c r="A976" s="128" t="s">
        <v>186</v>
      </c>
      <c r="B976" s="129" t="s">
        <v>257</v>
      </c>
      <c r="C976" s="129" t="s">
        <v>21</v>
      </c>
      <c r="D976" s="129" t="str">
        <f t="shared" si="78"/>
        <v>Комплекс коммерческий Главный Бухгалтер ПРОФОПТИМАЛЬНЫЙ9</v>
      </c>
      <c r="E976" s="130">
        <v>0</v>
      </c>
      <c r="F976" s="144">
        <v>9</v>
      </c>
      <c r="G976" s="144" t="s">
        <v>231</v>
      </c>
      <c r="H976" s="256">
        <f t="shared" si="79"/>
        <v>0</v>
      </c>
    </row>
    <row r="977" spans="1:8" x14ac:dyDescent="0.3">
      <c r="A977" s="128" t="s">
        <v>186</v>
      </c>
      <c r="B977" s="129" t="s">
        <v>260</v>
      </c>
      <c r="C977" s="129" t="s">
        <v>21</v>
      </c>
      <c r="D977" s="129" t="str">
        <f t="shared" si="78"/>
        <v>Комплекс коммерческий VIP ПредприятиеОПТИМАЛЬНЫЙ9</v>
      </c>
      <c r="E977" s="130">
        <v>0</v>
      </c>
      <c r="F977" s="144">
        <v>9</v>
      </c>
      <c r="G977" s="144" t="s">
        <v>231</v>
      </c>
      <c r="H977" s="256">
        <f t="shared" si="79"/>
        <v>0</v>
      </c>
    </row>
    <row r="978" spans="1:8" x14ac:dyDescent="0.3">
      <c r="A978" s="128" t="s">
        <v>186</v>
      </c>
      <c r="B978" s="129" t="s">
        <v>259</v>
      </c>
      <c r="C978" s="129" t="s">
        <v>189</v>
      </c>
      <c r="D978" s="129" t="str">
        <f t="shared" si="78"/>
        <v>Комплекс коммерческий Предприятие ПРОФЭКСПЕРТОПТИМАЛЬНЫЙ9</v>
      </c>
      <c r="E978" s="130">
        <v>0</v>
      </c>
      <c r="F978" s="144">
        <v>9</v>
      </c>
      <c r="G978" s="144" t="s">
        <v>231</v>
      </c>
      <c r="H978" s="256">
        <f t="shared" si="79"/>
        <v>0</v>
      </c>
    </row>
    <row r="979" spans="1:8" x14ac:dyDescent="0.3">
      <c r="A979" s="128" t="s">
        <v>186</v>
      </c>
      <c r="B979" s="129" t="s">
        <v>258</v>
      </c>
      <c r="C979" s="129" t="s">
        <v>189</v>
      </c>
      <c r="D979" s="129" t="str">
        <f t="shared" si="78"/>
        <v>Комплекс коммерческий ПредприятиеЭКСПЕРТОПТИМАЛЬНЫЙ9</v>
      </c>
      <c r="E979" s="130">
        <v>0</v>
      </c>
      <c r="F979" s="144">
        <v>9</v>
      </c>
      <c r="G979" s="144" t="s">
        <v>231</v>
      </c>
      <c r="H979" s="256">
        <f t="shared" si="79"/>
        <v>0</v>
      </c>
    </row>
    <row r="980" spans="1:8" x14ac:dyDescent="0.3">
      <c r="A980" s="128" t="s">
        <v>186</v>
      </c>
      <c r="B980" s="129" t="s">
        <v>257</v>
      </c>
      <c r="C980" s="129" t="s">
        <v>189</v>
      </c>
      <c r="D980" s="129" t="str">
        <f t="shared" si="78"/>
        <v>Комплекс коммерческий Главный Бухгалтер ПРОФЭКСПЕРТОПТИМАЛЬНЫЙ9</v>
      </c>
      <c r="E980" s="130">
        <v>0</v>
      </c>
      <c r="F980" s="144">
        <v>9</v>
      </c>
      <c r="G980" s="144" t="s">
        <v>231</v>
      </c>
      <c r="H980" s="256">
        <f t="shared" si="79"/>
        <v>0</v>
      </c>
    </row>
    <row r="981" spans="1:8" x14ac:dyDescent="0.3">
      <c r="A981" s="128" t="s">
        <v>186</v>
      </c>
      <c r="B981" s="129" t="s">
        <v>260</v>
      </c>
      <c r="C981" s="129" t="s">
        <v>189</v>
      </c>
      <c r="D981" s="129" t="str">
        <f t="shared" si="78"/>
        <v>Комплекс коммерческий VIP ПредприятиеЭКСПЕРТОПТИМАЛЬНЫЙ9</v>
      </c>
      <c r="E981" s="130">
        <v>0</v>
      </c>
      <c r="F981" s="144">
        <v>9</v>
      </c>
      <c r="G981" s="144" t="s">
        <v>231</v>
      </c>
      <c r="H981" s="256">
        <f t="shared" si="79"/>
        <v>0</v>
      </c>
    </row>
    <row r="982" spans="1:8" x14ac:dyDescent="0.3">
      <c r="A982" s="128" t="s">
        <v>186</v>
      </c>
      <c r="B982" s="129" t="s">
        <v>259</v>
      </c>
      <c r="C982" s="129" t="s">
        <v>190</v>
      </c>
      <c r="D982" s="129" t="str">
        <f t="shared" si="78"/>
        <v>Комплекс коммерческий Предприятие ПРОФЭКСПЕРТМИНИМАЛЬНЫЙ9</v>
      </c>
      <c r="E982" s="130">
        <v>0</v>
      </c>
      <c r="F982" s="144">
        <v>9</v>
      </c>
      <c r="G982" s="144" t="s">
        <v>231</v>
      </c>
      <c r="H982" s="256">
        <f t="shared" si="79"/>
        <v>0</v>
      </c>
    </row>
    <row r="983" spans="1:8" x14ac:dyDescent="0.3">
      <c r="A983" s="128" t="s">
        <v>186</v>
      </c>
      <c r="B983" s="129" t="s">
        <v>258</v>
      </c>
      <c r="C983" s="129" t="s">
        <v>190</v>
      </c>
      <c r="D983" s="129" t="str">
        <f t="shared" si="78"/>
        <v>Комплекс коммерческий ПредприятиеЭКСПЕРТМИНИМАЛЬНЫЙ9</v>
      </c>
      <c r="E983" s="130">
        <v>0</v>
      </c>
      <c r="F983" s="144">
        <v>9</v>
      </c>
      <c r="G983" s="144" t="s">
        <v>231</v>
      </c>
      <c r="H983" s="256">
        <f t="shared" si="79"/>
        <v>0</v>
      </c>
    </row>
    <row r="984" spans="1:8" x14ac:dyDescent="0.3">
      <c r="A984" s="128" t="s">
        <v>186</v>
      </c>
      <c r="B984" s="129" t="s">
        <v>257</v>
      </c>
      <c r="C984" s="129" t="s">
        <v>192</v>
      </c>
      <c r="D984" s="129" t="str">
        <f t="shared" si="78"/>
        <v>Комплекс коммерческий Главный Бухгалтер ПРОФЭКСПЕРТБАЗОВЫЙ9</v>
      </c>
      <c r="E984" s="130">
        <v>0</v>
      </c>
      <c r="F984" s="144">
        <v>9</v>
      </c>
      <c r="G984" s="144" t="s">
        <v>231</v>
      </c>
      <c r="H984" s="256">
        <f t="shared" si="79"/>
        <v>0</v>
      </c>
    </row>
    <row r="985" spans="1:8" x14ac:dyDescent="0.3">
      <c r="A985" s="128" t="s">
        <v>186</v>
      </c>
      <c r="B985" s="129" t="s">
        <v>260</v>
      </c>
      <c r="C985" s="129" t="s">
        <v>190</v>
      </c>
      <c r="D985" s="129" t="str">
        <f t="shared" si="78"/>
        <v>Комплекс коммерческий VIP ПредприятиеЭКСПЕРТМИНИМАЛЬНЫЙ9</v>
      </c>
      <c r="E985" s="130">
        <v>0</v>
      </c>
      <c r="F985" s="144">
        <v>9</v>
      </c>
      <c r="G985" s="144" t="s">
        <v>231</v>
      </c>
      <c r="H985" s="256">
        <f t="shared" si="79"/>
        <v>0</v>
      </c>
    </row>
    <row r="986" spans="1:8" x14ac:dyDescent="0.3">
      <c r="A986" s="128" t="s">
        <v>186</v>
      </c>
      <c r="B986" s="129" t="s">
        <v>259</v>
      </c>
      <c r="C986" s="129" t="s">
        <v>191</v>
      </c>
      <c r="D986" s="129" t="str">
        <f t="shared" si="78"/>
        <v>Комплекс коммерческий Предприятие ПРОФОПТИМАЛЬНЫЙМИНИМАЛЬНЫЙ9</v>
      </c>
      <c r="E986" s="130">
        <v>0</v>
      </c>
      <c r="F986" s="144">
        <v>9</v>
      </c>
      <c r="G986" s="144" t="s">
        <v>231</v>
      </c>
      <c r="H986" s="256">
        <f t="shared" si="79"/>
        <v>0</v>
      </c>
    </row>
    <row r="987" spans="1:8" x14ac:dyDescent="0.3">
      <c r="A987" s="128" t="s">
        <v>186</v>
      </c>
      <c r="B987" s="129" t="s">
        <v>258</v>
      </c>
      <c r="C987" s="129" t="s">
        <v>191</v>
      </c>
      <c r="D987" s="129" t="str">
        <f t="shared" si="78"/>
        <v>Комплекс коммерческий ПредприятиеОПТИМАЛЬНЫЙМИНИМАЛЬНЫЙ9</v>
      </c>
      <c r="E987" s="130">
        <v>0</v>
      </c>
      <c r="F987" s="144">
        <v>9</v>
      </c>
      <c r="G987" s="144" t="s">
        <v>231</v>
      </c>
      <c r="H987" s="256">
        <f t="shared" si="79"/>
        <v>0</v>
      </c>
    </row>
    <row r="988" spans="1:8" x14ac:dyDescent="0.3">
      <c r="A988" s="128" t="s">
        <v>186</v>
      </c>
      <c r="B988" s="129" t="s">
        <v>257</v>
      </c>
      <c r="C988" s="129" t="s">
        <v>234</v>
      </c>
      <c r="D988" s="129" t="str">
        <f t="shared" si="78"/>
        <v>Комплекс коммерческий Главный Бухгалтер ПРОФОПТИМАЛЬНЫЙБАЗОВЫЙ9</v>
      </c>
      <c r="E988" s="130">
        <v>0</v>
      </c>
      <c r="F988" s="144">
        <v>9</v>
      </c>
      <c r="G988" s="144" t="s">
        <v>231</v>
      </c>
      <c r="H988" s="256">
        <f t="shared" si="79"/>
        <v>0</v>
      </c>
    </row>
    <row r="989" spans="1:8" x14ac:dyDescent="0.3">
      <c r="A989" s="128" t="s">
        <v>186</v>
      </c>
      <c r="B989" s="129" t="s">
        <v>260</v>
      </c>
      <c r="C989" s="129" t="s">
        <v>191</v>
      </c>
      <c r="D989" s="129" t="str">
        <f t="shared" si="78"/>
        <v>Комплекс коммерческий VIP ПредприятиеОПТИМАЛЬНЫЙМИНИМАЛЬНЫЙ9</v>
      </c>
      <c r="E989" s="130">
        <v>0</v>
      </c>
      <c r="F989" s="144">
        <v>9</v>
      </c>
      <c r="G989" s="144" t="s">
        <v>231</v>
      </c>
      <c r="H989" s="256">
        <f t="shared" si="79"/>
        <v>0</v>
      </c>
    </row>
    <row r="990" spans="1:8" x14ac:dyDescent="0.3">
      <c r="A990" s="128" t="s">
        <v>186</v>
      </c>
      <c r="B990" s="129" t="s">
        <v>259</v>
      </c>
      <c r="C990" s="129" t="s">
        <v>194</v>
      </c>
      <c r="D990" s="129" t="str">
        <f t="shared" si="78"/>
        <v>Комплекс коммерческий Предприятие ПРОФЭКСПЕРТОПТИМАЛЬНЫЙМИНИМАЛЬНЫЙ9</v>
      </c>
      <c r="E990" s="130">
        <v>0</v>
      </c>
      <c r="F990" s="152">
        <v>9</v>
      </c>
      <c r="G990" s="152" t="s">
        <v>231</v>
      </c>
      <c r="H990" s="256">
        <f t="shared" si="79"/>
        <v>0</v>
      </c>
    </row>
    <row r="991" spans="1:8" x14ac:dyDescent="0.3">
      <c r="A991" s="128" t="s">
        <v>186</v>
      </c>
      <c r="B991" s="129" t="s">
        <v>258</v>
      </c>
      <c r="C991" s="129" t="s">
        <v>194</v>
      </c>
      <c r="D991" s="129" t="str">
        <f t="shared" si="78"/>
        <v>Комплекс коммерческий ПредприятиеЭКСПЕРТОПТИМАЛЬНЫЙМИНИМАЛЬНЫЙ9</v>
      </c>
      <c r="E991" s="130">
        <v>0</v>
      </c>
      <c r="F991" s="152">
        <v>9</v>
      </c>
      <c r="G991" s="152" t="s">
        <v>231</v>
      </c>
      <c r="H991" s="256">
        <f t="shared" si="79"/>
        <v>0</v>
      </c>
    </row>
    <row r="992" spans="1:8" x14ac:dyDescent="0.3">
      <c r="A992" s="128" t="s">
        <v>186</v>
      </c>
      <c r="B992" s="129" t="s">
        <v>257</v>
      </c>
      <c r="C992" s="129" t="s">
        <v>195</v>
      </c>
      <c r="D992" s="129" t="str">
        <f t="shared" si="78"/>
        <v>Комплекс коммерческий Главный Бухгалтер ПРОФЭКСПЕРТОПТИМАЛЬНЫЙБАЗОВЫЙ9</v>
      </c>
      <c r="E992" s="130">
        <v>0</v>
      </c>
      <c r="F992" s="152">
        <v>9</v>
      </c>
      <c r="G992" s="152" t="s">
        <v>231</v>
      </c>
      <c r="H992" s="256">
        <f t="shared" si="79"/>
        <v>0</v>
      </c>
    </row>
    <row r="993" spans="1:8" x14ac:dyDescent="0.3">
      <c r="A993" s="128" t="s">
        <v>186</v>
      </c>
      <c r="B993" s="129" t="s">
        <v>260</v>
      </c>
      <c r="C993" s="129" t="s">
        <v>194</v>
      </c>
      <c r="D993" s="129" t="str">
        <f t="shared" si="78"/>
        <v>Комплекс коммерческий VIP ПредприятиеЭКСПЕРТОПТИМАЛЬНЫЙМИНИМАЛЬНЫЙ9</v>
      </c>
      <c r="E993" s="130">
        <v>0</v>
      </c>
      <c r="F993" s="152">
        <v>9</v>
      </c>
      <c r="G993" s="152" t="s">
        <v>231</v>
      </c>
      <c r="H993" s="256">
        <f t="shared" si="79"/>
        <v>0</v>
      </c>
    </row>
    <row r="994" spans="1:8" x14ac:dyDescent="0.3">
      <c r="A994" s="128" t="s">
        <v>187</v>
      </c>
      <c r="B994" s="129" t="s">
        <v>262</v>
      </c>
      <c r="C994" s="129" t="s">
        <v>20</v>
      </c>
      <c r="D994" s="129" t="str">
        <f t="shared" ref="D994:D1000" si="80">_xlfn.CONCAT(B994,C994,F994)</f>
        <v>Комплекс коммерческий Предприятие (1 пользователь)ЭКСПЕРТ10</v>
      </c>
      <c r="E994" s="235">
        <v>0</v>
      </c>
      <c r="F994" s="144">
        <v>10</v>
      </c>
      <c r="G994" s="144" t="s">
        <v>231</v>
      </c>
      <c r="H994" s="256">
        <f t="shared" si="79"/>
        <v>0</v>
      </c>
    </row>
    <row r="995" spans="1:8" x14ac:dyDescent="0.3">
      <c r="A995" s="128" t="s">
        <v>187</v>
      </c>
      <c r="B995" s="129" t="s">
        <v>263</v>
      </c>
      <c r="C995" s="129" t="s">
        <v>20</v>
      </c>
      <c r="D995" s="129" t="str">
        <f t="shared" si="80"/>
        <v>Комплекс коммерческий Предприятие ПРОФ (1 пользователь)ЭКСПЕРТ10</v>
      </c>
      <c r="E995" s="235">
        <v>0</v>
      </c>
      <c r="F995" s="144">
        <v>10</v>
      </c>
      <c r="G995" s="144" t="s">
        <v>231</v>
      </c>
      <c r="H995" s="256">
        <f t="shared" si="79"/>
        <v>0</v>
      </c>
    </row>
    <row r="996" spans="1:8" x14ac:dyDescent="0.3">
      <c r="A996" s="128" t="s">
        <v>187</v>
      </c>
      <c r="B996" s="129" t="s">
        <v>261</v>
      </c>
      <c r="C996" s="129" t="s">
        <v>20</v>
      </c>
      <c r="D996" s="129" t="str">
        <f t="shared" si="80"/>
        <v>Комплекс коммерческий Главный Бухгалтер ПРОФ (1 пользователь)ЭКСПЕРТ10</v>
      </c>
      <c r="E996" s="130">
        <v>0</v>
      </c>
      <c r="F996" s="144">
        <v>10</v>
      </c>
      <c r="G996" s="144" t="s">
        <v>231</v>
      </c>
      <c r="H996" s="256">
        <f t="shared" si="79"/>
        <v>0</v>
      </c>
    </row>
    <row r="997" spans="1:8" x14ac:dyDescent="0.3">
      <c r="A997" s="128" t="s">
        <v>187</v>
      </c>
      <c r="B997" s="129" t="s">
        <v>264</v>
      </c>
      <c r="C997" s="129" t="s">
        <v>20</v>
      </c>
      <c r="D997" s="129" t="str">
        <f t="shared" si="80"/>
        <v>Комплекс коммерческий VIP Предприятие (1 пользователь)ЭКСПЕРТ10</v>
      </c>
      <c r="E997" s="235">
        <v>0</v>
      </c>
      <c r="F997" s="144">
        <v>10</v>
      </c>
      <c r="G997" s="144" t="s">
        <v>231</v>
      </c>
      <c r="H997" s="256">
        <f t="shared" si="79"/>
        <v>0</v>
      </c>
    </row>
    <row r="998" spans="1:8" x14ac:dyDescent="0.3">
      <c r="A998" s="128" t="s">
        <v>187</v>
      </c>
      <c r="B998" s="129" t="s">
        <v>262</v>
      </c>
      <c r="C998" s="129" t="s">
        <v>21</v>
      </c>
      <c r="D998" s="129" t="str">
        <f t="shared" si="80"/>
        <v>Комплекс коммерческий Предприятие (1 пользователь)ОПТИМАЛЬНЫЙ10</v>
      </c>
      <c r="E998" s="235">
        <v>0</v>
      </c>
      <c r="F998" s="144">
        <v>10</v>
      </c>
      <c r="G998" s="144" t="s">
        <v>231</v>
      </c>
      <c r="H998" s="256">
        <f t="shared" si="79"/>
        <v>0</v>
      </c>
    </row>
    <row r="999" spans="1:8" x14ac:dyDescent="0.3">
      <c r="A999" s="128" t="s">
        <v>187</v>
      </c>
      <c r="B999" s="129" t="s">
        <v>263</v>
      </c>
      <c r="C999" s="129" t="s">
        <v>21</v>
      </c>
      <c r="D999" s="129" t="str">
        <f t="shared" si="80"/>
        <v>Комплекс коммерческий Предприятие ПРОФ (1 пользователь)ОПТИМАЛЬНЫЙ10</v>
      </c>
      <c r="E999" s="235">
        <v>0</v>
      </c>
      <c r="F999" s="144">
        <v>10</v>
      </c>
      <c r="G999" s="144" t="s">
        <v>231</v>
      </c>
      <c r="H999" s="256">
        <f t="shared" si="79"/>
        <v>0</v>
      </c>
    </row>
    <row r="1000" spans="1:8" x14ac:dyDescent="0.3">
      <c r="A1000" s="128" t="s">
        <v>187</v>
      </c>
      <c r="B1000" s="129" t="s">
        <v>264</v>
      </c>
      <c r="C1000" s="129" t="s">
        <v>21</v>
      </c>
      <c r="D1000" s="129" t="str">
        <f t="shared" si="80"/>
        <v>Комплекс коммерческий VIP Предприятие (1 пользователь)ОПТИМАЛЬНЫЙ10</v>
      </c>
      <c r="E1000" s="235">
        <v>0</v>
      </c>
      <c r="F1000" s="144">
        <v>10</v>
      </c>
      <c r="G1000" s="144" t="s">
        <v>231</v>
      </c>
      <c r="H1000" s="256">
        <f t="shared" si="79"/>
        <v>0</v>
      </c>
    </row>
    <row r="1001" spans="1:8" x14ac:dyDescent="0.3">
      <c r="A1001" s="128" t="s">
        <v>186</v>
      </c>
      <c r="B1001" s="129" t="s">
        <v>259</v>
      </c>
      <c r="C1001" s="129" t="s">
        <v>20</v>
      </c>
      <c r="D1001" s="129" t="str">
        <f t="shared" ref="D1001:D1024" si="81">CONCATENATE(B1001,C1001,F1001)</f>
        <v>Комплекс коммерческий Предприятие ПРОФЭКСПЕРТ10</v>
      </c>
      <c r="E1001" s="130">
        <v>0</v>
      </c>
      <c r="F1001" s="144">
        <v>10</v>
      </c>
      <c r="G1001" s="144" t="s">
        <v>231</v>
      </c>
      <c r="H1001" s="256">
        <f t="shared" si="79"/>
        <v>0</v>
      </c>
    </row>
    <row r="1002" spans="1:8" x14ac:dyDescent="0.3">
      <c r="A1002" s="128" t="s">
        <v>186</v>
      </c>
      <c r="B1002" s="129" t="s">
        <v>258</v>
      </c>
      <c r="C1002" s="129" t="s">
        <v>20</v>
      </c>
      <c r="D1002" s="129" t="str">
        <f t="shared" si="81"/>
        <v>Комплекс коммерческий ПредприятиеЭКСПЕРТ10</v>
      </c>
      <c r="E1002" s="130">
        <v>0</v>
      </c>
      <c r="F1002" s="144">
        <v>10</v>
      </c>
      <c r="G1002" s="144" t="s">
        <v>231</v>
      </c>
      <c r="H1002" s="256">
        <f t="shared" si="79"/>
        <v>0</v>
      </c>
    </row>
    <row r="1003" spans="1:8" x14ac:dyDescent="0.3">
      <c r="A1003" s="128" t="s">
        <v>186</v>
      </c>
      <c r="B1003" s="129" t="s">
        <v>257</v>
      </c>
      <c r="C1003" s="129" t="s">
        <v>20</v>
      </c>
      <c r="D1003" s="129" t="str">
        <f t="shared" si="81"/>
        <v>Комплекс коммерческий Главный Бухгалтер ПРОФЭКСПЕРТ10</v>
      </c>
      <c r="E1003" s="130">
        <v>0</v>
      </c>
      <c r="F1003" s="144">
        <v>10</v>
      </c>
      <c r="G1003" s="144" t="s">
        <v>231</v>
      </c>
      <c r="H1003" s="256">
        <f t="shared" si="79"/>
        <v>0</v>
      </c>
    </row>
    <row r="1004" spans="1:8" x14ac:dyDescent="0.3">
      <c r="A1004" s="128" t="s">
        <v>186</v>
      </c>
      <c r="B1004" s="129" t="s">
        <v>260</v>
      </c>
      <c r="C1004" s="129" t="s">
        <v>20</v>
      </c>
      <c r="D1004" s="129" t="str">
        <f t="shared" si="81"/>
        <v>Комплекс коммерческий VIP ПредприятиеЭКСПЕРТ10</v>
      </c>
      <c r="E1004" s="130">
        <v>0</v>
      </c>
      <c r="F1004" s="144">
        <v>10</v>
      </c>
      <c r="G1004" s="144" t="s">
        <v>231</v>
      </c>
      <c r="H1004" s="256">
        <f t="shared" ref="H1004:H1035" si="82">$B$43</f>
        <v>0</v>
      </c>
    </row>
    <row r="1005" spans="1:8" x14ac:dyDescent="0.3">
      <c r="A1005" s="128" t="s">
        <v>186</v>
      </c>
      <c r="B1005" s="129" t="s">
        <v>259</v>
      </c>
      <c r="C1005" s="129" t="s">
        <v>21</v>
      </c>
      <c r="D1005" s="129" t="str">
        <f t="shared" si="81"/>
        <v>Комплекс коммерческий Предприятие ПРОФОПТИМАЛЬНЫЙ10</v>
      </c>
      <c r="E1005" s="130">
        <v>0</v>
      </c>
      <c r="F1005" s="144">
        <v>10</v>
      </c>
      <c r="G1005" s="144" t="s">
        <v>231</v>
      </c>
      <c r="H1005" s="256">
        <f t="shared" si="82"/>
        <v>0</v>
      </c>
    </row>
    <row r="1006" spans="1:8" x14ac:dyDescent="0.3">
      <c r="A1006" s="128" t="s">
        <v>186</v>
      </c>
      <c r="B1006" s="129" t="s">
        <v>258</v>
      </c>
      <c r="C1006" s="129" t="s">
        <v>21</v>
      </c>
      <c r="D1006" s="129" t="str">
        <f t="shared" si="81"/>
        <v>Комплекс коммерческий ПредприятиеОПТИМАЛЬНЫЙ10</v>
      </c>
      <c r="E1006" s="130">
        <v>0</v>
      </c>
      <c r="F1006" s="144">
        <v>10</v>
      </c>
      <c r="G1006" s="144" t="s">
        <v>231</v>
      </c>
      <c r="H1006" s="256">
        <f t="shared" si="82"/>
        <v>0</v>
      </c>
    </row>
    <row r="1007" spans="1:8" x14ac:dyDescent="0.3">
      <c r="A1007" s="128" t="s">
        <v>186</v>
      </c>
      <c r="B1007" s="129" t="s">
        <v>257</v>
      </c>
      <c r="C1007" s="129" t="s">
        <v>21</v>
      </c>
      <c r="D1007" s="129" t="str">
        <f t="shared" si="81"/>
        <v>Комплекс коммерческий Главный Бухгалтер ПРОФОПТИМАЛЬНЫЙ10</v>
      </c>
      <c r="E1007" s="130">
        <v>0</v>
      </c>
      <c r="F1007" s="144">
        <v>10</v>
      </c>
      <c r="G1007" s="144" t="s">
        <v>231</v>
      </c>
      <c r="H1007" s="256">
        <f t="shared" si="82"/>
        <v>0</v>
      </c>
    </row>
    <row r="1008" spans="1:8" x14ac:dyDescent="0.3">
      <c r="A1008" s="128" t="s">
        <v>186</v>
      </c>
      <c r="B1008" s="129" t="s">
        <v>260</v>
      </c>
      <c r="C1008" s="129" t="s">
        <v>21</v>
      </c>
      <c r="D1008" s="129" t="str">
        <f t="shared" si="81"/>
        <v>Комплекс коммерческий VIP ПредприятиеОПТИМАЛЬНЫЙ10</v>
      </c>
      <c r="E1008" s="130">
        <v>0</v>
      </c>
      <c r="F1008" s="144">
        <v>10</v>
      </c>
      <c r="G1008" s="144" t="s">
        <v>231</v>
      </c>
      <c r="H1008" s="256">
        <f t="shared" si="82"/>
        <v>0</v>
      </c>
    </row>
    <row r="1009" spans="1:8" x14ac:dyDescent="0.3">
      <c r="A1009" s="128" t="s">
        <v>186</v>
      </c>
      <c r="B1009" s="129" t="s">
        <v>259</v>
      </c>
      <c r="C1009" s="129" t="s">
        <v>189</v>
      </c>
      <c r="D1009" s="129" t="str">
        <f t="shared" si="81"/>
        <v>Комплекс коммерческий Предприятие ПРОФЭКСПЕРТОПТИМАЛЬНЫЙ10</v>
      </c>
      <c r="E1009" s="130">
        <v>0</v>
      </c>
      <c r="F1009" s="144">
        <v>10</v>
      </c>
      <c r="G1009" s="144" t="s">
        <v>231</v>
      </c>
      <c r="H1009" s="256">
        <f t="shared" si="82"/>
        <v>0</v>
      </c>
    </row>
    <row r="1010" spans="1:8" x14ac:dyDescent="0.3">
      <c r="A1010" s="128" t="s">
        <v>186</v>
      </c>
      <c r="B1010" s="129" t="s">
        <v>258</v>
      </c>
      <c r="C1010" s="129" t="s">
        <v>189</v>
      </c>
      <c r="D1010" s="129" t="str">
        <f t="shared" si="81"/>
        <v>Комплекс коммерческий ПредприятиеЭКСПЕРТОПТИМАЛЬНЫЙ10</v>
      </c>
      <c r="E1010" s="130">
        <v>0</v>
      </c>
      <c r="F1010" s="144">
        <v>10</v>
      </c>
      <c r="G1010" s="144" t="s">
        <v>231</v>
      </c>
      <c r="H1010" s="256">
        <f t="shared" si="82"/>
        <v>0</v>
      </c>
    </row>
    <row r="1011" spans="1:8" x14ac:dyDescent="0.3">
      <c r="A1011" s="128" t="s">
        <v>186</v>
      </c>
      <c r="B1011" s="129" t="s">
        <v>257</v>
      </c>
      <c r="C1011" s="129" t="s">
        <v>189</v>
      </c>
      <c r="D1011" s="129" t="str">
        <f t="shared" si="81"/>
        <v>Комплекс коммерческий Главный Бухгалтер ПРОФЭКСПЕРТОПТИМАЛЬНЫЙ10</v>
      </c>
      <c r="E1011" s="130">
        <v>0</v>
      </c>
      <c r="F1011" s="144">
        <v>10</v>
      </c>
      <c r="G1011" s="144" t="s">
        <v>231</v>
      </c>
      <c r="H1011" s="256">
        <f t="shared" si="82"/>
        <v>0</v>
      </c>
    </row>
    <row r="1012" spans="1:8" x14ac:dyDescent="0.3">
      <c r="A1012" s="128" t="s">
        <v>186</v>
      </c>
      <c r="B1012" s="129" t="s">
        <v>260</v>
      </c>
      <c r="C1012" s="129" t="s">
        <v>189</v>
      </c>
      <c r="D1012" s="129" t="str">
        <f t="shared" si="81"/>
        <v>Комплекс коммерческий VIP ПредприятиеЭКСПЕРТОПТИМАЛЬНЫЙ10</v>
      </c>
      <c r="E1012" s="130">
        <v>0</v>
      </c>
      <c r="F1012" s="144">
        <v>10</v>
      </c>
      <c r="G1012" s="144" t="s">
        <v>231</v>
      </c>
      <c r="H1012" s="256">
        <f t="shared" si="82"/>
        <v>0</v>
      </c>
    </row>
    <row r="1013" spans="1:8" x14ac:dyDescent="0.3">
      <c r="A1013" s="128" t="s">
        <v>186</v>
      </c>
      <c r="B1013" s="129" t="s">
        <v>259</v>
      </c>
      <c r="C1013" s="129" t="s">
        <v>190</v>
      </c>
      <c r="D1013" s="129" t="str">
        <f t="shared" si="81"/>
        <v>Комплекс коммерческий Предприятие ПРОФЭКСПЕРТМИНИМАЛЬНЫЙ10</v>
      </c>
      <c r="E1013" s="130">
        <v>0</v>
      </c>
      <c r="F1013" s="144">
        <v>10</v>
      </c>
      <c r="G1013" s="144" t="s">
        <v>231</v>
      </c>
      <c r="H1013" s="256">
        <f t="shared" si="82"/>
        <v>0</v>
      </c>
    </row>
    <row r="1014" spans="1:8" x14ac:dyDescent="0.3">
      <c r="A1014" s="128" t="s">
        <v>186</v>
      </c>
      <c r="B1014" s="129" t="s">
        <v>258</v>
      </c>
      <c r="C1014" s="129" t="s">
        <v>190</v>
      </c>
      <c r="D1014" s="129" t="str">
        <f t="shared" si="81"/>
        <v>Комплекс коммерческий ПредприятиеЭКСПЕРТМИНИМАЛЬНЫЙ10</v>
      </c>
      <c r="E1014" s="130">
        <v>0</v>
      </c>
      <c r="F1014" s="144">
        <v>10</v>
      </c>
      <c r="G1014" s="144" t="s">
        <v>231</v>
      </c>
      <c r="H1014" s="256">
        <f t="shared" si="82"/>
        <v>0</v>
      </c>
    </row>
    <row r="1015" spans="1:8" x14ac:dyDescent="0.3">
      <c r="A1015" s="128" t="s">
        <v>186</v>
      </c>
      <c r="B1015" s="129" t="s">
        <v>257</v>
      </c>
      <c r="C1015" s="129" t="s">
        <v>192</v>
      </c>
      <c r="D1015" s="129" t="str">
        <f t="shared" si="81"/>
        <v>Комплекс коммерческий Главный Бухгалтер ПРОФЭКСПЕРТБАЗОВЫЙ10</v>
      </c>
      <c r="E1015" s="130">
        <v>0</v>
      </c>
      <c r="F1015" s="144">
        <v>10</v>
      </c>
      <c r="G1015" s="144" t="s">
        <v>231</v>
      </c>
      <c r="H1015" s="256">
        <f t="shared" si="82"/>
        <v>0</v>
      </c>
    </row>
    <row r="1016" spans="1:8" x14ac:dyDescent="0.3">
      <c r="A1016" s="128" t="s">
        <v>186</v>
      </c>
      <c r="B1016" s="129" t="s">
        <v>260</v>
      </c>
      <c r="C1016" s="129" t="s">
        <v>190</v>
      </c>
      <c r="D1016" s="129" t="str">
        <f t="shared" si="81"/>
        <v>Комплекс коммерческий VIP ПредприятиеЭКСПЕРТМИНИМАЛЬНЫЙ10</v>
      </c>
      <c r="E1016" s="130">
        <v>0</v>
      </c>
      <c r="F1016" s="144">
        <v>10</v>
      </c>
      <c r="G1016" s="144" t="s">
        <v>231</v>
      </c>
      <c r="H1016" s="256">
        <f t="shared" si="82"/>
        <v>0</v>
      </c>
    </row>
    <row r="1017" spans="1:8" x14ac:dyDescent="0.3">
      <c r="A1017" s="128" t="s">
        <v>186</v>
      </c>
      <c r="B1017" s="129" t="s">
        <v>259</v>
      </c>
      <c r="C1017" s="129" t="s">
        <v>191</v>
      </c>
      <c r="D1017" s="129" t="str">
        <f t="shared" si="81"/>
        <v>Комплекс коммерческий Предприятие ПРОФОПТИМАЛЬНЫЙМИНИМАЛЬНЫЙ10</v>
      </c>
      <c r="E1017" s="130">
        <v>0</v>
      </c>
      <c r="F1017" s="144">
        <v>10</v>
      </c>
      <c r="G1017" s="144" t="s">
        <v>231</v>
      </c>
      <c r="H1017" s="256">
        <f t="shared" si="82"/>
        <v>0</v>
      </c>
    </row>
    <row r="1018" spans="1:8" x14ac:dyDescent="0.3">
      <c r="A1018" s="128" t="s">
        <v>186</v>
      </c>
      <c r="B1018" s="129" t="s">
        <v>258</v>
      </c>
      <c r="C1018" s="129" t="s">
        <v>191</v>
      </c>
      <c r="D1018" s="129" t="str">
        <f t="shared" si="81"/>
        <v>Комплекс коммерческий ПредприятиеОПТИМАЛЬНЫЙМИНИМАЛЬНЫЙ10</v>
      </c>
      <c r="E1018" s="130">
        <v>0</v>
      </c>
      <c r="F1018" s="144">
        <v>10</v>
      </c>
      <c r="G1018" s="144" t="s">
        <v>231</v>
      </c>
      <c r="H1018" s="256">
        <f t="shared" si="82"/>
        <v>0</v>
      </c>
    </row>
    <row r="1019" spans="1:8" x14ac:dyDescent="0.3">
      <c r="A1019" s="128" t="s">
        <v>186</v>
      </c>
      <c r="B1019" s="129" t="s">
        <v>257</v>
      </c>
      <c r="C1019" s="129" t="s">
        <v>234</v>
      </c>
      <c r="D1019" s="129" t="str">
        <f t="shared" si="81"/>
        <v>Комплекс коммерческий Главный Бухгалтер ПРОФОПТИМАЛЬНЫЙБАЗОВЫЙ10</v>
      </c>
      <c r="E1019" s="130">
        <v>0</v>
      </c>
      <c r="F1019" s="144">
        <v>10</v>
      </c>
      <c r="G1019" s="144" t="s">
        <v>231</v>
      </c>
      <c r="H1019" s="256">
        <f t="shared" si="82"/>
        <v>0</v>
      </c>
    </row>
    <row r="1020" spans="1:8" x14ac:dyDescent="0.3">
      <c r="A1020" s="128" t="s">
        <v>186</v>
      </c>
      <c r="B1020" s="129" t="s">
        <v>260</v>
      </c>
      <c r="C1020" s="129" t="s">
        <v>191</v>
      </c>
      <c r="D1020" s="129" t="str">
        <f t="shared" si="81"/>
        <v>Комплекс коммерческий VIP ПредприятиеОПТИМАЛЬНЫЙМИНИМАЛЬНЫЙ10</v>
      </c>
      <c r="E1020" s="130">
        <v>0</v>
      </c>
      <c r="F1020" s="144">
        <v>10</v>
      </c>
      <c r="G1020" s="144" t="s">
        <v>231</v>
      </c>
      <c r="H1020" s="256">
        <f t="shared" si="82"/>
        <v>0</v>
      </c>
    </row>
    <row r="1021" spans="1:8" x14ac:dyDescent="0.3">
      <c r="A1021" s="128" t="s">
        <v>186</v>
      </c>
      <c r="B1021" s="129" t="s">
        <v>259</v>
      </c>
      <c r="C1021" s="129" t="s">
        <v>194</v>
      </c>
      <c r="D1021" s="129" t="str">
        <f t="shared" si="81"/>
        <v>Комплекс коммерческий Предприятие ПРОФЭКСПЕРТОПТИМАЛЬНЫЙМИНИМАЛЬНЫЙ10</v>
      </c>
      <c r="E1021" s="130">
        <v>0</v>
      </c>
      <c r="F1021" s="152">
        <v>10</v>
      </c>
      <c r="G1021" s="152" t="s">
        <v>231</v>
      </c>
      <c r="H1021" s="256">
        <f t="shared" si="82"/>
        <v>0</v>
      </c>
    </row>
    <row r="1022" spans="1:8" x14ac:dyDescent="0.3">
      <c r="A1022" s="128" t="s">
        <v>186</v>
      </c>
      <c r="B1022" s="129" t="s">
        <v>258</v>
      </c>
      <c r="C1022" s="129" t="s">
        <v>194</v>
      </c>
      <c r="D1022" s="129" t="str">
        <f t="shared" si="81"/>
        <v>Комплекс коммерческий ПредприятиеЭКСПЕРТОПТИМАЛЬНЫЙМИНИМАЛЬНЫЙ10</v>
      </c>
      <c r="E1022" s="130">
        <v>0</v>
      </c>
      <c r="F1022" s="152">
        <v>10</v>
      </c>
      <c r="G1022" s="152" t="s">
        <v>231</v>
      </c>
      <c r="H1022" s="256">
        <f t="shared" si="82"/>
        <v>0</v>
      </c>
    </row>
    <row r="1023" spans="1:8" x14ac:dyDescent="0.3">
      <c r="A1023" s="128" t="s">
        <v>186</v>
      </c>
      <c r="B1023" s="129" t="s">
        <v>257</v>
      </c>
      <c r="C1023" s="129" t="s">
        <v>195</v>
      </c>
      <c r="D1023" s="129" t="str">
        <f t="shared" si="81"/>
        <v>Комплекс коммерческий Главный Бухгалтер ПРОФЭКСПЕРТОПТИМАЛЬНЫЙБАЗОВЫЙ10</v>
      </c>
      <c r="E1023" s="130">
        <v>0</v>
      </c>
      <c r="F1023" s="152">
        <v>10</v>
      </c>
      <c r="G1023" s="152" t="s">
        <v>231</v>
      </c>
      <c r="H1023" s="256">
        <f t="shared" si="82"/>
        <v>0</v>
      </c>
    </row>
    <row r="1024" spans="1:8" x14ac:dyDescent="0.3">
      <c r="A1024" s="128" t="s">
        <v>186</v>
      </c>
      <c r="B1024" s="129" t="s">
        <v>260</v>
      </c>
      <c r="C1024" s="129" t="s">
        <v>194</v>
      </c>
      <c r="D1024" s="129" t="str">
        <f t="shared" si="81"/>
        <v>Комплекс коммерческий VIP ПредприятиеЭКСПЕРТОПТИМАЛЬНЫЙМИНИМАЛЬНЫЙ10</v>
      </c>
      <c r="E1024" s="130">
        <v>0</v>
      </c>
      <c r="F1024" s="152">
        <v>10</v>
      </c>
      <c r="G1024" s="152" t="s">
        <v>231</v>
      </c>
      <c r="H1024" s="256">
        <f t="shared" si="82"/>
        <v>0</v>
      </c>
    </row>
    <row r="1025" spans="1:8" x14ac:dyDescent="0.3">
      <c r="A1025" s="128" t="s">
        <v>187</v>
      </c>
      <c r="B1025" s="129" t="s">
        <v>262</v>
      </c>
      <c r="C1025" s="129" t="s">
        <v>20</v>
      </c>
      <c r="D1025" s="129" t="str">
        <f t="shared" ref="D1025:D1031" si="83">_xlfn.CONCAT(B1025,C1025,F1025)</f>
        <v>Комплекс коммерческий Предприятие (1 пользователь)ЭКСПЕРТ11</v>
      </c>
      <c r="E1025" s="235">
        <v>0</v>
      </c>
      <c r="F1025" s="144">
        <v>11</v>
      </c>
      <c r="G1025" s="144" t="s">
        <v>231</v>
      </c>
      <c r="H1025" s="256">
        <f t="shared" si="82"/>
        <v>0</v>
      </c>
    </row>
    <row r="1026" spans="1:8" x14ac:dyDescent="0.3">
      <c r="A1026" s="128" t="s">
        <v>187</v>
      </c>
      <c r="B1026" s="129" t="s">
        <v>263</v>
      </c>
      <c r="C1026" s="129" t="s">
        <v>20</v>
      </c>
      <c r="D1026" s="129" t="str">
        <f t="shared" si="83"/>
        <v>Комплекс коммерческий Предприятие ПРОФ (1 пользователь)ЭКСПЕРТ11</v>
      </c>
      <c r="E1026" s="235">
        <v>0</v>
      </c>
      <c r="F1026" s="144">
        <v>11</v>
      </c>
      <c r="G1026" s="144" t="s">
        <v>231</v>
      </c>
      <c r="H1026" s="256">
        <f t="shared" si="82"/>
        <v>0</v>
      </c>
    </row>
    <row r="1027" spans="1:8" x14ac:dyDescent="0.3">
      <c r="A1027" s="128" t="s">
        <v>187</v>
      </c>
      <c r="B1027" s="129" t="s">
        <v>261</v>
      </c>
      <c r="C1027" s="129" t="s">
        <v>20</v>
      </c>
      <c r="D1027" s="129" t="str">
        <f t="shared" si="83"/>
        <v>Комплекс коммерческий Главный Бухгалтер ПРОФ (1 пользователь)ЭКСПЕРТ11</v>
      </c>
      <c r="E1027" s="130">
        <v>0</v>
      </c>
      <c r="F1027" s="144">
        <v>11</v>
      </c>
      <c r="G1027" s="144" t="s">
        <v>231</v>
      </c>
      <c r="H1027" s="256">
        <f t="shared" si="82"/>
        <v>0</v>
      </c>
    </row>
    <row r="1028" spans="1:8" x14ac:dyDescent="0.3">
      <c r="A1028" s="128" t="s">
        <v>187</v>
      </c>
      <c r="B1028" s="129" t="s">
        <v>264</v>
      </c>
      <c r="C1028" s="129" t="s">
        <v>20</v>
      </c>
      <c r="D1028" s="129" t="str">
        <f t="shared" si="83"/>
        <v>Комплекс коммерческий VIP Предприятие (1 пользователь)ЭКСПЕРТ11</v>
      </c>
      <c r="E1028" s="235">
        <v>0</v>
      </c>
      <c r="F1028" s="144">
        <v>11</v>
      </c>
      <c r="G1028" s="144" t="s">
        <v>231</v>
      </c>
      <c r="H1028" s="256">
        <f t="shared" si="82"/>
        <v>0</v>
      </c>
    </row>
    <row r="1029" spans="1:8" x14ac:dyDescent="0.3">
      <c r="A1029" s="128" t="s">
        <v>187</v>
      </c>
      <c r="B1029" s="129" t="s">
        <v>262</v>
      </c>
      <c r="C1029" s="129" t="s">
        <v>21</v>
      </c>
      <c r="D1029" s="129" t="str">
        <f t="shared" si="83"/>
        <v>Комплекс коммерческий Предприятие (1 пользователь)ОПТИМАЛЬНЫЙ11</v>
      </c>
      <c r="E1029" s="235">
        <v>0</v>
      </c>
      <c r="F1029" s="144">
        <v>11</v>
      </c>
      <c r="G1029" s="144" t="s">
        <v>231</v>
      </c>
      <c r="H1029" s="256">
        <f t="shared" si="82"/>
        <v>0</v>
      </c>
    </row>
    <row r="1030" spans="1:8" x14ac:dyDescent="0.3">
      <c r="A1030" s="128" t="s">
        <v>187</v>
      </c>
      <c r="B1030" s="129" t="s">
        <v>263</v>
      </c>
      <c r="C1030" s="129" t="s">
        <v>21</v>
      </c>
      <c r="D1030" s="129" t="str">
        <f t="shared" si="83"/>
        <v>Комплекс коммерческий Предприятие ПРОФ (1 пользователь)ОПТИМАЛЬНЫЙ11</v>
      </c>
      <c r="E1030" s="235">
        <v>0</v>
      </c>
      <c r="F1030" s="144">
        <v>11</v>
      </c>
      <c r="G1030" s="144" t="s">
        <v>231</v>
      </c>
      <c r="H1030" s="256">
        <f t="shared" si="82"/>
        <v>0</v>
      </c>
    </row>
    <row r="1031" spans="1:8" x14ac:dyDescent="0.3">
      <c r="A1031" s="128" t="s">
        <v>187</v>
      </c>
      <c r="B1031" s="129" t="s">
        <v>264</v>
      </c>
      <c r="C1031" s="129" t="s">
        <v>21</v>
      </c>
      <c r="D1031" s="129" t="str">
        <f t="shared" si="83"/>
        <v>Комплекс коммерческий VIP Предприятие (1 пользователь)ОПТИМАЛЬНЫЙ11</v>
      </c>
      <c r="E1031" s="235">
        <v>0</v>
      </c>
      <c r="F1031" s="144">
        <v>11</v>
      </c>
      <c r="G1031" s="144" t="s">
        <v>231</v>
      </c>
      <c r="H1031" s="256">
        <f t="shared" si="82"/>
        <v>0</v>
      </c>
    </row>
    <row r="1032" spans="1:8" x14ac:dyDescent="0.3">
      <c r="A1032" s="128" t="s">
        <v>186</v>
      </c>
      <c r="B1032" s="129" t="s">
        <v>259</v>
      </c>
      <c r="C1032" s="129" t="s">
        <v>20</v>
      </c>
      <c r="D1032" s="129" t="str">
        <f t="shared" ref="D1032:D1043" si="84">CONCATENATE(B1032,C1032,F1032)</f>
        <v>Комплекс коммерческий Предприятие ПРОФЭКСПЕРТ11</v>
      </c>
      <c r="E1032" s="130">
        <v>0</v>
      </c>
      <c r="F1032" s="144">
        <v>11</v>
      </c>
      <c r="G1032" s="144" t="s">
        <v>231</v>
      </c>
      <c r="H1032" s="256">
        <f t="shared" si="82"/>
        <v>0</v>
      </c>
    </row>
    <row r="1033" spans="1:8" x14ac:dyDescent="0.3">
      <c r="A1033" s="128" t="s">
        <v>186</v>
      </c>
      <c r="B1033" s="129" t="s">
        <v>258</v>
      </c>
      <c r="C1033" s="129" t="s">
        <v>20</v>
      </c>
      <c r="D1033" s="129" t="str">
        <f t="shared" si="84"/>
        <v>Комплекс коммерческий ПредприятиеЭКСПЕРТ11</v>
      </c>
      <c r="E1033" s="130">
        <v>0</v>
      </c>
      <c r="F1033" s="144">
        <v>11</v>
      </c>
      <c r="G1033" s="144" t="s">
        <v>231</v>
      </c>
      <c r="H1033" s="256">
        <f t="shared" si="82"/>
        <v>0</v>
      </c>
    </row>
    <row r="1034" spans="1:8" x14ac:dyDescent="0.3">
      <c r="A1034" s="128" t="s">
        <v>186</v>
      </c>
      <c r="B1034" s="129" t="s">
        <v>257</v>
      </c>
      <c r="C1034" s="129" t="s">
        <v>20</v>
      </c>
      <c r="D1034" s="129" t="str">
        <f t="shared" si="84"/>
        <v>Комплекс коммерческий Главный Бухгалтер ПРОФЭКСПЕРТ11</v>
      </c>
      <c r="E1034" s="130">
        <v>0</v>
      </c>
      <c r="F1034" s="144">
        <v>11</v>
      </c>
      <c r="G1034" s="144" t="s">
        <v>231</v>
      </c>
      <c r="H1034" s="256">
        <f t="shared" si="82"/>
        <v>0</v>
      </c>
    </row>
    <row r="1035" spans="1:8" x14ac:dyDescent="0.3">
      <c r="A1035" s="128" t="s">
        <v>186</v>
      </c>
      <c r="B1035" s="129" t="s">
        <v>260</v>
      </c>
      <c r="C1035" s="129" t="s">
        <v>20</v>
      </c>
      <c r="D1035" s="129" t="str">
        <f t="shared" si="84"/>
        <v>Комплекс коммерческий VIP ПредприятиеЭКСПЕРТ11</v>
      </c>
      <c r="E1035" s="130">
        <v>0</v>
      </c>
      <c r="F1035" s="144">
        <v>11</v>
      </c>
      <c r="G1035" s="144" t="s">
        <v>231</v>
      </c>
      <c r="H1035" s="256">
        <f t="shared" si="82"/>
        <v>0</v>
      </c>
    </row>
    <row r="1036" spans="1:8" x14ac:dyDescent="0.3">
      <c r="A1036" s="128" t="s">
        <v>186</v>
      </c>
      <c r="B1036" s="129" t="s">
        <v>259</v>
      </c>
      <c r="C1036" s="129" t="s">
        <v>21</v>
      </c>
      <c r="D1036" s="129" t="str">
        <f t="shared" si="84"/>
        <v>Комплекс коммерческий Предприятие ПРОФОПТИМАЛЬНЫЙ11</v>
      </c>
      <c r="E1036" s="130">
        <v>0</v>
      </c>
      <c r="F1036" s="144">
        <v>11</v>
      </c>
      <c r="G1036" s="144" t="s">
        <v>231</v>
      </c>
      <c r="H1036" s="256">
        <f t="shared" ref="H1036:H1043" si="85">$B$43</f>
        <v>0</v>
      </c>
    </row>
    <row r="1037" spans="1:8" x14ac:dyDescent="0.3">
      <c r="A1037" s="128" t="s">
        <v>186</v>
      </c>
      <c r="B1037" s="129" t="s">
        <v>258</v>
      </c>
      <c r="C1037" s="129" t="s">
        <v>21</v>
      </c>
      <c r="D1037" s="129" t="str">
        <f t="shared" si="84"/>
        <v>Комплекс коммерческий ПредприятиеОПТИМАЛЬНЫЙ11</v>
      </c>
      <c r="E1037" s="130">
        <v>0</v>
      </c>
      <c r="F1037" s="144">
        <v>11</v>
      </c>
      <c r="G1037" s="144" t="s">
        <v>231</v>
      </c>
      <c r="H1037" s="256">
        <f t="shared" si="85"/>
        <v>0</v>
      </c>
    </row>
    <row r="1038" spans="1:8" x14ac:dyDescent="0.3">
      <c r="A1038" s="128" t="s">
        <v>186</v>
      </c>
      <c r="B1038" s="129" t="s">
        <v>257</v>
      </c>
      <c r="C1038" s="129" t="s">
        <v>21</v>
      </c>
      <c r="D1038" s="129" t="str">
        <f t="shared" si="84"/>
        <v>Комплекс коммерческий Главный Бухгалтер ПРОФОПТИМАЛЬНЫЙ11</v>
      </c>
      <c r="E1038" s="130">
        <v>0</v>
      </c>
      <c r="F1038" s="144">
        <v>11</v>
      </c>
      <c r="G1038" s="144" t="s">
        <v>231</v>
      </c>
      <c r="H1038" s="256">
        <f t="shared" si="85"/>
        <v>0</v>
      </c>
    </row>
    <row r="1039" spans="1:8" x14ac:dyDescent="0.3">
      <c r="A1039" s="128" t="s">
        <v>186</v>
      </c>
      <c r="B1039" s="129" t="s">
        <v>260</v>
      </c>
      <c r="C1039" s="129" t="s">
        <v>21</v>
      </c>
      <c r="D1039" s="129" t="str">
        <f t="shared" si="84"/>
        <v>Комплекс коммерческий VIP ПредприятиеОПТИМАЛЬНЫЙ11</v>
      </c>
      <c r="E1039" s="130">
        <v>0</v>
      </c>
      <c r="F1039" s="144">
        <v>11</v>
      </c>
      <c r="G1039" s="144" t="s">
        <v>231</v>
      </c>
      <c r="H1039" s="256">
        <f t="shared" si="85"/>
        <v>0</v>
      </c>
    </row>
    <row r="1040" spans="1:8" x14ac:dyDescent="0.3">
      <c r="A1040" s="128" t="s">
        <v>186</v>
      </c>
      <c r="B1040" s="129" t="s">
        <v>259</v>
      </c>
      <c r="C1040" s="129" t="s">
        <v>189</v>
      </c>
      <c r="D1040" s="129" t="str">
        <f t="shared" si="84"/>
        <v>Комплекс коммерческий Предприятие ПРОФЭКСПЕРТОПТИМАЛЬНЫЙ11</v>
      </c>
      <c r="E1040" s="130">
        <v>0</v>
      </c>
      <c r="F1040" s="144">
        <v>11</v>
      </c>
      <c r="G1040" s="144" t="s">
        <v>231</v>
      </c>
      <c r="H1040" s="256">
        <f t="shared" si="85"/>
        <v>0</v>
      </c>
    </row>
    <row r="1041" spans="1:8" x14ac:dyDescent="0.3">
      <c r="A1041" s="128" t="s">
        <v>186</v>
      </c>
      <c r="B1041" s="129" t="s">
        <v>258</v>
      </c>
      <c r="C1041" s="129" t="s">
        <v>189</v>
      </c>
      <c r="D1041" s="129" t="str">
        <f t="shared" si="84"/>
        <v>Комплекс коммерческий ПредприятиеЭКСПЕРТОПТИМАЛЬНЫЙ11</v>
      </c>
      <c r="E1041" s="130">
        <v>0</v>
      </c>
      <c r="F1041" s="144">
        <v>11</v>
      </c>
      <c r="G1041" s="144" t="s">
        <v>231</v>
      </c>
      <c r="H1041" s="256">
        <f t="shared" si="85"/>
        <v>0</v>
      </c>
    </row>
    <row r="1042" spans="1:8" x14ac:dyDescent="0.3">
      <c r="A1042" s="128" t="s">
        <v>186</v>
      </c>
      <c r="B1042" s="129" t="s">
        <v>257</v>
      </c>
      <c r="C1042" s="129" t="s">
        <v>189</v>
      </c>
      <c r="D1042" s="129" t="str">
        <f t="shared" si="84"/>
        <v>Комплекс коммерческий Главный Бухгалтер ПРОФЭКСПЕРТОПТИМАЛЬНЫЙ11</v>
      </c>
      <c r="E1042" s="130">
        <v>0</v>
      </c>
      <c r="F1042" s="144">
        <v>11</v>
      </c>
      <c r="G1042" s="144" t="s">
        <v>231</v>
      </c>
      <c r="H1042" s="256">
        <f t="shared" si="85"/>
        <v>0</v>
      </c>
    </row>
    <row r="1043" spans="1:8" x14ac:dyDescent="0.3">
      <c r="A1043" s="128" t="s">
        <v>186</v>
      </c>
      <c r="B1043" s="129" t="s">
        <v>260</v>
      </c>
      <c r="C1043" s="129" t="s">
        <v>189</v>
      </c>
      <c r="D1043" s="129" t="str">
        <f t="shared" si="84"/>
        <v>Комплекс коммерческий VIP ПредприятиеЭКСПЕРТОПТИМАЛЬНЫЙ11</v>
      </c>
      <c r="E1043" s="130">
        <v>0</v>
      </c>
      <c r="F1043" s="144">
        <v>11</v>
      </c>
      <c r="G1043" s="144" t="s">
        <v>231</v>
      </c>
      <c r="H1043" s="256">
        <f t="shared" si="85"/>
        <v>0</v>
      </c>
    </row>
    <row r="1044" spans="1:8" x14ac:dyDescent="0.3">
      <c r="A1044" s="128" t="s">
        <v>186</v>
      </c>
      <c r="B1044" s="129" t="s">
        <v>259</v>
      </c>
      <c r="C1044" s="129" t="s">
        <v>190</v>
      </c>
      <c r="D1044" s="129" t="str">
        <f t="shared" ref="D1044:D1055" si="86">CONCATENATE(B1044,C1044,F1044)</f>
        <v>Комплекс коммерческий Предприятие ПРОФЭКСПЕРТМИНИМАЛЬНЫЙ11</v>
      </c>
      <c r="E1044" s="130">
        <v>0</v>
      </c>
      <c r="F1044" s="144">
        <v>11</v>
      </c>
      <c r="G1044" s="144" t="s">
        <v>231</v>
      </c>
      <c r="H1044" s="256">
        <f t="shared" ref="H1044:H1047" si="87">$B$43</f>
        <v>0</v>
      </c>
    </row>
    <row r="1045" spans="1:8" x14ac:dyDescent="0.3">
      <c r="A1045" s="128" t="s">
        <v>186</v>
      </c>
      <c r="B1045" s="129" t="s">
        <v>258</v>
      </c>
      <c r="C1045" s="129" t="s">
        <v>190</v>
      </c>
      <c r="D1045" s="129" t="str">
        <f t="shared" si="86"/>
        <v>Комплекс коммерческий ПредприятиеЭКСПЕРТМИНИМАЛЬНЫЙ11</v>
      </c>
      <c r="E1045" s="130">
        <v>0</v>
      </c>
      <c r="F1045" s="144">
        <v>11</v>
      </c>
      <c r="G1045" s="144" t="s">
        <v>231</v>
      </c>
      <c r="H1045" s="256">
        <f t="shared" si="87"/>
        <v>0</v>
      </c>
    </row>
    <row r="1046" spans="1:8" x14ac:dyDescent="0.3">
      <c r="A1046" s="128" t="s">
        <v>186</v>
      </c>
      <c r="B1046" s="129" t="s">
        <v>257</v>
      </c>
      <c r="C1046" s="129" t="s">
        <v>192</v>
      </c>
      <c r="D1046" s="129" t="str">
        <f t="shared" si="86"/>
        <v>Комплекс коммерческий Главный Бухгалтер ПРОФЭКСПЕРТБАЗОВЫЙ11</v>
      </c>
      <c r="E1046" s="130">
        <v>0</v>
      </c>
      <c r="F1046" s="144">
        <v>11</v>
      </c>
      <c r="G1046" s="144" t="s">
        <v>231</v>
      </c>
      <c r="H1046" s="256">
        <f t="shared" si="87"/>
        <v>0</v>
      </c>
    </row>
    <row r="1047" spans="1:8" x14ac:dyDescent="0.3">
      <c r="A1047" s="128" t="s">
        <v>186</v>
      </c>
      <c r="B1047" s="129" t="s">
        <v>260</v>
      </c>
      <c r="C1047" s="129" t="s">
        <v>190</v>
      </c>
      <c r="D1047" s="129" t="str">
        <f t="shared" si="86"/>
        <v>Комплекс коммерческий VIP ПредприятиеЭКСПЕРТМИНИМАЛЬНЫЙ11</v>
      </c>
      <c r="E1047" s="130">
        <v>0</v>
      </c>
      <c r="F1047" s="144">
        <v>11</v>
      </c>
      <c r="G1047" s="144" t="s">
        <v>231</v>
      </c>
      <c r="H1047" s="256">
        <f t="shared" si="87"/>
        <v>0</v>
      </c>
    </row>
    <row r="1048" spans="1:8" x14ac:dyDescent="0.3">
      <c r="A1048" s="128" t="s">
        <v>186</v>
      </c>
      <c r="B1048" s="129" t="s">
        <v>259</v>
      </c>
      <c r="C1048" s="129" t="s">
        <v>191</v>
      </c>
      <c r="D1048" s="129" t="str">
        <f t="shared" si="86"/>
        <v>Комплекс коммерческий Предприятие ПРОФОПТИМАЛЬНЫЙМИНИМАЛЬНЫЙ11</v>
      </c>
      <c r="E1048" s="130">
        <v>0</v>
      </c>
      <c r="F1048" s="144">
        <v>11</v>
      </c>
      <c r="G1048" s="144" t="s">
        <v>231</v>
      </c>
      <c r="H1048" s="256">
        <f t="shared" ref="H1048:H1051" si="88">$B$43</f>
        <v>0</v>
      </c>
    </row>
    <row r="1049" spans="1:8" x14ac:dyDescent="0.3">
      <c r="A1049" s="128" t="s">
        <v>186</v>
      </c>
      <c r="B1049" s="129" t="s">
        <v>258</v>
      </c>
      <c r="C1049" s="129" t="s">
        <v>191</v>
      </c>
      <c r="D1049" s="129" t="str">
        <f t="shared" si="86"/>
        <v>Комплекс коммерческий ПредприятиеОПТИМАЛЬНЫЙМИНИМАЛЬНЫЙ11</v>
      </c>
      <c r="E1049" s="130">
        <v>0</v>
      </c>
      <c r="F1049" s="144">
        <v>11</v>
      </c>
      <c r="G1049" s="144" t="s">
        <v>231</v>
      </c>
      <c r="H1049" s="256">
        <f t="shared" si="88"/>
        <v>0</v>
      </c>
    </row>
    <row r="1050" spans="1:8" x14ac:dyDescent="0.3">
      <c r="A1050" s="128" t="s">
        <v>186</v>
      </c>
      <c r="B1050" s="129" t="s">
        <v>257</v>
      </c>
      <c r="C1050" s="129" t="s">
        <v>234</v>
      </c>
      <c r="D1050" s="129" t="str">
        <f t="shared" si="86"/>
        <v>Комплекс коммерческий Главный Бухгалтер ПРОФОПТИМАЛЬНЫЙБАЗОВЫЙ11</v>
      </c>
      <c r="E1050" s="130">
        <v>0</v>
      </c>
      <c r="F1050" s="144">
        <v>11</v>
      </c>
      <c r="G1050" s="144" t="s">
        <v>231</v>
      </c>
      <c r="H1050" s="256">
        <f t="shared" si="88"/>
        <v>0</v>
      </c>
    </row>
    <row r="1051" spans="1:8" x14ac:dyDescent="0.3">
      <c r="A1051" s="128" t="s">
        <v>186</v>
      </c>
      <c r="B1051" s="129" t="s">
        <v>260</v>
      </c>
      <c r="C1051" s="129" t="s">
        <v>191</v>
      </c>
      <c r="D1051" s="129" t="str">
        <f t="shared" si="86"/>
        <v>Комплекс коммерческий VIP ПредприятиеОПТИМАЛЬНЫЙМИНИМАЛЬНЫЙ11</v>
      </c>
      <c r="E1051" s="130">
        <v>0</v>
      </c>
      <c r="F1051" s="144">
        <v>11</v>
      </c>
      <c r="G1051" s="144" t="s">
        <v>231</v>
      </c>
      <c r="H1051" s="256">
        <f t="shared" si="88"/>
        <v>0</v>
      </c>
    </row>
    <row r="1052" spans="1:8" x14ac:dyDescent="0.3">
      <c r="A1052" s="128" t="s">
        <v>186</v>
      </c>
      <c r="B1052" s="129" t="s">
        <v>259</v>
      </c>
      <c r="C1052" s="129" t="s">
        <v>194</v>
      </c>
      <c r="D1052" s="129" t="str">
        <f t="shared" si="86"/>
        <v>Комплекс коммерческий Предприятие ПРОФЭКСПЕРТОПТИМАЛЬНЫЙМИНИМАЛЬНЫЙ11</v>
      </c>
      <c r="E1052" s="130">
        <v>0</v>
      </c>
      <c r="F1052" s="152">
        <v>11</v>
      </c>
      <c r="G1052" s="152" t="s">
        <v>231</v>
      </c>
      <c r="H1052" s="256">
        <f t="shared" ref="H1052:H1078" si="89">$B$43</f>
        <v>0</v>
      </c>
    </row>
    <row r="1053" spans="1:8" x14ac:dyDescent="0.3">
      <c r="A1053" s="128" t="s">
        <v>186</v>
      </c>
      <c r="B1053" s="129" t="s">
        <v>258</v>
      </c>
      <c r="C1053" s="129" t="s">
        <v>194</v>
      </c>
      <c r="D1053" s="129" t="str">
        <f t="shared" si="86"/>
        <v>Комплекс коммерческий ПредприятиеЭКСПЕРТОПТИМАЛЬНЫЙМИНИМАЛЬНЫЙ11</v>
      </c>
      <c r="E1053" s="130">
        <v>0</v>
      </c>
      <c r="F1053" s="152">
        <v>11</v>
      </c>
      <c r="G1053" s="152" t="s">
        <v>231</v>
      </c>
      <c r="H1053" s="256">
        <f t="shared" si="89"/>
        <v>0</v>
      </c>
    </row>
    <row r="1054" spans="1:8" x14ac:dyDescent="0.3">
      <c r="A1054" s="128" t="s">
        <v>186</v>
      </c>
      <c r="B1054" s="129" t="s">
        <v>257</v>
      </c>
      <c r="C1054" s="129" t="s">
        <v>195</v>
      </c>
      <c r="D1054" s="129" t="str">
        <f t="shared" si="86"/>
        <v>Комплекс коммерческий Главный Бухгалтер ПРОФЭКСПЕРТОПТИМАЛЬНЫЙБАЗОВЫЙ11</v>
      </c>
      <c r="E1054" s="130">
        <v>0</v>
      </c>
      <c r="F1054" s="152">
        <v>11</v>
      </c>
      <c r="G1054" s="152" t="s">
        <v>231</v>
      </c>
      <c r="H1054" s="256">
        <f t="shared" si="89"/>
        <v>0</v>
      </c>
    </row>
    <row r="1055" spans="1:8" x14ac:dyDescent="0.3">
      <c r="A1055" s="128" t="s">
        <v>186</v>
      </c>
      <c r="B1055" s="129" t="s">
        <v>260</v>
      </c>
      <c r="C1055" s="129" t="s">
        <v>194</v>
      </c>
      <c r="D1055" s="129" t="str">
        <f t="shared" si="86"/>
        <v>Комплекс коммерческий VIP ПредприятиеЭКСПЕРТОПТИМАЛЬНЫЙМИНИМАЛЬНЫЙ11</v>
      </c>
      <c r="E1055" s="130">
        <v>0</v>
      </c>
      <c r="F1055" s="152">
        <v>11</v>
      </c>
      <c r="G1055" s="152" t="s">
        <v>231</v>
      </c>
      <c r="H1055" s="256">
        <f t="shared" si="89"/>
        <v>0</v>
      </c>
    </row>
    <row r="1056" spans="1:8" x14ac:dyDescent="0.3">
      <c r="A1056" s="128" t="s">
        <v>187</v>
      </c>
      <c r="B1056" s="129" t="s">
        <v>262</v>
      </c>
      <c r="C1056" s="129" t="s">
        <v>20</v>
      </c>
      <c r="D1056" s="129" t="str">
        <f t="shared" ref="D1056:D1062" si="90">_xlfn.CONCAT(B1056,C1056,F1056)</f>
        <v>Комплекс коммерческий Предприятие (1 пользователь)ЭКСПЕРТ12</v>
      </c>
      <c r="E1056" s="145">
        <v>0.1</v>
      </c>
      <c r="F1056" s="144">
        <v>12</v>
      </c>
      <c r="G1056" s="144" t="s">
        <v>232</v>
      </c>
      <c r="H1056" s="256">
        <f t="shared" si="89"/>
        <v>0</v>
      </c>
    </row>
    <row r="1057" spans="1:8" x14ac:dyDescent="0.3">
      <c r="A1057" s="128" t="s">
        <v>187</v>
      </c>
      <c r="B1057" s="129" t="s">
        <v>263</v>
      </c>
      <c r="C1057" s="129" t="s">
        <v>20</v>
      </c>
      <c r="D1057" s="129" t="str">
        <f t="shared" si="90"/>
        <v>Комплекс коммерческий Предприятие ПРОФ (1 пользователь)ЭКСПЕРТ12</v>
      </c>
      <c r="E1057" s="145">
        <v>0.1</v>
      </c>
      <c r="F1057" s="144">
        <v>12</v>
      </c>
      <c r="G1057" s="144" t="s">
        <v>232</v>
      </c>
      <c r="H1057" s="256">
        <f t="shared" si="89"/>
        <v>0</v>
      </c>
    </row>
    <row r="1058" spans="1:8" x14ac:dyDescent="0.3">
      <c r="A1058" s="128" t="s">
        <v>187</v>
      </c>
      <c r="B1058" s="129" t="s">
        <v>261</v>
      </c>
      <c r="C1058" s="129" t="s">
        <v>20</v>
      </c>
      <c r="D1058" s="129" t="str">
        <f t="shared" si="90"/>
        <v>Комплекс коммерческий Главный Бухгалтер ПРОФ (1 пользователь)ЭКСПЕРТ12</v>
      </c>
      <c r="E1058" s="145">
        <v>0.1</v>
      </c>
      <c r="F1058" s="144">
        <v>12</v>
      </c>
      <c r="G1058" s="144" t="s">
        <v>232</v>
      </c>
      <c r="H1058" s="256">
        <f t="shared" si="89"/>
        <v>0</v>
      </c>
    </row>
    <row r="1059" spans="1:8" x14ac:dyDescent="0.3">
      <c r="A1059" s="128" t="s">
        <v>187</v>
      </c>
      <c r="B1059" s="129" t="s">
        <v>264</v>
      </c>
      <c r="C1059" s="129" t="s">
        <v>20</v>
      </c>
      <c r="D1059" s="129" t="str">
        <f t="shared" si="90"/>
        <v>Комплекс коммерческий VIP Предприятие (1 пользователь)ЭКСПЕРТ12</v>
      </c>
      <c r="E1059" s="145">
        <v>0.1</v>
      </c>
      <c r="F1059" s="144">
        <v>12</v>
      </c>
      <c r="G1059" s="144" t="s">
        <v>232</v>
      </c>
      <c r="H1059" s="256">
        <f t="shared" si="89"/>
        <v>0</v>
      </c>
    </row>
    <row r="1060" spans="1:8" x14ac:dyDescent="0.3">
      <c r="A1060" s="128" t="s">
        <v>187</v>
      </c>
      <c r="B1060" s="129" t="s">
        <v>262</v>
      </c>
      <c r="C1060" s="129" t="s">
        <v>21</v>
      </c>
      <c r="D1060" s="129" t="str">
        <f t="shared" si="90"/>
        <v>Комплекс коммерческий Предприятие (1 пользователь)ОПТИМАЛЬНЫЙ12</v>
      </c>
      <c r="E1060" s="145">
        <v>0.1</v>
      </c>
      <c r="F1060" s="144">
        <v>12</v>
      </c>
      <c r="G1060" s="144" t="s">
        <v>232</v>
      </c>
      <c r="H1060" s="256">
        <f t="shared" si="89"/>
        <v>0</v>
      </c>
    </row>
    <row r="1061" spans="1:8" x14ac:dyDescent="0.3">
      <c r="A1061" s="128" t="s">
        <v>187</v>
      </c>
      <c r="B1061" s="129" t="s">
        <v>263</v>
      </c>
      <c r="C1061" s="129" t="s">
        <v>21</v>
      </c>
      <c r="D1061" s="129" t="str">
        <f t="shared" si="90"/>
        <v>Комплекс коммерческий Предприятие ПРОФ (1 пользователь)ОПТИМАЛЬНЫЙ12</v>
      </c>
      <c r="E1061" s="145">
        <v>0.1</v>
      </c>
      <c r="F1061" s="144">
        <v>12</v>
      </c>
      <c r="G1061" s="144" t="s">
        <v>232</v>
      </c>
      <c r="H1061" s="256">
        <f t="shared" si="89"/>
        <v>0</v>
      </c>
    </row>
    <row r="1062" spans="1:8" x14ac:dyDescent="0.3">
      <c r="A1062" s="128" t="s">
        <v>187</v>
      </c>
      <c r="B1062" s="129" t="s">
        <v>264</v>
      </c>
      <c r="C1062" s="129" t="s">
        <v>21</v>
      </c>
      <c r="D1062" s="129" t="str">
        <f t="shared" si="90"/>
        <v>Комплекс коммерческий VIP Предприятие (1 пользователь)ОПТИМАЛЬНЫЙ12</v>
      </c>
      <c r="E1062" s="145">
        <v>0.1</v>
      </c>
      <c r="F1062" s="144">
        <v>12</v>
      </c>
      <c r="G1062" s="144" t="s">
        <v>232</v>
      </c>
      <c r="H1062" s="256">
        <f t="shared" si="89"/>
        <v>0</v>
      </c>
    </row>
    <row r="1063" spans="1:8" x14ac:dyDescent="0.3">
      <c r="A1063" s="128" t="s">
        <v>186</v>
      </c>
      <c r="B1063" s="129" t="s">
        <v>259</v>
      </c>
      <c r="C1063" s="129" t="s">
        <v>20</v>
      </c>
      <c r="D1063" s="129" t="str">
        <f t="shared" ref="D1063:D1086" si="91">CONCATENATE(B1063,C1063,F1063)</f>
        <v>Комплекс коммерческий Предприятие ПРОФЭКСПЕРТ12</v>
      </c>
      <c r="E1063" s="145">
        <v>0.1</v>
      </c>
      <c r="F1063" s="144">
        <v>12</v>
      </c>
      <c r="G1063" s="144" t="s">
        <v>232</v>
      </c>
      <c r="H1063" s="256">
        <f t="shared" si="89"/>
        <v>0</v>
      </c>
    </row>
    <row r="1064" spans="1:8" x14ac:dyDescent="0.3">
      <c r="A1064" s="128" t="s">
        <v>186</v>
      </c>
      <c r="B1064" s="129" t="s">
        <v>258</v>
      </c>
      <c r="C1064" s="129" t="s">
        <v>20</v>
      </c>
      <c r="D1064" s="129" t="str">
        <f t="shared" si="91"/>
        <v>Комплекс коммерческий ПредприятиеЭКСПЕРТ12</v>
      </c>
      <c r="E1064" s="145">
        <v>0.1</v>
      </c>
      <c r="F1064" s="144">
        <v>12</v>
      </c>
      <c r="G1064" s="144" t="s">
        <v>232</v>
      </c>
      <c r="H1064" s="256">
        <f t="shared" si="89"/>
        <v>0</v>
      </c>
    </row>
    <row r="1065" spans="1:8" x14ac:dyDescent="0.3">
      <c r="A1065" s="128" t="s">
        <v>186</v>
      </c>
      <c r="B1065" s="129" t="s">
        <v>257</v>
      </c>
      <c r="C1065" s="129" t="s">
        <v>20</v>
      </c>
      <c r="D1065" s="129" t="str">
        <f t="shared" si="91"/>
        <v>Комплекс коммерческий Главный Бухгалтер ПРОФЭКСПЕРТ12</v>
      </c>
      <c r="E1065" s="145">
        <v>0.1</v>
      </c>
      <c r="F1065" s="144">
        <v>12</v>
      </c>
      <c r="G1065" s="144" t="s">
        <v>232</v>
      </c>
      <c r="H1065" s="256">
        <f t="shared" si="89"/>
        <v>0</v>
      </c>
    </row>
    <row r="1066" spans="1:8" x14ac:dyDescent="0.3">
      <c r="A1066" s="128" t="s">
        <v>186</v>
      </c>
      <c r="B1066" s="129" t="s">
        <v>260</v>
      </c>
      <c r="C1066" s="129" t="s">
        <v>20</v>
      </c>
      <c r="D1066" s="129" t="str">
        <f t="shared" si="91"/>
        <v>Комплекс коммерческий VIP ПредприятиеЭКСПЕРТ12</v>
      </c>
      <c r="E1066" s="145">
        <v>0.1</v>
      </c>
      <c r="F1066" s="144">
        <v>12</v>
      </c>
      <c r="G1066" s="144" t="s">
        <v>232</v>
      </c>
      <c r="H1066" s="256">
        <f t="shared" si="89"/>
        <v>0</v>
      </c>
    </row>
    <row r="1067" spans="1:8" x14ac:dyDescent="0.3">
      <c r="A1067" s="128" t="s">
        <v>186</v>
      </c>
      <c r="B1067" s="129" t="s">
        <v>259</v>
      </c>
      <c r="C1067" s="129" t="s">
        <v>21</v>
      </c>
      <c r="D1067" s="129" t="str">
        <f t="shared" si="91"/>
        <v>Комплекс коммерческий Предприятие ПРОФОПТИМАЛЬНЫЙ12</v>
      </c>
      <c r="E1067" s="145">
        <v>0.1</v>
      </c>
      <c r="F1067" s="144">
        <v>12</v>
      </c>
      <c r="G1067" s="144" t="s">
        <v>232</v>
      </c>
      <c r="H1067" s="256">
        <f t="shared" si="89"/>
        <v>0</v>
      </c>
    </row>
    <row r="1068" spans="1:8" x14ac:dyDescent="0.3">
      <c r="A1068" s="128" t="s">
        <v>186</v>
      </c>
      <c r="B1068" s="129" t="s">
        <v>258</v>
      </c>
      <c r="C1068" s="129" t="s">
        <v>21</v>
      </c>
      <c r="D1068" s="129" t="str">
        <f t="shared" si="91"/>
        <v>Комплекс коммерческий ПредприятиеОПТИМАЛЬНЫЙ12</v>
      </c>
      <c r="E1068" s="145">
        <v>0.1</v>
      </c>
      <c r="F1068" s="144">
        <v>12</v>
      </c>
      <c r="G1068" s="144" t="s">
        <v>232</v>
      </c>
      <c r="H1068" s="256">
        <f t="shared" si="89"/>
        <v>0</v>
      </c>
    </row>
    <row r="1069" spans="1:8" x14ac:dyDescent="0.3">
      <c r="A1069" s="128" t="s">
        <v>186</v>
      </c>
      <c r="B1069" s="129" t="s">
        <v>257</v>
      </c>
      <c r="C1069" s="129" t="s">
        <v>21</v>
      </c>
      <c r="D1069" s="129" t="str">
        <f t="shared" si="91"/>
        <v>Комплекс коммерческий Главный Бухгалтер ПРОФОПТИМАЛЬНЫЙ12</v>
      </c>
      <c r="E1069" s="145">
        <v>0.1</v>
      </c>
      <c r="F1069" s="144">
        <v>12</v>
      </c>
      <c r="G1069" s="144" t="s">
        <v>232</v>
      </c>
      <c r="H1069" s="256">
        <f t="shared" si="89"/>
        <v>0</v>
      </c>
    </row>
    <row r="1070" spans="1:8" x14ac:dyDescent="0.3">
      <c r="A1070" s="128" t="s">
        <v>186</v>
      </c>
      <c r="B1070" s="129" t="s">
        <v>260</v>
      </c>
      <c r="C1070" s="129" t="s">
        <v>21</v>
      </c>
      <c r="D1070" s="129" t="str">
        <f t="shared" si="91"/>
        <v>Комплекс коммерческий VIP ПредприятиеОПТИМАЛЬНЫЙ12</v>
      </c>
      <c r="E1070" s="145">
        <v>0.1</v>
      </c>
      <c r="F1070" s="144">
        <v>12</v>
      </c>
      <c r="G1070" s="144" t="s">
        <v>232</v>
      </c>
      <c r="H1070" s="256">
        <f t="shared" si="89"/>
        <v>0</v>
      </c>
    </row>
    <row r="1071" spans="1:8" x14ac:dyDescent="0.3">
      <c r="A1071" s="128" t="s">
        <v>186</v>
      </c>
      <c r="B1071" s="129" t="s">
        <v>259</v>
      </c>
      <c r="C1071" s="129" t="s">
        <v>189</v>
      </c>
      <c r="D1071" s="129" t="str">
        <f t="shared" si="91"/>
        <v>Комплекс коммерческий Предприятие ПРОФЭКСПЕРТОПТИМАЛЬНЫЙ12</v>
      </c>
      <c r="E1071" s="145">
        <v>0.1</v>
      </c>
      <c r="F1071" s="144">
        <v>12</v>
      </c>
      <c r="G1071" s="144" t="s">
        <v>232</v>
      </c>
      <c r="H1071" s="256">
        <f t="shared" si="89"/>
        <v>0</v>
      </c>
    </row>
    <row r="1072" spans="1:8" x14ac:dyDescent="0.3">
      <c r="A1072" s="128" t="s">
        <v>186</v>
      </c>
      <c r="B1072" s="129" t="s">
        <v>258</v>
      </c>
      <c r="C1072" s="129" t="s">
        <v>189</v>
      </c>
      <c r="D1072" s="129" t="str">
        <f t="shared" si="91"/>
        <v>Комплекс коммерческий ПредприятиеЭКСПЕРТОПТИМАЛЬНЫЙ12</v>
      </c>
      <c r="E1072" s="145">
        <v>0.1</v>
      </c>
      <c r="F1072" s="144">
        <v>12</v>
      </c>
      <c r="G1072" s="144" t="s">
        <v>232</v>
      </c>
      <c r="H1072" s="256">
        <f t="shared" si="89"/>
        <v>0</v>
      </c>
    </row>
    <row r="1073" spans="1:8" x14ac:dyDescent="0.3">
      <c r="A1073" s="128" t="s">
        <v>186</v>
      </c>
      <c r="B1073" s="129" t="s">
        <v>257</v>
      </c>
      <c r="C1073" s="129" t="s">
        <v>189</v>
      </c>
      <c r="D1073" s="129" t="str">
        <f t="shared" si="91"/>
        <v>Комплекс коммерческий Главный Бухгалтер ПРОФЭКСПЕРТОПТИМАЛЬНЫЙ12</v>
      </c>
      <c r="E1073" s="145">
        <v>0.1</v>
      </c>
      <c r="F1073" s="144">
        <v>12</v>
      </c>
      <c r="G1073" s="144" t="s">
        <v>232</v>
      </c>
      <c r="H1073" s="256">
        <f t="shared" si="89"/>
        <v>0</v>
      </c>
    </row>
    <row r="1074" spans="1:8" x14ac:dyDescent="0.3">
      <c r="A1074" s="128" t="s">
        <v>186</v>
      </c>
      <c r="B1074" s="129" t="s">
        <v>260</v>
      </c>
      <c r="C1074" s="129" t="s">
        <v>189</v>
      </c>
      <c r="D1074" s="129" t="str">
        <f t="shared" si="91"/>
        <v>Комплекс коммерческий VIP ПредприятиеЭКСПЕРТОПТИМАЛЬНЫЙ12</v>
      </c>
      <c r="E1074" s="145">
        <v>0.1</v>
      </c>
      <c r="F1074" s="144">
        <v>12</v>
      </c>
      <c r="G1074" s="144" t="s">
        <v>232</v>
      </c>
      <c r="H1074" s="256">
        <f t="shared" si="89"/>
        <v>0</v>
      </c>
    </row>
    <row r="1075" spans="1:8" x14ac:dyDescent="0.3">
      <c r="A1075" s="128" t="s">
        <v>186</v>
      </c>
      <c r="B1075" s="129" t="s">
        <v>259</v>
      </c>
      <c r="C1075" s="129" t="s">
        <v>190</v>
      </c>
      <c r="D1075" s="129" t="str">
        <f t="shared" si="91"/>
        <v>Комплекс коммерческий Предприятие ПРОФЭКСПЕРТМИНИМАЛЬНЫЙ12</v>
      </c>
      <c r="E1075" s="145">
        <v>0.1</v>
      </c>
      <c r="F1075" s="144">
        <v>12</v>
      </c>
      <c r="G1075" s="144" t="s">
        <v>232</v>
      </c>
      <c r="H1075" s="256">
        <f t="shared" si="89"/>
        <v>0</v>
      </c>
    </row>
    <row r="1076" spans="1:8" x14ac:dyDescent="0.3">
      <c r="A1076" s="128" t="s">
        <v>186</v>
      </c>
      <c r="B1076" s="129" t="s">
        <v>258</v>
      </c>
      <c r="C1076" s="129" t="s">
        <v>190</v>
      </c>
      <c r="D1076" s="129" t="str">
        <f t="shared" si="91"/>
        <v>Комплекс коммерческий ПредприятиеЭКСПЕРТМИНИМАЛЬНЫЙ12</v>
      </c>
      <c r="E1076" s="145">
        <v>0.1</v>
      </c>
      <c r="F1076" s="144">
        <v>12</v>
      </c>
      <c r="G1076" s="144" t="s">
        <v>232</v>
      </c>
      <c r="H1076" s="256">
        <f t="shared" si="89"/>
        <v>0</v>
      </c>
    </row>
    <row r="1077" spans="1:8" x14ac:dyDescent="0.3">
      <c r="A1077" s="128" t="s">
        <v>186</v>
      </c>
      <c r="B1077" s="129" t="s">
        <v>257</v>
      </c>
      <c r="C1077" s="129" t="s">
        <v>192</v>
      </c>
      <c r="D1077" s="129" t="str">
        <f t="shared" si="91"/>
        <v>Комплекс коммерческий Главный Бухгалтер ПРОФЭКСПЕРТБАЗОВЫЙ12</v>
      </c>
      <c r="E1077" s="145">
        <v>0.1</v>
      </c>
      <c r="F1077" s="144">
        <v>12</v>
      </c>
      <c r="G1077" s="144" t="s">
        <v>232</v>
      </c>
      <c r="H1077" s="256">
        <f t="shared" si="89"/>
        <v>0</v>
      </c>
    </row>
    <row r="1078" spans="1:8" x14ac:dyDescent="0.3">
      <c r="A1078" s="128" t="s">
        <v>186</v>
      </c>
      <c r="B1078" s="129" t="s">
        <v>260</v>
      </c>
      <c r="C1078" s="129" t="s">
        <v>190</v>
      </c>
      <c r="D1078" s="129" t="str">
        <f t="shared" si="91"/>
        <v>Комплекс коммерческий VIP ПредприятиеЭКСПЕРТМИНИМАЛЬНЫЙ12</v>
      </c>
      <c r="E1078" s="145">
        <v>0.1</v>
      </c>
      <c r="F1078" s="144">
        <v>12</v>
      </c>
      <c r="G1078" s="144" t="s">
        <v>232</v>
      </c>
      <c r="H1078" s="256">
        <f t="shared" si="89"/>
        <v>0</v>
      </c>
    </row>
    <row r="1079" spans="1:8" x14ac:dyDescent="0.3">
      <c r="A1079" s="128" t="s">
        <v>186</v>
      </c>
      <c r="B1079" s="129" t="s">
        <v>259</v>
      </c>
      <c r="C1079" s="129" t="s">
        <v>191</v>
      </c>
      <c r="D1079" s="129" t="str">
        <f t="shared" si="91"/>
        <v>Комплекс коммерческий Предприятие ПРОФОПТИМАЛЬНЫЙМИНИМАЛЬНЫЙ12</v>
      </c>
      <c r="E1079" s="145">
        <v>0.1</v>
      </c>
      <c r="F1079" s="144">
        <v>12</v>
      </c>
      <c r="G1079" s="144" t="s">
        <v>232</v>
      </c>
      <c r="H1079" s="256">
        <f t="shared" ref="H1079:H1086" si="92">$B$43</f>
        <v>0</v>
      </c>
    </row>
    <row r="1080" spans="1:8" x14ac:dyDescent="0.3">
      <c r="A1080" s="128" t="s">
        <v>186</v>
      </c>
      <c r="B1080" s="129" t="s">
        <v>258</v>
      </c>
      <c r="C1080" s="129" t="s">
        <v>191</v>
      </c>
      <c r="D1080" s="129" t="str">
        <f t="shared" si="91"/>
        <v>Комплекс коммерческий ПредприятиеОПТИМАЛЬНЫЙМИНИМАЛЬНЫЙ12</v>
      </c>
      <c r="E1080" s="145">
        <v>0.1</v>
      </c>
      <c r="F1080" s="144">
        <v>12</v>
      </c>
      <c r="G1080" s="144" t="s">
        <v>232</v>
      </c>
      <c r="H1080" s="256">
        <f t="shared" si="92"/>
        <v>0</v>
      </c>
    </row>
    <row r="1081" spans="1:8" x14ac:dyDescent="0.3">
      <c r="A1081" s="128" t="s">
        <v>186</v>
      </c>
      <c r="B1081" s="129" t="s">
        <v>257</v>
      </c>
      <c r="C1081" s="129" t="s">
        <v>234</v>
      </c>
      <c r="D1081" s="129" t="str">
        <f t="shared" si="91"/>
        <v>Комплекс коммерческий Главный Бухгалтер ПРОФОПТИМАЛЬНЫЙБАЗОВЫЙ12</v>
      </c>
      <c r="E1081" s="145">
        <v>0.1</v>
      </c>
      <c r="F1081" s="144">
        <v>12</v>
      </c>
      <c r="G1081" s="144" t="s">
        <v>232</v>
      </c>
      <c r="H1081" s="256">
        <f t="shared" si="92"/>
        <v>0</v>
      </c>
    </row>
    <row r="1082" spans="1:8" x14ac:dyDescent="0.3">
      <c r="A1082" s="128" t="s">
        <v>186</v>
      </c>
      <c r="B1082" s="129" t="s">
        <v>260</v>
      </c>
      <c r="C1082" s="129" t="s">
        <v>191</v>
      </c>
      <c r="D1082" s="129" t="str">
        <f t="shared" si="91"/>
        <v>Комплекс коммерческий VIP ПредприятиеОПТИМАЛЬНЫЙМИНИМАЛЬНЫЙ12</v>
      </c>
      <c r="E1082" s="145">
        <v>0.1</v>
      </c>
      <c r="F1082" s="144">
        <v>12</v>
      </c>
      <c r="G1082" s="144" t="s">
        <v>232</v>
      </c>
      <c r="H1082" s="256">
        <f t="shared" si="92"/>
        <v>0</v>
      </c>
    </row>
    <row r="1083" spans="1:8" x14ac:dyDescent="0.3">
      <c r="A1083" s="128" t="s">
        <v>186</v>
      </c>
      <c r="B1083" s="129" t="s">
        <v>259</v>
      </c>
      <c r="C1083" s="129" t="s">
        <v>194</v>
      </c>
      <c r="D1083" s="129" t="str">
        <f t="shared" si="91"/>
        <v>Комплекс коммерческий Предприятие ПРОФЭКСПЕРТОПТИМАЛЬНЫЙМИНИМАЛЬНЫЙ12</v>
      </c>
      <c r="E1083" s="151">
        <v>0.1</v>
      </c>
      <c r="F1083" s="152">
        <v>12</v>
      </c>
      <c r="G1083" s="152" t="s">
        <v>232</v>
      </c>
      <c r="H1083" s="256">
        <f t="shared" si="92"/>
        <v>0</v>
      </c>
    </row>
    <row r="1084" spans="1:8" x14ac:dyDescent="0.3">
      <c r="A1084" s="128" t="s">
        <v>186</v>
      </c>
      <c r="B1084" s="129" t="s">
        <v>258</v>
      </c>
      <c r="C1084" s="129" t="s">
        <v>194</v>
      </c>
      <c r="D1084" s="129" t="str">
        <f t="shared" si="91"/>
        <v>Комплекс коммерческий ПредприятиеЭКСПЕРТОПТИМАЛЬНЫЙМИНИМАЛЬНЫЙ12</v>
      </c>
      <c r="E1084" s="151">
        <v>0.1</v>
      </c>
      <c r="F1084" s="152">
        <v>12</v>
      </c>
      <c r="G1084" s="152" t="s">
        <v>232</v>
      </c>
      <c r="H1084" s="256">
        <f t="shared" si="92"/>
        <v>0</v>
      </c>
    </row>
    <row r="1085" spans="1:8" x14ac:dyDescent="0.3">
      <c r="A1085" s="128" t="s">
        <v>186</v>
      </c>
      <c r="B1085" s="129" t="s">
        <v>257</v>
      </c>
      <c r="C1085" s="129" t="s">
        <v>195</v>
      </c>
      <c r="D1085" s="129" t="str">
        <f t="shared" si="91"/>
        <v>Комплекс коммерческий Главный Бухгалтер ПРОФЭКСПЕРТОПТИМАЛЬНЫЙБАЗОВЫЙ12</v>
      </c>
      <c r="E1085" s="151">
        <v>0.1</v>
      </c>
      <c r="F1085" s="152">
        <v>12</v>
      </c>
      <c r="G1085" s="152" t="s">
        <v>232</v>
      </c>
      <c r="H1085" s="256">
        <f t="shared" si="92"/>
        <v>0</v>
      </c>
    </row>
    <row r="1086" spans="1:8" x14ac:dyDescent="0.3">
      <c r="A1086" s="131" t="s">
        <v>186</v>
      </c>
      <c r="B1086" s="132" t="s">
        <v>260</v>
      </c>
      <c r="C1086" s="132" t="s">
        <v>194</v>
      </c>
      <c r="D1086" s="129" t="str">
        <f t="shared" si="91"/>
        <v>Комплекс коммерческий VIP ПредприятиеЭКСПЕРТОПТИМАЛЬНЫЙМИНИМАЛЬНЫЙ12</v>
      </c>
      <c r="E1086" s="153">
        <v>0.1</v>
      </c>
      <c r="F1086" s="154">
        <v>12</v>
      </c>
      <c r="G1086" s="152" t="s">
        <v>232</v>
      </c>
      <c r="H1086" s="256">
        <f t="shared" si="92"/>
        <v>0</v>
      </c>
    </row>
  </sheetData>
  <autoFilter ref="A50:H1086" xr:uid="{B7FB226E-76DE-4F4C-996C-1A4C8C85A138}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39B98-A9F6-48AF-AD3A-B47F771788F6}">
  <sheetPr codeName="Лист7">
    <tabColor theme="0" tint="-0.34998626667073579"/>
  </sheetPr>
  <dimension ref="A1:BM93"/>
  <sheetViews>
    <sheetView zoomScale="85" zoomScaleNormal="85" workbookViewId="0">
      <pane xSplit="3" ySplit="3" topLeftCell="D4" activePane="bottomRight" state="frozen"/>
      <selection activeCell="F2" sqref="F2:H2"/>
      <selection pane="topRight" activeCell="F2" sqref="F2:H2"/>
      <selection pane="bottomLeft" activeCell="F2" sqref="F2:H2"/>
      <selection pane="bottomRight" activeCell="G6" sqref="G6"/>
    </sheetView>
  </sheetViews>
  <sheetFormatPr defaultRowHeight="13.8" x14ac:dyDescent="0.3"/>
  <cols>
    <col min="1" max="1" width="7.33203125" customWidth="1"/>
    <col min="2" max="2" width="39.88671875" customWidth="1"/>
    <col min="3" max="3" width="3.44140625" customWidth="1"/>
    <col min="4" max="4" width="2.6640625" style="189" customWidth="1"/>
    <col min="5" max="9" width="3.44140625" customWidth="1"/>
    <col min="10" max="10" width="2.6640625" style="189" customWidth="1"/>
    <col min="11" max="15" width="3.44140625" customWidth="1"/>
    <col min="16" max="16" width="2.6640625" style="189" customWidth="1"/>
    <col min="17" max="21" width="3.44140625" customWidth="1"/>
    <col min="22" max="22" width="2.6640625" style="189" customWidth="1"/>
    <col min="23" max="27" width="3.44140625" customWidth="1"/>
    <col min="28" max="28" width="2.6640625" style="189" customWidth="1"/>
    <col min="29" max="30" width="5.6640625" customWidth="1"/>
    <col min="31" max="31" width="3.44140625" customWidth="1"/>
    <col min="32" max="32" width="5.6640625" customWidth="1"/>
    <col min="33" max="33" width="2.6640625" style="189" customWidth="1"/>
    <col min="34" max="35" width="5.6640625" customWidth="1"/>
    <col min="36" max="36" width="3.44140625" customWidth="1"/>
    <col min="37" max="37" width="5.6640625" customWidth="1"/>
    <col min="38" max="38" width="2.6640625" style="189" customWidth="1"/>
    <col min="39" max="40" width="5.6640625" customWidth="1"/>
    <col min="41" max="41" width="3.44140625" customWidth="1"/>
    <col min="42" max="42" width="2.6640625" style="189" customWidth="1"/>
    <col min="43" max="43" width="5.6640625" customWidth="1"/>
    <col min="44" max="44" width="2.6640625" style="189" customWidth="1"/>
    <col min="45" max="46" width="6" bestFit="1" customWidth="1"/>
    <col min="47" max="47" width="3.44140625" bestFit="1" customWidth="1"/>
    <col min="48" max="48" width="6" bestFit="1" customWidth="1"/>
    <col min="49" max="49" width="2.6640625" style="189" customWidth="1"/>
    <col min="50" max="51" width="6" bestFit="1" customWidth="1"/>
    <col min="52" max="52" width="3.44140625" bestFit="1" customWidth="1"/>
    <col min="53" max="53" width="6" bestFit="1" customWidth="1"/>
    <col min="54" max="54" width="2.6640625" style="189" customWidth="1"/>
    <col min="55" max="56" width="6" bestFit="1" customWidth="1"/>
    <col min="57" max="57" width="3.44140625" bestFit="1" customWidth="1"/>
    <col min="58" max="58" width="6" bestFit="1" customWidth="1"/>
    <col min="59" max="59" width="2.6640625" style="189" customWidth="1"/>
    <col min="60" max="61" width="6" bestFit="1" customWidth="1"/>
    <col min="62" max="62" width="3.44140625" bestFit="1" customWidth="1"/>
    <col min="63" max="63" width="6" bestFit="1" customWidth="1"/>
    <col min="64" max="64" width="2.6640625" style="189" customWidth="1"/>
    <col min="65" max="65" width="3.44140625" customWidth="1"/>
  </cols>
  <sheetData>
    <row r="1" spans="1:65" x14ac:dyDescent="0.3">
      <c r="E1" t="str">
        <f>($E$2&amp;E3)</f>
        <v>ЭКСПЕРТVIP Предприятие</v>
      </c>
      <c r="F1" t="str">
        <f>($E$2&amp;F3)</f>
        <v>ЭКСПЕРТПредприятие Проф</v>
      </c>
      <c r="G1" t="str">
        <f>($E$2&amp;G3)</f>
        <v>ЭКСПЕРТПредприятие</v>
      </c>
      <c r="H1" t="str">
        <f>($E$2&amp;H3)</f>
        <v>ЭКСПЕРТГлавный бухгалтер ПРОФ</v>
      </c>
      <c r="I1" t="str">
        <f>($E$2&amp;I3)</f>
        <v>ЭКСПЕРТГлавный бухгалтер</v>
      </c>
      <c r="K1" t="str">
        <f>($K$2&amp;K3)</f>
        <v>ОПТИМАЛЬНЫЙVIP Предприятие</v>
      </c>
      <c r="L1" t="str">
        <f>($K$2&amp;L3)</f>
        <v>ОПТИМАЛЬНЫЙПредприятие Проф</v>
      </c>
      <c r="M1" t="str">
        <f>($K$2&amp;M3)</f>
        <v>ОПТИМАЛЬНЫЙПредприятие</v>
      </c>
      <c r="N1" t="str">
        <f>($K$2&amp;N3)</f>
        <v>ОПТИМАЛЬНЫЙГлавный бухгалтер ПРОФ</v>
      </c>
      <c r="O1" t="str">
        <f>($K$2&amp;O3)</f>
        <v>ОПТИМАЛЬНЫЙГлавный бухгалтер</v>
      </c>
      <c r="Q1" t="str">
        <f>($Q$2&amp;Q3)</f>
        <v>МИНИМАЛЬНЫЙVIP Предприятие</v>
      </c>
      <c r="R1" t="str">
        <f>($Q$2&amp;R3)</f>
        <v>МИНИМАЛЬНЫЙПредприятие Проф</v>
      </c>
      <c r="S1" t="str">
        <f>($Q$2&amp;S3)</f>
        <v>МИНИМАЛЬНЫЙПредприятие</v>
      </c>
      <c r="T1" t="str">
        <f>($Q$2&amp;T3)</f>
        <v>МИНИМАЛЬНЫЙГлавный бухгалтер ПРОФ</v>
      </c>
      <c r="U1" t="str">
        <f>($Q$2&amp;U3)</f>
        <v>МИНИМАЛЬНЫЙГлавный бухгалтер</v>
      </c>
      <c r="W1" t="str">
        <f>($W$2&amp;W3)</f>
        <v>БАЗОВЫЙVIP Предприятие</v>
      </c>
      <c r="X1" t="str">
        <f>($W$2&amp;X3)</f>
        <v>БАЗОВЫЙПредприятие Проф</v>
      </c>
      <c r="Y1" t="str">
        <f>($W$2&amp;Y3)</f>
        <v>БАЗОВЫЙПредприятие</v>
      </c>
      <c r="Z1" t="str">
        <f>($W$2&amp;Z3)</f>
        <v>БАЗОВЫЙГлавный бухгалтер ПРОФ</v>
      </c>
      <c r="AA1" t="str">
        <f>($W$2&amp;AA3)</f>
        <v>БАЗОВЫЙГлавный бухгалтер</v>
      </c>
      <c r="AC1" t="str">
        <f>($AC$2&amp;AC3)</f>
        <v>ЭКСПЕРТКомплекс коммерческий VIP Предприятие</v>
      </c>
      <c r="AD1" t="str">
        <f>($AC$2&amp;AD3)</f>
        <v>ЭКСПЕРТКомплекс коммерческий Предприятие ПРОФ</v>
      </c>
      <c r="AE1" t="str">
        <f>($AC$2&amp;AE3)</f>
        <v>ЭКСПЕРТКомплекс коммерческий Предприятие</v>
      </c>
      <c r="AF1" t="str">
        <f>($AC$2&amp;AF3)</f>
        <v>ЭКСПЕРТКомплекс коммерческий Главный Бухгалтер ПРОФ</v>
      </c>
      <c r="AH1" t="str">
        <f>($AH$2&amp;AH3)</f>
        <v>ОПТИМАЛЬНЫЙКомплекс коммерческий VIP Предприятие</v>
      </c>
      <c r="AI1" t="str">
        <f>($AH$2&amp;AI3)</f>
        <v>ОПТИМАЛЬНЫЙКомплекс коммерческий Предприятие ПРОФ</v>
      </c>
      <c r="AJ1" t="str">
        <f>($AH$2&amp;AJ3)</f>
        <v>ОПТИМАЛЬНЫЙКомплекс коммерческий Предприятие</v>
      </c>
      <c r="AK1" t="str">
        <f>($AH$2&amp;AK3)</f>
        <v>ОПТИМАЛЬНЫЙКомплекс коммерческий Главный Бухгалтер ПРОФ</v>
      </c>
      <c r="AM1" t="str">
        <f>($AM$2&amp;AM3)</f>
        <v>МИНИМАЛЬНЫЙКомплекс коммерческий VIP Предприятие</v>
      </c>
      <c r="AN1" t="str">
        <f>($AM$2&amp;AN3)</f>
        <v>МИНИМАЛЬНЫЙКомплекс коммерческий Предприятие ПРОФ</v>
      </c>
      <c r="AO1" t="str">
        <f>($AM$2&amp;AO3)</f>
        <v>МИНИМАЛЬНЫЙКомплекс коммерческий Предприятие</v>
      </c>
      <c r="AQ1" t="str">
        <f>($AQ$2&amp;AQ3)</f>
        <v>БАЗОВЫЙКомплекс коммерческий Главный Бухгалтер ПРОФ</v>
      </c>
      <c r="AS1" s="147" t="str">
        <f>($AS$2&amp;AS3)</f>
        <v>ЭКСПЕРТГлавный Бухгалтер ПРОФ (ИПС ilex, podpis.by)</v>
      </c>
      <c r="AT1" s="147" t="str">
        <f t="shared" ref="AT1:AV1" si="0">($AS$2&amp;AT3)</f>
        <v>ЭКСПЕРТГлавный Бухгалтер ПРОФ (ИПС ilex, podpis.by, ilex.Накладные)</v>
      </c>
      <c r="AU1" s="147" t="str">
        <f t="shared" si="0"/>
        <v>ЭКСПЕРТГлавный Бухгалтер (ИПС ilex, podpis.by)</v>
      </c>
      <c r="AV1" s="147" t="str">
        <f t="shared" si="0"/>
        <v>ЭКСПЕРТГлавный Бухгалтер (ИПС ilex, podpis.by, ilex.Накладные)</v>
      </c>
      <c r="AX1" s="147" t="str">
        <f>($AX$2&amp;AX3)</f>
        <v>ОПТИМАЛЬНЫЙГлавный Бухгалтер ПРОФ (ИПС ilex, podpis.by)</v>
      </c>
      <c r="AY1" s="147" t="str">
        <f t="shared" ref="AY1:BA1" si="1">($AX$2&amp;AY3)</f>
        <v>ОПТИМАЛЬНЫЙГлавный Бухгалтер ПРОФ (ИПС ilex, podpis.by, ilex.Накладные)</v>
      </c>
      <c r="AZ1" s="147" t="str">
        <f t="shared" si="1"/>
        <v>ОПТИМАЛЬНЫЙГлавный Бухгалтер (ИПС ilex, podpis.by)</v>
      </c>
      <c r="BA1" s="147" t="str">
        <f t="shared" si="1"/>
        <v>ОПТИМАЛЬНЫЙГлавный Бухгалтер (ИПС ilex, podpis.by, ilex.Накладные)</v>
      </c>
      <c r="BC1" s="147" t="str">
        <f>($BC$2&amp;BC3)</f>
        <v>ОПТИМАЛЬНЫЙ ПЛЮСГлавный Бухгалтер ПРОФ (ИПС ilex, podpis.by)</v>
      </c>
      <c r="BD1" s="147" t="str">
        <f t="shared" ref="BD1:BF1" si="2">($BC$2&amp;BD3)</f>
        <v>ОПТИМАЛЬНЫЙ ПЛЮСГлавный Бухгалтер ПРОФ (ИПС ilex, podpis.by, ilex.Накладные)</v>
      </c>
      <c r="BE1" s="147" t="str">
        <f t="shared" si="2"/>
        <v>ОПТИМАЛЬНЫЙ ПЛЮСГлавный Бухгалтер (ИПС ilex, podpis.by)</v>
      </c>
      <c r="BF1" s="147" t="str">
        <f t="shared" si="2"/>
        <v>ОПТИМАЛЬНЫЙ ПЛЮСГлавный Бухгалтер (ИПС ilex, podpis.by, ilex.Накладные)</v>
      </c>
      <c r="BH1" s="147" t="str">
        <f>($BH$2&amp;BH3)</f>
        <v>БАЗОВЫЙГлавный Бухгалтер ПРОФ (ИПС ilex, podpis.by)</v>
      </c>
      <c r="BI1" s="147" t="str">
        <f t="shared" ref="BI1:BK1" si="3">($BH$2&amp;BI3)</f>
        <v>БАЗОВЫЙГлавный Бухгалтер ПРОФ (ИПС ilex, podpis.by, ilex.Накладные)</v>
      </c>
      <c r="BJ1" s="147" t="str">
        <f t="shared" si="3"/>
        <v>БАЗОВЫЙГлавный Бухгалтер (ИПС ilex, podpis.by)</v>
      </c>
      <c r="BK1" s="147" t="str">
        <f t="shared" si="3"/>
        <v>БАЗОВЫЙГлавный Бухгалтер (ИПС ilex, podpis.by, ilex.Накладные)</v>
      </c>
    </row>
    <row r="2" spans="1:65" x14ac:dyDescent="0.3">
      <c r="E2" s="368" t="s">
        <v>20</v>
      </c>
      <c r="F2" s="368"/>
      <c r="G2" s="368"/>
      <c r="H2" s="368"/>
      <c r="I2" s="368"/>
      <c r="K2" s="368" t="s">
        <v>21</v>
      </c>
      <c r="L2" s="368"/>
      <c r="M2" s="368"/>
      <c r="N2" s="368"/>
      <c r="O2" s="368"/>
      <c r="Q2" s="365" t="s">
        <v>22</v>
      </c>
      <c r="R2" s="365"/>
      <c r="S2" s="365"/>
      <c r="T2" s="365"/>
      <c r="U2" s="365"/>
      <c r="W2" s="365" t="s">
        <v>23</v>
      </c>
      <c r="X2" s="365"/>
      <c r="Y2" s="365"/>
      <c r="Z2" s="365"/>
      <c r="AA2" s="365"/>
      <c r="AC2" s="368" t="s">
        <v>20</v>
      </c>
      <c r="AD2" s="368"/>
      <c r="AE2" s="368"/>
      <c r="AF2" s="368"/>
      <c r="AH2" s="368" t="s">
        <v>21</v>
      </c>
      <c r="AI2" s="368"/>
      <c r="AJ2" s="368"/>
      <c r="AK2" s="368"/>
      <c r="AM2" s="365" t="s">
        <v>22</v>
      </c>
      <c r="AN2" s="365"/>
      <c r="AO2" s="365"/>
      <c r="AQ2" s="187" t="s">
        <v>23</v>
      </c>
      <c r="AS2" s="365" t="s">
        <v>20</v>
      </c>
      <c r="AT2" s="365"/>
      <c r="AU2" s="365"/>
      <c r="AV2" s="365"/>
      <c r="AX2" s="365" t="s">
        <v>21</v>
      </c>
      <c r="AY2" s="365"/>
      <c r="AZ2" s="365"/>
      <c r="BA2" s="365"/>
      <c r="BB2" s="190"/>
      <c r="BC2" s="365" t="s">
        <v>188</v>
      </c>
      <c r="BD2" s="365"/>
      <c r="BE2" s="365"/>
      <c r="BF2" s="365"/>
      <c r="BH2" s="365" t="s">
        <v>23</v>
      </c>
      <c r="BI2" s="365"/>
      <c r="BJ2" s="365"/>
      <c r="BK2" s="365"/>
    </row>
    <row r="3" spans="1:65" ht="177.6" customHeight="1" x14ac:dyDescent="0.3">
      <c r="B3" s="207" t="s">
        <v>272</v>
      </c>
      <c r="E3" s="176" t="s">
        <v>11</v>
      </c>
      <c r="F3" s="176" t="s">
        <v>24</v>
      </c>
      <c r="G3" s="176" t="s">
        <v>4</v>
      </c>
      <c r="H3" s="176" t="s">
        <v>26</v>
      </c>
      <c r="I3" s="176" t="s">
        <v>25</v>
      </c>
      <c r="K3" s="176" t="s">
        <v>11</v>
      </c>
      <c r="L3" s="176" t="s">
        <v>24</v>
      </c>
      <c r="M3" s="176" t="s">
        <v>4</v>
      </c>
      <c r="N3" s="176" t="s">
        <v>26</v>
      </c>
      <c r="O3" s="176" t="s">
        <v>25</v>
      </c>
      <c r="Q3" s="176" t="s">
        <v>11</v>
      </c>
      <c r="R3" s="176" t="s">
        <v>24</v>
      </c>
      <c r="S3" s="176" t="s">
        <v>4</v>
      </c>
      <c r="T3" s="176" t="s">
        <v>26</v>
      </c>
      <c r="U3" s="176" t="s">
        <v>25</v>
      </c>
      <c r="W3" s="176" t="s">
        <v>11</v>
      </c>
      <c r="X3" s="176" t="s">
        <v>24</v>
      </c>
      <c r="Y3" s="176" t="s">
        <v>4</v>
      </c>
      <c r="Z3" s="176" t="s">
        <v>26</v>
      </c>
      <c r="AA3" s="176" t="s">
        <v>25</v>
      </c>
      <c r="AC3" s="198" t="s">
        <v>260</v>
      </c>
      <c r="AD3" s="198" t="s">
        <v>259</v>
      </c>
      <c r="AE3" s="198" t="s">
        <v>258</v>
      </c>
      <c r="AF3" s="198" t="s">
        <v>257</v>
      </c>
      <c r="AH3" s="198" t="s">
        <v>260</v>
      </c>
      <c r="AI3" s="198" t="s">
        <v>259</v>
      </c>
      <c r="AJ3" s="198" t="s">
        <v>258</v>
      </c>
      <c r="AK3" s="198" t="s">
        <v>257</v>
      </c>
      <c r="AM3" s="198" t="s">
        <v>260</v>
      </c>
      <c r="AN3" s="198" t="s">
        <v>259</v>
      </c>
      <c r="AO3" s="198" t="s">
        <v>258</v>
      </c>
      <c r="AQ3" s="198" t="s">
        <v>257</v>
      </c>
      <c r="AS3" s="198" t="s">
        <v>321</v>
      </c>
      <c r="AT3" s="198" t="s">
        <v>322</v>
      </c>
      <c r="AU3" s="198" t="s">
        <v>319</v>
      </c>
      <c r="AV3" s="198" t="s">
        <v>320</v>
      </c>
      <c r="AX3" s="198" t="s">
        <v>321</v>
      </c>
      <c r="AY3" s="198" t="s">
        <v>322</v>
      </c>
      <c r="AZ3" s="198" t="s">
        <v>319</v>
      </c>
      <c r="BA3" s="198" t="s">
        <v>320</v>
      </c>
      <c r="BB3" s="191"/>
      <c r="BC3" s="198" t="s">
        <v>321</v>
      </c>
      <c r="BD3" s="198" t="s">
        <v>322</v>
      </c>
      <c r="BE3" s="198" t="s">
        <v>319</v>
      </c>
      <c r="BF3" s="198" t="s">
        <v>320</v>
      </c>
      <c r="BH3" s="198" t="s">
        <v>321</v>
      </c>
      <c r="BI3" s="198" t="s">
        <v>322</v>
      </c>
      <c r="BJ3" s="198" t="s">
        <v>319</v>
      </c>
      <c r="BK3" s="198" t="s">
        <v>320</v>
      </c>
    </row>
    <row r="4" spans="1:65" x14ac:dyDescent="0.3">
      <c r="A4" s="366" t="s">
        <v>27</v>
      </c>
      <c r="B4" s="181" t="s">
        <v>310</v>
      </c>
      <c r="C4" s="135">
        <v>2</v>
      </c>
      <c r="D4" s="192"/>
      <c r="E4" s="214" t="s">
        <v>298</v>
      </c>
      <c r="F4" s="214" t="s">
        <v>298</v>
      </c>
      <c r="G4" s="214" t="s">
        <v>298</v>
      </c>
      <c r="H4" s="214" t="s">
        <v>298</v>
      </c>
      <c r="I4" s="214" t="s">
        <v>298</v>
      </c>
      <c r="J4" s="192"/>
      <c r="K4" s="214" t="s">
        <v>298</v>
      </c>
      <c r="L4" s="214" t="s">
        <v>298</v>
      </c>
      <c r="M4" s="214" t="s">
        <v>298</v>
      </c>
      <c r="N4" s="214" t="s">
        <v>298</v>
      </c>
      <c r="O4" s="214" t="s">
        <v>298</v>
      </c>
      <c r="P4" s="192"/>
      <c r="Q4" s="214" t="s">
        <v>298</v>
      </c>
      <c r="R4" s="214" t="s">
        <v>298</v>
      </c>
      <c r="S4" s="214" t="s">
        <v>298</v>
      </c>
      <c r="T4" s="214" t="s">
        <v>298</v>
      </c>
      <c r="U4" s="214" t="s">
        <v>298</v>
      </c>
      <c r="V4" s="192"/>
      <c r="W4" s="212" t="str">
        <f>Q4</f>
        <v xml:space="preserve"> +</v>
      </c>
      <c r="X4" s="212" t="str">
        <f t="shared" ref="X4:AA5" si="4">R4</f>
        <v xml:space="preserve"> +</v>
      </c>
      <c r="Y4" s="212" t="str">
        <f t="shared" si="4"/>
        <v xml:space="preserve"> +</v>
      </c>
      <c r="Z4" s="212" t="str">
        <f>T4</f>
        <v xml:space="preserve"> +</v>
      </c>
      <c r="AA4" s="212" t="str">
        <f t="shared" si="4"/>
        <v xml:space="preserve"> +</v>
      </c>
      <c r="AB4" s="192"/>
      <c r="AC4" s="197" t="str">
        <f t="shared" ref="AC4:AC36" si="5">E4</f>
        <v xml:space="preserve"> +</v>
      </c>
      <c r="AD4" s="197" t="str">
        <f t="shared" ref="AD4:AD36" si="6">F4</f>
        <v xml:space="preserve"> +</v>
      </c>
      <c r="AE4" s="197" t="str">
        <f t="shared" ref="AE4:AE36" si="7">G4</f>
        <v xml:space="preserve"> +</v>
      </c>
      <c r="AF4" s="197" t="str">
        <f t="shared" ref="AF4:AF36" si="8">H4</f>
        <v xml:space="preserve"> +</v>
      </c>
      <c r="AG4" s="192"/>
      <c r="AH4" s="197" t="str">
        <f t="shared" ref="AH4:AH36" si="9">K4</f>
        <v xml:space="preserve"> +</v>
      </c>
      <c r="AI4" s="197" t="str">
        <f t="shared" ref="AI4:AI36" si="10">L4</f>
        <v xml:space="preserve"> +</v>
      </c>
      <c r="AJ4" s="197" t="str">
        <f t="shared" ref="AJ4:AJ36" si="11">M4</f>
        <v xml:space="preserve"> +</v>
      </c>
      <c r="AK4" s="197" t="str">
        <f t="shared" ref="AK4:AK36" si="12">N4</f>
        <v xml:space="preserve"> +</v>
      </c>
      <c r="AL4" s="192"/>
      <c r="AM4" s="197" t="str">
        <f t="shared" ref="AM4:AO6" si="13">Q4</f>
        <v xml:space="preserve"> +</v>
      </c>
      <c r="AN4" s="197" t="str">
        <f t="shared" si="13"/>
        <v xml:space="preserve"> +</v>
      </c>
      <c r="AO4" s="197" t="str">
        <f t="shared" si="13"/>
        <v xml:space="preserve"> +</v>
      </c>
      <c r="AP4" s="192"/>
      <c r="AQ4" s="197" t="str">
        <f>Z4</f>
        <v xml:space="preserve"> +</v>
      </c>
      <c r="AR4" s="192"/>
      <c r="AS4" s="212" t="str">
        <f t="shared" ref="AS4:AS36" si="14">H4</f>
        <v xml:space="preserve"> +</v>
      </c>
      <c r="AT4" s="212" t="str">
        <f t="shared" ref="AT4:AT36" si="15">H4</f>
        <v xml:space="preserve"> +</v>
      </c>
      <c r="AU4" s="212" t="str">
        <f t="shared" ref="AU4:AU36" si="16">I4</f>
        <v xml:space="preserve"> +</v>
      </c>
      <c r="AV4" s="212" t="str">
        <f t="shared" ref="AV4:AV36" si="17">I4</f>
        <v xml:space="preserve"> +</v>
      </c>
      <c r="AW4" s="247"/>
      <c r="AX4" s="212" t="str">
        <f t="shared" ref="AX4:AX36" si="18">N4</f>
        <v xml:space="preserve"> +</v>
      </c>
      <c r="AY4" s="212" t="str">
        <f t="shared" ref="AY4:AY36" si="19">N4</f>
        <v xml:space="preserve"> +</v>
      </c>
      <c r="AZ4" s="212" t="str">
        <f t="shared" ref="AZ4:AZ36" si="20">O4</f>
        <v xml:space="preserve"> +</v>
      </c>
      <c r="BA4" s="212" t="str">
        <f t="shared" ref="BA4:BA36" si="21">O4</f>
        <v xml:space="preserve"> +</v>
      </c>
      <c r="BB4" s="247"/>
      <c r="BC4" s="247"/>
      <c r="BD4" s="247"/>
      <c r="BE4" s="247"/>
      <c r="BF4" s="247"/>
      <c r="BG4" s="247"/>
      <c r="BH4" s="212" t="str">
        <f>T4</f>
        <v xml:space="preserve"> +</v>
      </c>
      <c r="BI4" s="212" t="str">
        <f>T4</f>
        <v xml:space="preserve"> +</v>
      </c>
      <c r="BJ4" s="212" t="str">
        <f>U4</f>
        <v xml:space="preserve"> +</v>
      </c>
      <c r="BK4" s="212" t="str">
        <f>U4</f>
        <v xml:space="preserve"> +</v>
      </c>
      <c r="BL4" s="192"/>
      <c r="BM4" s="135">
        <v>4</v>
      </c>
    </row>
    <row r="5" spans="1:65" x14ac:dyDescent="0.3">
      <c r="A5" s="366"/>
      <c r="B5" s="181" t="s">
        <v>395</v>
      </c>
      <c r="C5" s="135">
        <v>3</v>
      </c>
      <c r="D5" s="192"/>
      <c r="E5" s="214" t="s">
        <v>298</v>
      </c>
      <c r="F5" s="214" t="s">
        <v>298</v>
      </c>
      <c r="G5" s="214" t="s">
        <v>55</v>
      </c>
      <c r="H5" s="214" t="s">
        <v>55</v>
      </c>
      <c r="I5" s="214" t="s">
        <v>55</v>
      </c>
      <c r="J5" s="192"/>
      <c r="K5" s="214" t="s">
        <v>55</v>
      </c>
      <c r="L5" s="214" t="s">
        <v>55</v>
      </c>
      <c r="M5" s="214" t="s">
        <v>55</v>
      </c>
      <c r="N5" s="214" t="s">
        <v>55</v>
      </c>
      <c r="O5" s="214" t="s">
        <v>55</v>
      </c>
      <c r="P5" s="192"/>
      <c r="Q5" s="214" t="s">
        <v>55</v>
      </c>
      <c r="R5" s="214" t="s">
        <v>55</v>
      </c>
      <c r="S5" s="214" t="s">
        <v>55</v>
      </c>
      <c r="T5" s="214" t="s">
        <v>55</v>
      </c>
      <c r="U5" s="214" t="s">
        <v>55</v>
      </c>
      <c r="V5" s="192"/>
      <c r="W5" s="212" t="str">
        <f>Q5</f>
        <v>-</v>
      </c>
      <c r="X5" s="212" t="str">
        <f t="shared" si="4"/>
        <v>-</v>
      </c>
      <c r="Y5" s="212" t="str">
        <f t="shared" si="4"/>
        <v>-</v>
      </c>
      <c r="Z5" s="212" t="str">
        <f t="shared" ref="Z5" si="22">T5</f>
        <v>-</v>
      </c>
      <c r="AA5" s="212" t="str">
        <f t="shared" si="4"/>
        <v>-</v>
      </c>
      <c r="AB5" s="192"/>
      <c r="AC5" s="197" t="str">
        <f t="shared" ref="AC5" si="23">E5</f>
        <v xml:space="preserve"> +</v>
      </c>
      <c r="AD5" s="197" t="str">
        <f t="shared" ref="AD5" si="24">F5</f>
        <v xml:space="preserve"> +</v>
      </c>
      <c r="AE5" s="197" t="str">
        <f t="shared" ref="AE5" si="25">G5</f>
        <v>-</v>
      </c>
      <c r="AF5" s="197" t="str">
        <f t="shared" ref="AF5" si="26">H5</f>
        <v>-</v>
      </c>
      <c r="AG5" s="192"/>
      <c r="AH5" s="197" t="str">
        <f t="shared" ref="AH5" si="27">K5</f>
        <v>-</v>
      </c>
      <c r="AI5" s="197" t="str">
        <f t="shared" ref="AI5" si="28">L5</f>
        <v>-</v>
      </c>
      <c r="AJ5" s="197" t="str">
        <f t="shared" ref="AJ5" si="29">M5</f>
        <v>-</v>
      </c>
      <c r="AK5" s="197" t="str">
        <f t="shared" ref="AK5" si="30">N5</f>
        <v>-</v>
      </c>
      <c r="AL5" s="192"/>
      <c r="AM5" s="197" t="str">
        <f t="shared" ref="AM5" si="31">Q5</f>
        <v>-</v>
      </c>
      <c r="AN5" s="197" t="str">
        <f t="shared" ref="AN5" si="32">R5</f>
        <v>-</v>
      </c>
      <c r="AO5" s="197" t="str">
        <f t="shared" ref="AO5" si="33">S5</f>
        <v>-</v>
      </c>
      <c r="AP5" s="192"/>
      <c r="AQ5" s="197" t="str">
        <f>Z5</f>
        <v>-</v>
      </c>
      <c r="AR5" s="192"/>
      <c r="AS5" s="212" t="str">
        <f t="shared" ref="AS5" si="34">H5</f>
        <v>-</v>
      </c>
      <c r="AT5" s="212" t="str">
        <f t="shared" ref="AT5" si="35">H5</f>
        <v>-</v>
      </c>
      <c r="AU5" s="212" t="str">
        <f t="shared" ref="AU5" si="36">I5</f>
        <v>-</v>
      </c>
      <c r="AV5" s="212" t="str">
        <f t="shared" ref="AV5" si="37">I5</f>
        <v>-</v>
      </c>
      <c r="AW5" s="247"/>
      <c r="AX5" s="212" t="str">
        <f t="shared" ref="AX5" si="38">N5</f>
        <v>-</v>
      </c>
      <c r="AY5" s="212" t="str">
        <f t="shared" ref="AY5" si="39">N5</f>
        <v>-</v>
      </c>
      <c r="AZ5" s="212" t="str">
        <f t="shared" ref="AZ5" si="40">O5</f>
        <v>-</v>
      </c>
      <c r="BA5" s="212" t="str">
        <f t="shared" ref="BA5" si="41">O5</f>
        <v>-</v>
      </c>
      <c r="BB5" s="247"/>
      <c r="BC5" s="247"/>
      <c r="BD5" s="247"/>
      <c r="BE5" s="247"/>
      <c r="BF5" s="247"/>
      <c r="BG5" s="247"/>
      <c r="BH5" s="212" t="str">
        <f t="shared" ref="BH5" si="42">T5</f>
        <v>-</v>
      </c>
      <c r="BI5" s="212" t="str">
        <f t="shared" ref="BI5" si="43">T5</f>
        <v>-</v>
      </c>
      <c r="BJ5" s="212" t="str">
        <f t="shared" ref="BJ5" si="44">U5</f>
        <v>-</v>
      </c>
      <c r="BK5" s="212" t="str">
        <f t="shared" ref="BK5" si="45">U5</f>
        <v>-</v>
      </c>
      <c r="BL5" s="192"/>
      <c r="BM5" s="135">
        <v>5</v>
      </c>
    </row>
    <row r="6" spans="1:65" x14ac:dyDescent="0.3">
      <c r="A6" s="366"/>
      <c r="B6" s="181" t="s">
        <v>273</v>
      </c>
      <c r="C6" s="135">
        <v>4</v>
      </c>
      <c r="D6" s="192"/>
      <c r="E6" s="214" t="s">
        <v>298</v>
      </c>
      <c r="F6" s="214" t="s">
        <v>298</v>
      </c>
      <c r="G6" s="214" t="s">
        <v>298</v>
      </c>
      <c r="H6" s="214" t="s">
        <v>298</v>
      </c>
      <c r="I6" s="214" t="s">
        <v>298</v>
      </c>
      <c r="J6" s="192"/>
      <c r="K6" s="214" t="s">
        <v>298</v>
      </c>
      <c r="L6" s="214" t="s">
        <v>298</v>
      </c>
      <c r="M6" s="214" t="s">
        <v>298</v>
      </c>
      <c r="N6" s="214" t="s">
        <v>298</v>
      </c>
      <c r="O6" s="214" t="s">
        <v>298</v>
      </c>
      <c r="P6" s="192"/>
      <c r="Q6" s="214" t="s">
        <v>298</v>
      </c>
      <c r="R6" s="214" t="s">
        <v>298</v>
      </c>
      <c r="S6" s="214" t="s">
        <v>298</v>
      </c>
      <c r="T6" s="214" t="s">
        <v>298</v>
      </c>
      <c r="U6" s="214" t="s">
        <v>298</v>
      </c>
      <c r="V6" s="192"/>
      <c r="W6" s="212" t="str">
        <f>Q6</f>
        <v xml:space="preserve"> +</v>
      </c>
      <c r="X6" s="212" t="str">
        <f t="shared" ref="X6" si="46">R6</f>
        <v xml:space="preserve"> +</v>
      </c>
      <c r="Y6" s="212" t="str">
        <f t="shared" ref="Y6" si="47">S6</f>
        <v xml:space="preserve"> +</v>
      </c>
      <c r="Z6" s="212" t="str">
        <f t="shared" ref="Z6" si="48">T6</f>
        <v xml:space="preserve"> +</v>
      </c>
      <c r="AA6" s="212" t="str">
        <f t="shared" ref="AA6" si="49">U6</f>
        <v xml:space="preserve"> +</v>
      </c>
      <c r="AB6" s="192"/>
      <c r="AC6" s="197" t="str">
        <f t="shared" si="5"/>
        <v xml:space="preserve"> +</v>
      </c>
      <c r="AD6" s="197" t="str">
        <f t="shared" si="6"/>
        <v xml:space="preserve"> +</v>
      </c>
      <c r="AE6" s="197" t="str">
        <f t="shared" si="7"/>
        <v xml:space="preserve"> +</v>
      </c>
      <c r="AF6" s="197" t="str">
        <f t="shared" si="8"/>
        <v xml:space="preserve"> +</v>
      </c>
      <c r="AG6" s="192"/>
      <c r="AH6" s="197" t="str">
        <f t="shared" si="9"/>
        <v xml:space="preserve"> +</v>
      </c>
      <c r="AI6" s="197" t="str">
        <f t="shared" si="10"/>
        <v xml:space="preserve"> +</v>
      </c>
      <c r="AJ6" s="197" t="str">
        <f t="shared" si="11"/>
        <v xml:space="preserve"> +</v>
      </c>
      <c r="AK6" s="197" t="str">
        <f t="shared" si="12"/>
        <v xml:space="preserve"> +</v>
      </c>
      <c r="AL6" s="192"/>
      <c r="AM6" s="197" t="str">
        <f t="shared" si="13"/>
        <v xml:space="preserve"> +</v>
      </c>
      <c r="AN6" s="197" t="str">
        <f t="shared" si="13"/>
        <v xml:space="preserve"> +</v>
      </c>
      <c r="AO6" s="197" t="str">
        <f t="shared" si="13"/>
        <v xml:space="preserve"> +</v>
      </c>
      <c r="AP6" s="192"/>
      <c r="AQ6" s="197" t="str">
        <f>Z6</f>
        <v xml:space="preserve"> +</v>
      </c>
      <c r="AR6" s="192"/>
      <c r="AS6" s="212" t="str">
        <f t="shared" si="14"/>
        <v xml:space="preserve"> +</v>
      </c>
      <c r="AT6" s="212" t="str">
        <f t="shared" si="15"/>
        <v xml:space="preserve"> +</v>
      </c>
      <c r="AU6" s="212" t="str">
        <f t="shared" si="16"/>
        <v xml:space="preserve"> +</v>
      </c>
      <c r="AV6" s="212" t="str">
        <f t="shared" si="17"/>
        <v xml:space="preserve"> +</v>
      </c>
      <c r="AW6" s="247"/>
      <c r="AX6" s="212" t="str">
        <f t="shared" si="18"/>
        <v xml:space="preserve"> +</v>
      </c>
      <c r="AY6" s="212" t="str">
        <f t="shared" si="19"/>
        <v xml:space="preserve"> +</v>
      </c>
      <c r="AZ6" s="212" t="str">
        <f t="shared" si="20"/>
        <v xml:space="preserve"> +</v>
      </c>
      <c r="BA6" s="212" t="str">
        <f t="shared" si="21"/>
        <v xml:space="preserve"> +</v>
      </c>
      <c r="BB6" s="247"/>
      <c r="BC6" s="247"/>
      <c r="BD6" s="247"/>
      <c r="BE6" s="247"/>
      <c r="BF6" s="247"/>
      <c r="BG6" s="247"/>
      <c r="BH6" s="212" t="str">
        <f t="shared" ref="BH6:BH70" si="50">T6</f>
        <v xml:space="preserve"> +</v>
      </c>
      <c r="BI6" s="212" t="str">
        <f t="shared" ref="BI6:BI70" si="51">T6</f>
        <v xml:space="preserve"> +</v>
      </c>
      <c r="BJ6" s="212" t="str">
        <f t="shared" ref="BJ6:BJ70" si="52">U6</f>
        <v xml:space="preserve"> +</v>
      </c>
      <c r="BK6" s="212" t="str">
        <f t="shared" ref="BK6:BK70" si="53">U6</f>
        <v xml:space="preserve"> +</v>
      </c>
      <c r="BL6" s="192"/>
      <c r="BM6" s="135">
        <v>6</v>
      </c>
    </row>
    <row r="7" spans="1:65" x14ac:dyDescent="0.3">
      <c r="A7" s="366"/>
      <c r="B7" s="181" t="s">
        <v>274</v>
      </c>
      <c r="C7" s="135">
        <v>5</v>
      </c>
      <c r="D7" s="192"/>
      <c r="E7" s="214" t="s">
        <v>298</v>
      </c>
      <c r="F7" s="214" t="s">
        <v>298</v>
      </c>
      <c r="G7" s="214" t="s">
        <v>298</v>
      </c>
      <c r="H7" s="214" t="s">
        <v>298</v>
      </c>
      <c r="I7" s="214" t="s">
        <v>298</v>
      </c>
      <c r="J7" s="192"/>
      <c r="K7" s="214" t="s">
        <v>298</v>
      </c>
      <c r="L7" s="214" t="s">
        <v>298</v>
      </c>
      <c r="M7" s="214" t="s">
        <v>298</v>
      </c>
      <c r="N7" s="214" t="s">
        <v>298</v>
      </c>
      <c r="O7" s="214" t="s">
        <v>298</v>
      </c>
      <c r="P7" s="192"/>
      <c r="Q7" s="214" t="s">
        <v>298</v>
      </c>
      <c r="R7" s="214" t="s">
        <v>298</v>
      </c>
      <c r="S7" s="214" t="s">
        <v>298</v>
      </c>
      <c r="T7" s="214" t="s">
        <v>298</v>
      </c>
      <c r="U7" s="214" t="s">
        <v>298</v>
      </c>
      <c r="V7" s="192"/>
      <c r="W7" s="212" t="str">
        <f t="shared" ref="W7:W67" si="54">Q7</f>
        <v xml:space="preserve"> +</v>
      </c>
      <c r="X7" s="212" t="str">
        <f t="shared" ref="X7:X73" si="55">R7</f>
        <v xml:space="preserve"> +</v>
      </c>
      <c r="Y7" s="212" t="str">
        <f t="shared" ref="Y7:Y73" si="56">S7</f>
        <v xml:space="preserve"> +</v>
      </c>
      <c r="Z7" s="212" t="str">
        <f t="shared" ref="Z7:Z73" si="57">T7</f>
        <v xml:space="preserve"> +</v>
      </c>
      <c r="AA7" s="212" t="str">
        <f t="shared" ref="AA7:AA73" si="58">U7</f>
        <v xml:space="preserve"> +</v>
      </c>
      <c r="AB7" s="192"/>
      <c r="AC7" s="197" t="str">
        <f t="shared" si="5"/>
        <v xml:space="preserve"> +</v>
      </c>
      <c r="AD7" s="197" t="str">
        <f t="shared" si="6"/>
        <v xml:space="preserve"> +</v>
      </c>
      <c r="AE7" s="197" t="str">
        <f t="shared" si="7"/>
        <v xml:space="preserve"> +</v>
      </c>
      <c r="AF7" s="197" t="str">
        <f t="shared" si="8"/>
        <v xml:space="preserve"> +</v>
      </c>
      <c r="AG7" s="192"/>
      <c r="AH7" s="197" t="str">
        <f t="shared" si="9"/>
        <v xml:space="preserve"> +</v>
      </c>
      <c r="AI7" s="197" t="str">
        <f t="shared" si="10"/>
        <v xml:space="preserve"> +</v>
      </c>
      <c r="AJ7" s="197" t="str">
        <f t="shared" si="11"/>
        <v xml:space="preserve"> +</v>
      </c>
      <c r="AK7" s="197" t="str">
        <f t="shared" si="12"/>
        <v xml:space="preserve"> +</v>
      </c>
      <c r="AL7" s="192"/>
      <c r="AM7" s="197" t="str">
        <f t="shared" ref="AM7:AM67" si="59">Q7</f>
        <v xml:space="preserve"> +</v>
      </c>
      <c r="AN7" s="197" t="str">
        <f t="shared" ref="AN7:AN67" si="60">R7</f>
        <v xml:space="preserve"> +</v>
      </c>
      <c r="AO7" s="197" t="str">
        <f t="shared" ref="AO7:AO67" si="61">S7</f>
        <v xml:space="preserve"> +</v>
      </c>
      <c r="AP7" s="192"/>
      <c r="AQ7" s="197" t="str">
        <f t="shared" ref="AQ7:AQ67" si="62">Z7</f>
        <v xml:space="preserve"> +</v>
      </c>
      <c r="AR7" s="192"/>
      <c r="AS7" s="212" t="str">
        <f t="shared" si="14"/>
        <v xml:space="preserve"> +</v>
      </c>
      <c r="AT7" s="212" t="str">
        <f t="shared" si="15"/>
        <v xml:space="preserve"> +</v>
      </c>
      <c r="AU7" s="212" t="str">
        <f t="shared" si="16"/>
        <v xml:space="preserve"> +</v>
      </c>
      <c r="AV7" s="212" t="str">
        <f t="shared" si="17"/>
        <v xml:space="preserve"> +</v>
      </c>
      <c r="AW7" s="247"/>
      <c r="AX7" s="212" t="str">
        <f t="shared" si="18"/>
        <v xml:space="preserve"> +</v>
      </c>
      <c r="AY7" s="212" t="str">
        <f t="shared" si="19"/>
        <v xml:space="preserve"> +</v>
      </c>
      <c r="AZ7" s="212" t="str">
        <f t="shared" si="20"/>
        <v xml:space="preserve"> +</v>
      </c>
      <c r="BA7" s="212" t="str">
        <f t="shared" si="21"/>
        <v xml:space="preserve"> +</v>
      </c>
      <c r="BB7" s="247"/>
      <c r="BC7" s="247"/>
      <c r="BD7" s="247"/>
      <c r="BE7" s="247"/>
      <c r="BF7" s="247"/>
      <c r="BG7" s="247"/>
      <c r="BH7" s="212" t="str">
        <f t="shared" si="50"/>
        <v xml:space="preserve"> +</v>
      </c>
      <c r="BI7" s="212" t="str">
        <f t="shared" si="51"/>
        <v xml:space="preserve"> +</v>
      </c>
      <c r="BJ7" s="212" t="str">
        <f t="shared" si="52"/>
        <v xml:space="preserve"> +</v>
      </c>
      <c r="BK7" s="212" t="str">
        <f t="shared" si="53"/>
        <v xml:space="preserve"> +</v>
      </c>
      <c r="BL7" s="192"/>
      <c r="BM7" s="135">
        <v>7</v>
      </c>
    </row>
    <row r="8" spans="1:65" x14ac:dyDescent="0.3">
      <c r="A8" s="366"/>
      <c r="B8" s="181" t="s">
        <v>275</v>
      </c>
      <c r="C8" s="135">
        <v>6</v>
      </c>
      <c r="D8" s="192"/>
      <c r="E8" s="214" t="s">
        <v>298</v>
      </c>
      <c r="F8" s="214" t="s">
        <v>298</v>
      </c>
      <c r="G8" s="214" t="s">
        <v>298</v>
      </c>
      <c r="H8" s="214" t="s">
        <v>298</v>
      </c>
      <c r="I8" s="214" t="s">
        <v>298</v>
      </c>
      <c r="J8" s="192"/>
      <c r="K8" s="214" t="s">
        <v>298</v>
      </c>
      <c r="L8" s="214" t="s">
        <v>298</v>
      </c>
      <c r="M8" s="214" t="s">
        <v>298</v>
      </c>
      <c r="N8" s="214" t="s">
        <v>298</v>
      </c>
      <c r="O8" s="214" t="s">
        <v>298</v>
      </c>
      <c r="P8" s="192"/>
      <c r="Q8" s="214" t="s">
        <v>298</v>
      </c>
      <c r="R8" s="214" t="s">
        <v>298</v>
      </c>
      <c r="S8" s="214" t="s">
        <v>298</v>
      </c>
      <c r="T8" s="214" t="s">
        <v>298</v>
      </c>
      <c r="U8" s="214" t="s">
        <v>298</v>
      </c>
      <c r="V8" s="192"/>
      <c r="W8" s="212" t="str">
        <f t="shared" si="54"/>
        <v xml:space="preserve"> +</v>
      </c>
      <c r="X8" s="212" t="str">
        <f t="shared" si="55"/>
        <v xml:space="preserve"> +</v>
      </c>
      <c r="Y8" s="212" t="str">
        <f t="shared" si="56"/>
        <v xml:space="preserve"> +</v>
      </c>
      <c r="Z8" s="212" t="str">
        <f t="shared" si="57"/>
        <v xml:space="preserve"> +</v>
      </c>
      <c r="AA8" s="212" t="str">
        <f t="shared" si="58"/>
        <v xml:space="preserve"> +</v>
      </c>
      <c r="AB8" s="192"/>
      <c r="AC8" s="197" t="str">
        <f t="shared" si="5"/>
        <v xml:space="preserve"> +</v>
      </c>
      <c r="AD8" s="197" t="str">
        <f t="shared" si="6"/>
        <v xml:space="preserve"> +</v>
      </c>
      <c r="AE8" s="197" t="str">
        <f t="shared" si="7"/>
        <v xml:space="preserve"> +</v>
      </c>
      <c r="AF8" s="197" t="str">
        <f t="shared" si="8"/>
        <v xml:space="preserve"> +</v>
      </c>
      <c r="AG8" s="192"/>
      <c r="AH8" s="197" t="str">
        <f t="shared" si="9"/>
        <v xml:space="preserve"> +</v>
      </c>
      <c r="AI8" s="197" t="str">
        <f t="shared" si="10"/>
        <v xml:space="preserve"> +</v>
      </c>
      <c r="AJ8" s="197" t="str">
        <f t="shared" si="11"/>
        <v xml:space="preserve"> +</v>
      </c>
      <c r="AK8" s="197" t="str">
        <f t="shared" si="12"/>
        <v xml:space="preserve"> +</v>
      </c>
      <c r="AL8" s="192"/>
      <c r="AM8" s="197" t="str">
        <f t="shared" si="59"/>
        <v xml:space="preserve"> +</v>
      </c>
      <c r="AN8" s="197" t="str">
        <f t="shared" si="60"/>
        <v xml:space="preserve"> +</v>
      </c>
      <c r="AO8" s="197" t="str">
        <f t="shared" si="61"/>
        <v xml:space="preserve"> +</v>
      </c>
      <c r="AP8" s="192"/>
      <c r="AQ8" s="197" t="str">
        <f t="shared" si="62"/>
        <v xml:space="preserve"> +</v>
      </c>
      <c r="AR8" s="192"/>
      <c r="AS8" s="212" t="str">
        <f t="shared" si="14"/>
        <v xml:space="preserve"> +</v>
      </c>
      <c r="AT8" s="212" t="str">
        <f t="shared" si="15"/>
        <v xml:space="preserve"> +</v>
      </c>
      <c r="AU8" s="212" t="str">
        <f t="shared" si="16"/>
        <v xml:space="preserve"> +</v>
      </c>
      <c r="AV8" s="212" t="str">
        <f t="shared" si="17"/>
        <v xml:space="preserve"> +</v>
      </c>
      <c r="AW8" s="247"/>
      <c r="AX8" s="212" t="str">
        <f t="shared" si="18"/>
        <v xml:space="preserve"> +</v>
      </c>
      <c r="AY8" s="212" t="str">
        <f t="shared" si="19"/>
        <v xml:space="preserve"> +</v>
      </c>
      <c r="AZ8" s="212" t="str">
        <f t="shared" si="20"/>
        <v xml:space="preserve"> +</v>
      </c>
      <c r="BA8" s="212" t="str">
        <f t="shared" si="21"/>
        <v xml:space="preserve"> +</v>
      </c>
      <c r="BB8" s="247"/>
      <c r="BC8" s="247"/>
      <c r="BD8" s="247"/>
      <c r="BE8" s="247"/>
      <c r="BF8" s="247"/>
      <c r="BG8" s="247"/>
      <c r="BH8" s="212" t="str">
        <f t="shared" si="50"/>
        <v xml:space="preserve"> +</v>
      </c>
      <c r="BI8" s="212" t="str">
        <f t="shared" si="51"/>
        <v xml:space="preserve"> +</v>
      </c>
      <c r="BJ8" s="212" t="str">
        <f t="shared" si="52"/>
        <v xml:space="preserve"> +</v>
      </c>
      <c r="BK8" s="212" t="str">
        <f t="shared" si="53"/>
        <v xml:space="preserve"> +</v>
      </c>
      <c r="BL8" s="192"/>
      <c r="BM8" s="135">
        <v>8</v>
      </c>
    </row>
    <row r="9" spans="1:65" x14ac:dyDescent="0.3">
      <c r="A9" s="366"/>
      <c r="B9" s="181" t="s">
        <v>30</v>
      </c>
      <c r="C9" s="135">
        <v>7</v>
      </c>
      <c r="D9" s="192"/>
      <c r="E9" s="214" t="s">
        <v>380</v>
      </c>
      <c r="F9" s="214" t="s">
        <v>380</v>
      </c>
      <c r="G9" s="214" t="s">
        <v>380</v>
      </c>
      <c r="H9" s="214" t="s">
        <v>380</v>
      </c>
      <c r="I9" s="214" t="s">
        <v>298</v>
      </c>
      <c r="J9" s="192"/>
      <c r="K9" s="214" t="s">
        <v>380</v>
      </c>
      <c r="L9" s="214" t="s">
        <v>380</v>
      </c>
      <c r="M9" s="214" t="s">
        <v>380</v>
      </c>
      <c r="N9" s="214" t="s">
        <v>380</v>
      </c>
      <c r="O9" s="214" t="s">
        <v>298</v>
      </c>
      <c r="P9" s="192"/>
      <c r="Q9" s="214" t="s">
        <v>298</v>
      </c>
      <c r="R9" s="214" t="s">
        <v>298</v>
      </c>
      <c r="S9" s="214" t="s">
        <v>298</v>
      </c>
      <c r="T9" s="214" t="s">
        <v>298</v>
      </c>
      <c r="U9" s="214" t="s">
        <v>298</v>
      </c>
      <c r="V9" s="192"/>
      <c r="W9" s="212" t="str">
        <f t="shared" si="54"/>
        <v xml:space="preserve"> +</v>
      </c>
      <c r="X9" s="212" t="str">
        <f t="shared" si="55"/>
        <v xml:space="preserve"> +</v>
      </c>
      <c r="Y9" s="212" t="str">
        <f t="shared" si="56"/>
        <v xml:space="preserve"> +</v>
      </c>
      <c r="Z9" s="212" t="str">
        <f t="shared" si="57"/>
        <v xml:space="preserve"> +</v>
      </c>
      <c r="AA9" s="212" t="str">
        <f t="shared" si="58"/>
        <v xml:space="preserve"> +</v>
      </c>
      <c r="AB9" s="192"/>
      <c r="AC9" s="197" t="str">
        <f t="shared" si="5"/>
        <v xml:space="preserve"> +
включая кликабельность и настройку информеров</v>
      </c>
      <c r="AD9" s="197" t="str">
        <f t="shared" si="6"/>
        <v xml:space="preserve"> +
включая кликабельность и настройку информеров</v>
      </c>
      <c r="AE9" s="197" t="str">
        <f t="shared" si="7"/>
        <v xml:space="preserve"> +
включая кликабельность и настройку информеров</v>
      </c>
      <c r="AF9" s="197" t="str">
        <f t="shared" si="8"/>
        <v xml:space="preserve"> +
включая кликабельность и настройку информеров</v>
      </c>
      <c r="AG9" s="192"/>
      <c r="AH9" s="197" t="str">
        <f t="shared" si="9"/>
        <v xml:space="preserve"> +
включая кликабельность и настройку информеров</v>
      </c>
      <c r="AI9" s="197" t="str">
        <f t="shared" si="10"/>
        <v xml:space="preserve"> +
включая кликабельность и настройку информеров</v>
      </c>
      <c r="AJ9" s="197" t="str">
        <f t="shared" si="11"/>
        <v xml:space="preserve"> +
включая кликабельность и настройку информеров</v>
      </c>
      <c r="AK9" s="197" t="str">
        <f t="shared" si="12"/>
        <v xml:space="preserve"> +
включая кликабельность и настройку информеров</v>
      </c>
      <c r="AL9" s="192"/>
      <c r="AM9" s="197" t="str">
        <f t="shared" si="59"/>
        <v xml:space="preserve"> +</v>
      </c>
      <c r="AN9" s="197" t="str">
        <f t="shared" si="60"/>
        <v xml:space="preserve"> +</v>
      </c>
      <c r="AO9" s="197" t="str">
        <f t="shared" si="61"/>
        <v xml:space="preserve"> +</v>
      </c>
      <c r="AP9" s="192"/>
      <c r="AQ9" s="197" t="str">
        <f t="shared" si="62"/>
        <v xml:space="preserve"> +</v>
      </c>
      <c r="AR9" s="192"/>
      <c r="AS9" s="212" t="str">
        <f t="shared" si="14"/>
        <v xml:space="preserve"> +
включая кликабельность и настройку информеров</v>
      </c>
      <c r="AT9" s="212" t="str">
        <f t="shared" si="15"/>
        <v xml:space="preserve"> +
включая кликабельность и настройку информеров</v>
      </c>
      <c r="AU9" s="212" t="str">
        <f t="shared" si="16"/>
        <v xml:space="preserve"> +</v>
      </c>
      <c r="AV9" s="212" t="str">
        <f t="shared" si="17"/>
        <v xml:space="preserve"> +</v>
      </c>
      <c r="AW9" s="247"/>
      <c r="AX9" s="212" t="str">
        <f t="shared" si="18"/>
        <v xml:space="preserve"> +
включая кликабельность и настройку информеров</v>
      </c>
      <c r="AY9" s="212" t="str">
        <f t="shared" si="19"/>
        <v xml:space="preserve"> +
включая кликабельность и настройку информеров</v>
      </c>
      <c r="AZ9" s="212" t="str">
        <f t="shared" si="20"/>
        <v xml:space="preserve"> +</v>
      </c>
      <c r="BA9" s="212" t="str">
        <f t="shared" si="21"/>
        <v xml:space="preserve"> +</v>
      </c>
      <c r="BB9" s="247"/>
      <c r="BC9" s="247"/>
      <c r="BD9" s="247"/>
      <c r="BE9" s="247"/>
      <c r="BF9" s="247"/>
      <c r="BG9" s="247"/>
      <c r="BH9" s="212" t="str">
        <f t="shared" si="50"/>
        <v xml:space="preserve"> +</v>
      </c>
      <c r="BI9" s="212" t="str">
        <f t="shared" si="51"/>
        <v xml:space="preserve"> +</v>
      </c>
      <c r="BJ9" s="212" t="str">
        <f t="shared" si="52"/>
        <v xml:space="preserve"> +</v>
      </c>
      <c r="BK9" s="212" t="str">
        <f t="shared" si="53"/>
        <v xml:space="preserve"> +</v>
      </c>
      <c r="BL9" s="192"/>
      <c r="BM9" s="135">
        <v>9</v>
      </c>
    </row>
    <row r="10" spans="1:65" x14ac:dyDescent="0.3">
      <c r="A10" s="366"/>
      <c r="B10" s="181" t="s">
        <v>31</v>
      </c>
      <c r="C10" s="135">
        <v>8</v>
      </c>
      <c r="D10" s="192"/>
      <c r="E10" s="214" t="s">
        <v>298</v>
      </c>
      <c r="F10" s="214" t="s">
        <v>298</v>
      </c>
      <c r="G10" s="214" t="s">
        <v>298</v>
      </c>
      <c r="H10" s="214" t="s">
        <v>298</v>
      </c>
      <c r="I10" s="214" t="s">
        <v>298</v>
      </c>
      <c r="J10" s="192"/>
      <c r="K10" s="214" t="s">
        <v>298</v>
      </c>
      <c r="L10" s="214" t="s">
        <v>298</v>
      </c>
      <c r="M10" s="214" t="s">
        <v>298</v>
      </c>
      <c r="N10" s="214" t="s">
        <v>298</v>
      </c>
      <c r="O10" s="214" t="s">
        <v>298</v>
      </c>
      <c r="P10" s="192"/>
      <c r="Q10" s="214" t="s">
        <v>298</v>
      </c>
      <c r="R10" s="214" t="s">
        <v>298</v>
      </c>
      <c r="S10" s="214" t="s">
        <v>298</v>
      </c>
      <c r="T10" s="214" t="s">
        <v>298</v>
      </c>
      <c r="U10" s="214" t="s">
        <v>298</v>
      </c>
      <c r="V10" s="192"/>
      <c r="W10" s="212" t="str">
        <f t="shared" si="54"/>
        <v xml:space="preserve"> +</v>
      </c>
      <c r="X10" s="212" t="str">
        <f t="shared" si="55"/>
        <v xml:space="preserve"> +</v>
      </c>
      <c r="Y10" s="212" t="str">
        <f t="shared" si="56"/>
        <v xml:space="preserve"> +</v>
      </c>
      <c r="Z10" s="212" t="str">
        <f t="shared" si="57"/>
        <v xml:space="preserve"> +</v>
      </c>
      <c r="AA10" s="212" t="str">
        <f t="shared" si="58"/>
        <v xml:space="preserve"> +</v>
      </c>
      <c r="AB10" s="192"/>
      <c r="AC10" s="197" t="str">
        <f t="shared" si="5"/>
        <v xml:space="preserve"> +</v>
      </c>
      <c r="AD10" s="197" t="str">
        <f t="shared" si="6"/>
        <v xml:space="preserve"> +</v>
      </c>
      <c r="AE10" s="197" t="str">
        <f t="shared" si="7"/>
        <v xml:space="preserve"> +</v>
      </c>
      <c r="AF10" s="197" t="str">
        <f t="shared" si="8"/>
        <v xml:space="preserve"> +</v>
      </c>
      <c r="AG10" s="192"/>
      <c r="AH10" s="197" t="str">
        <f t="shared" si="9"/>
        <v xml:space="preserve"> +</v>
      </c>
      <c r="AI10" s="197" t="str">
        <f t="shared" si="10"/>
        <v xml:space="preserve"> +</v>
      </c>
      <c r="AJ10" s="197" t="str">
        <f t="shared" si="11"/>
        <v xml:space="preserve"> +</v>
      </c>
      <c r="AK10" s="197" t="str">
        <f t="shared" si="12"/>
        <v xml:space="preserve"> +</v>
      </c>
      <c r="AL10" s="192"/>
      <c r="AM10" s="197" t="str">
        <f t="shared" si="59"/>
        <v xml:space="preserve"> +</v>
      </c>
      <c r="AN10" s="197" t="str">
        <f t="shared" si="60"/>
        <v xml:space="preserve"> +</v>
      </c>
      <c r="AO10" s="197" t="str">
        <f t="shared" si="61"/>
        <v xml:space="preserve"> +</v>
      </c>
      <c r="AP10" s="192"/>
      <c r="AQ10" s="197" t="str">
        <f t="shared" si="62"/>
        <v xml:space="preserve"> +</v>
      </c>
      <c r="AR10" s="192"/>
      <c r="AS10" s="212" t="str">
        <f t="shared" si="14"/>
        <v xml:space="preserve"> +</v>
      </c>
      <c r="AT10" s="212" t="str">
        <f t="shared" si="15"/>
        <v xml:space="preserve"> +</v>
      </c>
      <c r="AU10" s="212" t="str">
        <f t="shared" si="16"/>
        <v xml:space="preserve"> +</v>
      </c>
      <c r="AV10" s="212" t="str">
        <f t="shared" si="17"/>
        <v xml:space="preserve"> +</v>
      </c>
      <c r="AW10" s="247"/>
      <c r="AX10" s="212" t="str">
        <f t="shared" si="18"/>
        <v xml:space="preserve"> +</v>
      </c>
      <c r="AY10" s="212" t="str">
        <f t="shared" si="19"/>
        <v xml:space="preserve"> +</v>
      </c>
      <c r="AZ10" s="212" t="str">
        <f t="shared" si="20"/>
        <v xml:space="preserve"> +</v>
      </c>
      <c r="BA10" s="212" t="str">
        <f t="shared" si="21"/>
        <v xml:space="preserve"> +</v>
      </c>
      <c r="BB10" s="247"/>
      <c r="BC10" s="247"/>
      <c r="BD10" s="247"/>
      <c r="BE10" s="247"/>
      <c r="BF10" s="247"/>
      <c r="BG10" s="247"/>
      <c r="BH10" s="212" t="str">
        <f t="shared" si="50"/>
        <v xml:space="preserve"> +</v>
      </c>
      <c r="BI10" s="212" t="str">
        <f t="shared" si="51"/>
        <v xml:space="preserve"> +</v>
      </c>
      <c r="BJ10" s="212" t="str">
        <f t="shared" si="52"/>
        <v xml:space="preserve"> +</v>
      </c>
      <c r="BK10" s="212" t="str">
        <f t="shared" si="53"/>
        <v xml:space="preserve"> +</v>
      </c>
      <c r="BL10" s="192"/>
      <c r="BM10" s="135">
        <v>10</v>
      </c>
    </row>
    <row r="11" spans="1:65" x14ac:dyDescent="0.3">
      <c r="A11" s="366"/>
      <c r="B11" s="181" t="s">
        <v>276</v>
      </c>
      <c r="C11" s="135">
        <v>9</v>
      </c>
      <c r="D11" s="192"/>
      <c r="E11" s="214" t="s">
        <v>298</v>
      </c>
      <c r="F11" s="214" t="s">
        <v>298</v>
      </c>
      <c r="G11" s="214" t="s">
        <v>298</v>
      </c>
      <c r="H11" s="214" t="s">
        <v>298</v>
      </c>
      <c r="I11" s="214" t="s">
        <v>298</v>
      </c>
      <c r="J11" s="192"/>
      <c r="K11" s="214" t="s">
        <v>298</v>
      </c>
      <c r="L11" s="214" t="s">
        <v>298</v>
      </c>
      <c r="M11" s="214" t="s">
        <v>298</v>
      </c>
      <c r="N11" s="214" t="s">
        <v>298</v>
      </c>
      <c r="O11" s="214" t="s">
        <v>298</v>
      </c>
      <c r="P11" s="192"/>
      <c r="Q11" s="214" t="s">
        <v>299</v>
      </c>
      <c r="R11" s="214" t="s">
        <v>299</v>
      </c>
      <c r="S11" s="214" t="s">
        <v>299</v>
      </c>
      <c r="T11" s="214" t="s">
        <v>299</v>
      </c>
      <c r="U11" s="214" t="s">
        <v>299</v>
      </c>
      <c r="V11" s="192"/>
      <c r="W11" s="212" t="str">
        <f t="shared" si="54"/>
        <v xml:space="preserve"> - </v>
      </c>
      <c r="X11" s="212" t="str">
        <f t="shared" si="55"/>
        <v xml:space="preserve"> - </v>
      </c>
      <c r="Y11" s="212" t="str">
        <f t="shared" si="56"/>
        <v xml:space="preserve"> - </v>
      </c>
      <c r="Z11" s="212" t="str">
        <f t="shared" si="57"/>
        <v xml:space="preserve"> - </v>
      </c>
      <c r="AA11" s="212" t="str">
        <f t="shared" si="58"/>
        <v xml:space="preserve"> - </v>
      </c>
      <c r="AB11" s="192"/>
      <c r="AC11" s="197" t="str">
        <f t="shared" si="5"/>
        <v xml:space="preserve"> +</v>
      </c>
      <c r="AD11" s="197" t="str">
        <f t="shared" si="6"/>
        <v xml:space="preserve"> +</v>
      </c>
      <c r="AE11" s="197" t="str">
        <f t="shared" si="7"/>
        <v xml:space="preserve"> +</v>
      </c>
      <c r="AF11" s="197" t="str">
        <f t="shared" si="8"/>
        <v xml:space="preserve"> +</v>
      </c>
      <c r="AG11" s="192"/>
      <c r="AH11" s="197" t="str">
        <f t="shared" si="9"/>
        <v xml:space="preserve"> +</v>
      </c>
      <c r="AI11" s="197" t="str">
        <f t="shared" si="10"/>
        <v xml:space="preserve"> +</v>
      </c>
      <c r="AJ11" s="197" t="str">
        <f t="shared" si="11"/>
        <v xml:space="preserve"> +</v>
      </c>
      <c r="AK11" s="197" t="str">
        <f t="shared" si="12"/>
        <v xml:space="preserve"> +</v>
      </c>
      <c r="AL11" s="192"/>
      <c r="AM11" s="197" t="str">
        <f t="shared" si="59"/>
        <v xml:space="preserve"> - </v>
      </c>
      <c r="AN11" s="197" t="str">
        <f t="shared" si="60"/>
        <v xml:space="preserve"> - </v>
      </c>
      <c r="AO11" s="197" t="str">
        <f t="shared" si="61"/>
        <v xml:space="preserve"> - </v>
      </c>
      <c r="AP11" s="192"/>
      <c r="AQ11" s="197" t="str">
        <f t="shared" si="62"/>
        <v xml:space="preserve"> - </v>
      </c>
      <c r="AR11" s="192"/>
      <c r="AS11" s="212" t="str">
        <f t="shared" si="14"/>
        <v xml:space="preserve"> +</v>
      </c>
      <c r="AT11" s="212" t="str">
        <f t="shared" si="15"/>
        <v xml:space="preserve"> +</v>
      </c>
      <c r="AU11" s="212" t="str">
        <f t="shared" si="16"/>
        <v xml:space="preserve"> +</v>
      </c>
      <c r="AV11" s="212" t="str">
        <f t="shared" si="17"/>
        <v xml:space="preserve"> +</v>
      </c>
      <c r="AW11" s="247"/>
      <c r="AX11" s="212" t="str">
        <f t="shared" si="18"/>
        <v xml:space="preserve"> +</v>
      </c>
      <c r="AY11" s="212" t="str">
        <f t="shared" si="19"/>
        <v xml:space="preserve"> +</v>
      </c>
      <c r="AZ11" s="212" t="str">
        <f t="shared" si="20"/>
        <v xml:space="preserve"> +</v>
      </c>
      <c r="BA11" s="212" t="str">
        <f t="shared" si="21"/>
        <v xml:space="preserve"> +</v>
      </c>
      <c r="BB11" s="247"/>
      <c r="BC11" s="247"/>
      <c r="BD11" s="247"/>
      <c r="BE11" s="247"/>
      <c r="BF11" s="247"/>
      <c r="BG11" s="247"/>
      <c r="BH11" s="212" t="str">
        <f t="shared" si="50"/>
        <v xml:space="preserve"> - </v>
      </c>
      <c r="BI11" s="212" t="str">
        <f t="shared" si="51"/>
        <v xml:space="preserve"> - </v>
      </c>
      <c r="BJ11" s="212" t="str">
        <f t="shared" si="52"/>
        <v xml:space="preserve"> - </v>
      </c>
      <c r="BK11" s="212" t="str">
        <f t="shared" si="53"/>
        <v xml:space="preserve"> - </v>
      </c>
      <c r="BL11" s="192"/>
      <c r="BM11" s="135">
        <v>11</v>
      </c>
    </row>
    <row r="12" spans="1:65" x14ac:dyDescent="0.3">
      <c r="A12" s="366"/>
      <c r="B12" s="181" t="s">
        <v>256</v>
      </c>
      <c r="C12" s="135">
        <v>10</v>
      </c>
      <c r="D12" s="192"/>
      <c r="E12" s="214" t="s">
        <v>298</v>
      </c>
      <c r="F12" s="214" t="s">
        <v>298</v>
      </c>
      <c r="G12" s="214" t="s">
        <v>298</v>
      </c>
      <c r="H12" s="214" t="s">
        <v>298</v>
      </c>
      <c r="I12" s="214" t="s">
        <v>299</v>
      </c>
      <c r="J12" s="192"/>
      <c r="K12" s="214" t="s">
        <v>299</v>
      </c>
      <c r="L12" s="214" t="s">
        <v>299</v>
      </c>
      <c r="M12" s="214" t="s">
        <v>299</v>
      </c>
      <c r="N12" s="214" t="s">
        <v>299</v>
      </c>
      <c r="O12" s="214" t="s">
        <v>299</v>
      </c>
      <c r="P12" s="192"/>
      <c r="Q12" s="214" t="s">
        <v>299</v>
      </c>
      <c r="R12" s="214" t="s">
        <v>299</v>
      </c>
      <c r="S12" s="214" t="s">
        <v>299</v>
      </c>
      <c r="T12" s="214" t="s">
        <v>299</v>
      </c>
      <c r="U12" s="214" t="s">
        <v>299</v>
      </c>
      <c r="V12" s="192"/>
      <c r="W12" s="212" t="str">
        <f t="shared" si="54"/>
        <v xml:space="preserve"> - </v>
      </c>
      <c r="X12" s="212" t="str">
        <f t="shared" si="55"/>
        <v xml:space="preserve"> - </v>
      </c>
      <c r="Y12" s="212" t="str">
        <f t="shared" si="56"/>
        <v xml:space="preserve"> - </v>
      </c>
      <c r="Z12" s="212" t="str">
        <f t="shared" si="57"/>
        <v xml:space="preserve"> - </v>
      </c>
      <c r="AA12" s="212" t="str">
        <f t="shared" si="58"/>
        <v xml:space="preserve"> - </v>
      </c>
      <c r="AB12" s="192"/>
      <c r="AC12" s="197" t="str">
        <f t="shared" si="5"/>
        <v xml:space="preserve"> +</v>
      </c>
      <c r="AD12" s="197" t="str">
        <f t="shared" si="6"/>
        <v xml:space="preserve"> +</v>
      </c>
      <c r="AE12" s="197" t="str">
        <f t="shared" si="7"/>
        <v xml:space="preserve"> +</v>
      </c>
      <c r="AF12" s="197" t="str">
        <f t="shared" si="8"/>
        <v xml:space="preserve"> +</v>
      </c>
      <c r="AG12" s="192"/>
      <c r="AH12" s="197" t="str">
        <f t="shared" si="9"/>
        <v xml:space="preserve"> - </v>
      </c>
      <c r="AI12" s="197" t="str">
        <f t="shared" si="10"/>
        <v xml:space="preserve"> - </v>
      </c>
      <c r="AJ12" s="197" t="str">
        <f t="shared" si="11"/>
        <v xml:space="preserve"> - </v>
      </c>
      <c r="AK12" s="197" t="str">
        <f t="shared" si="12"/>
        <v xml:space="preserve"> - </v>
      </c>
      <c r="AL12" s="192"/>
      <c r="AM12" s="197" t="str">
        <f t="shared" si="59"/>
        <v xml:space="preserve"> - </v>
      </c>
      <c r="AN12" s="197" t="str">
        <f t="shared" si="60"/>
        <v xml:space="preserve"> - </v>
      </c>
      <c r="AO12" s="197" t="str">
        <f t="shared" si="61"/>
        <v xml:space="preserve"> - </v>
      </c>
      <c r="AP12" s="192"/>
      <c r="AQ12" s="197" t="str">
        <f t="shared" si="62"/>
        <v xml:space="preserve"> - </v>
      </c>
      <c r="AR12" s="192"/>
      <c r="AS12" s="212" t="str">
        <f t="shared" si="14"/>
        <v xml:space="preserve"> +</v>
      </c>
      <c r="AT12" s="212" t="str">
        <f t="shared" si="15"/>
        <v xml:space="preserve"> +</v>
      </c>
      <c r="AU12" s="212" t="str">
        <f t="shared" si="16"/>
        <v xml:space="preserve"> - </v>
      </c>
      <c r="AV12" s="212" t="str">
        <f t="shared" si="17"/>
        <v xml:space="preserve"> - </v>
      </c>
      <c r="AW12" s="247"/>
      <c r="AX12" s="212" t="str">
        <f t="shared" si="18"/>
        <v xml:space="preserve"> - </v>
      </c>
      <c r="AY12" s="212" t="str">
        <f t="shared" si="19"/>
        <v xml:space="preserve"> - </v>
      </c>
      <c r="AZ12" s="212" t="str">
        <f t="shared" si="20"/>
        <v xml:space="preserve"> - </v>
      </c>
      <c r="BA12" s="212" t="str">
        <f t="shared" si="21"/>
        <v xml:space="preserve"> - </v>
      </c>
      <c r="BB12" s="247"/>
      <c r="BC12" s="247"/>
      <c r="BD12" s="247"/>
      <c r="BE12" s="247"/>
      <c r="BF12" s="247"/>
      <c r="BG12" s="247"/>
      <c r="BH12" s="212" t="str">
        <f t="shared" si="50"/>
        <v xml:space="preserve"> - </v>
      </c>
      <c r="BI12" s="212" t="str">
        <f t="shared" si="51"/>
        <v xml:space="preserve"> - </v>
      </c>
      <c r="BJ12" s="212" t="str">
        <f t="shared" si="52"/>
        <v xml:space="preserve"> - </v>
      </c>
      <c r="BK12" s="212" t="str">
        <f t="shared" si="53"/>
        <v xml:space="preserve"> - </v>
      </c>
      <c r="BL12" s="192"/>
      <c r="BM12" s="135">
        <v>12</v>
      </c>
    </row>
    <row r="13" spans="1:65" x14ac:dyDescent="0.3">
      <c r="A13" s="366"/>
      <c r="B13" s="181" t="s">
        <v>277</v>
      </c>
      <c r="C13" s="135">
        <v>11</v>
      </c>
      <c r="D13" s="192"/>
      <c r="E13" s="214" t="s">
        <v>298</v>
      </c>
      <c r="F13" s="214" t="s">
        <v>298</v>
      </c>
      <c r="G13" s="214" t="s">
        <v>298</v>
      </c>
      <c r="H13" s="214" t="s">
        <v>298</v>
      </c>
      <c r="I13" s="214" t="s">
        <v>298</v>
      </c>
      <c r="J13" s="192"/>
      <c r="K13" s="214" t="s">
        <v>298</v>
      </c>
      <c r="L13" s="214" t="s">
        <v>298</v>
      </c>
      <c r="M13" s="214" t="s">
        <v>298</v>
      </c>
      <c r="N13" s="214" t="s">
        <v>298</v>
      </c>
      <c r="O13" s="214" t="s">
        <v>299</v>
      </c>
      <c r="P13" s="192"/>
      <c r="Q13" s="214" t="s">
        <v>299</v>
      </c>
      <c r="R13" s="214" t="s">
        <v>299</v>
      </c>
      <c r="S13" s="214" t="s">
        <v>299</v>
      </c>
      <c r="T13" s="214" t="s">
        <v>299</v>
      </c>
      <c r="U13" s="214" t="s">
        <v>299</v>
      </c>
      <c r="V13" s="192"/>
      <c r="W13" s="212" t="str">
        <f t="shared" si="54"/>
        <v xml:space="preserve"> - </v>
      </c>
      <c r="X13" s="212" t="str">
        <f t="shared" si="55"/>
        <v xml:space="preserve"> - </v>
      </c>
      <c r="Y13" s="212" t="str">
        <f t="shared" si="56"/>
        <v xml:space="preserve"> - </v>
      </c>
      <c r="Z13" s="212" t="str">
        <f t="shared" si="57"/>
        <v xml:space="preserve"> - </v>
      </c>
      <c r="AA13" s="212" t="str">
        <f t="shared" si="58"/>
        <v xml:space="preserve"> - </v>
      </c>
      <c r="AB13" s="192"/>
      <c r="AC13" s="197" t="str">
        <f t="shared" si="5"/>
        <v xml:space="preserve"> +</v>
      </c>
      <c r="AD13" s="197" t="str">
        <f t="shared" si="6"/>
        <v xml:space="preserve"> +</v>
      </c>
      <c r="AE13" s="197" t="str">
        <f t="shared" si="7"/>
        <v xml:space="preserve"> +</v>
      </c>
      <c r="AF13" s="197" t="str">
        <f t="shared" si="8"/>
        <v xml:space="preserve"> +</v>
      </c>
      <c r="AG13" s="192"/>
      <c r="AH13" s="197" t="str">
        <f t="shared" si="9"/>
        <v xml:space="preserve"> +</v>
      </c>
      <c r="AI13" s="197" t="str">
        <f t="shared" si="10"/>
        <v xml:space="preserve"> +</v>
      </c>
      <c r="AJ13" s="197" t="str">
        <f t="shared" si="11"/>
        <v xml:space="preserve"> +</v>
      </c>
      <c r="AK13" s="197" t="str">
        <f t="shared" si="12"/>
        <v xml:space="preserve"> +</v>
      </c>
      <c r="AL13" s="192"/>
      <c r="AM13" s="197" t="str">
        <f t="shared" si="59"/>
        <v xml:space="preserve"> - </v>
      </c>
      <c r="AN13" s="197" t="str">
        <f t="shared" si="60"/>
        <v xml:space="preserve"> - </v>
      </c>
      <c r="AO13" s="197" t="str">
        <f t="shared" si="61"/>
        <v xml:space="preserve"> - </v>
      </c>
      <c r="AP13" s="192"/>
      <c r="AQ13" s="197" t="str">
        <f t="shared" si="62"/>
        <v xml:space="preserve"> - </v>
      </c>
      <c r="AR13" s="192"/>
      <c r="AS13" s="212" t="str">
        <f t="shared" si="14"/>
        <v xml:space="preserve"> +</v>
      </c>
      <c r="AT13" s="212" t="str">
        <f t="shared" si="15"/>
        <v xml:space="preserve"> +</v>
      </c>
      <c r="AU13" s="212" t="str">
        <f t="shared" si="16"/>
        <v xml:space="preserve"> +</v>
      </c>
      <c r="AV13" s="212" t="str">
        <f t="shared" si="17"/>
        <v xml:space="preserve"> +</v>
      </c>
      <c r="AW13" s="247"/>
      <c r="AX13" s="212" t="str">
        <f t="shared" si="18"/>
        <v xml:space="preserve"> +</v>
      </c>
      <c r="AY13" s="212" t="str">
        <f t="shared" si="19"/>
        <v xml:space="preserve"> +</v>
      </c>
      <c r="AZ13" s="212" t="str">
        <f t="shared" si="20"/>
        <v xml:space="preserve"> - </v>
      </c>
      <c r="BA13" s="212" t="str">
        <f t="shared" si="21"/>
        <v xml:space="preserve"> - </v>
      </c>
      <c r="BB13" s="247"/>
      <c r="BC13" s="247"/>
      <c r="BD13" s="247"/>
      <c r="BE13" s="247"/>
      <c r="BF13" s="247"/>
      <c r="BG13" s="247"/>
      <c r="BH13" s="212" t="str">
        <f t="shared" si="50"/>
        <v xml:space="preserve"> - </v>
      </c>
      <c r="BI13" s="212" t="str">
        <f t="shared" si="51"/>
        <v xml:space="preserve"> - </v>
      </c>
      <c r="BJ13" s="212" t="str">
        <f t="shared" si="52"/>
        <v xml:space="preserve"> - </v>
      </c>
      <c r="BK13" s="212" t="str">
        <f t="shared" si="53"/>
        <v xml:space="preserve"> - </v>
      </c>
      <c r="BL13" s="192"/>
      <c r="BM13" s="135">
        <v>13</v>
      </c>
    </row>
    <row r="14" spans="1:65" x14ac:dyDescent="0.3">
      <c r="A14" s="366"/>
      <c r="B14" s="181" t="s">
        <v>278</v>
      </c>
      <c r="C14" s="135">
        <v>12</v>
      </c>
      <c r="D14" s="192"/>
      <c r="E14" s="214" t="s">
        <v>298</v>
      </c>
      <c r="F14" s="214" t="s">
        <v>298</v>
      </c>
      <c r="G14" s="214" t="s">
        <v>298</v>
      </c>
      <c r="H14" s="214" t="s">
        <v>298</v>
      </c>
      <c r="I14" s="214" t="s">
        <v>298</v>
      </c>
      <c r="J14" s="192"/>
      <c r="K14" s="214" t="s">
        <v>298</v>
      </c>
      <c r="L14" s="214" t="s">
        <v>298</v>
      </c>
      <c r="M14" s="214" t="s">
        <v>298</v>
      </c>
      <c r="N14" s="214" t="s">
        <v>298</v>
      </c>
      <c r="O14" s="214" t="s">
        <v>299</v>
      </c>
      <c r="P14" s="192"/>
      <c r="Q14" s="214" t="s">
        <v>299</v>
      </c>
      <c r="R14" s="214" t="s">
        <v>299</v>
      </c>
      <c r="S14" s="214" t="s">
        <v>299</v>
      </c>
      <c r="T14" s="214" t="s">
        <v>299</v>
      </c>
      <c r="U14" s="214" t="s">
        <v>299</v>
      </c>
      <c r="V14" s="192"/>
      <c r="W14" s="212" t="str">
        <f t="shared" si="54"/>
        <v xml:space="preserve"> - </v>
      </c>
      <c r="X14" s="212" t="str">
        <f t="shared" si="55"/>
        <v xml:space="preserve"> - </v>
      </c>
      <c r="Y14" s="212" t="str">
        <f t="shared" si="56"/>
        <v xml:space="preserve"> - </v>
      </c>
      <c r="Z14" s="212" t="str">
        <f t="shared" si="57"/>
        <v xml:space="preserve"> - </v>
      </c>
      <c r="AA14" s="212" t="str">
        <f t="shared" si="58"/>
        <v xml:space="preserve"> - </v>
      </c>
      <c r="AB14" s="192"/>
      <c r="AC14" s="197" t="str">
        <f t="shared" si="5"/>
        <v xml:space="preserve"> +</v>
      </c>
      <c r="AD14" s="197" t="str">
        <f t="shared" si="6"/>
        <v xml:space="preserve"> +</v>
      </c>
      <c r="AE14" s="197" t="str">
        <f t="shared" si="7"/>
        <v xml:space="preserve"> +</v>
      </c>
      <c r="AF14" s="197" t="str">
        <f t="shared" si="8"/>
        <v xml:space="preserve"> +</v>
      </c>
      <c r="AG14" s="192"/>
      <c r="AH14" s="197" t="str">
        <f t="shared" si="9"/>
        <v xml:space="preserve"> +</v>
      </c>
      <c r="AI14" s="197" t="str">
        <f t="shared" si="10"/>
        <v xml:space="preserve"> +</v>
      </c>
      <c r="AJ14" s="197" t="str">
        <f t="shared" si="11"/>
        <v xml:space="preserve"> +</v>
      </c>
      <c r="AK14" s="197" t="str">
        <f t="shared" si="12"/>
        <v xml:space="preserve"> +</v>
      </c>
      <c r="AL14" s="192"/>
      <c r="AM14" s="197" t="str">
        <f t="shared" si="59"/>
        <v xml:space="preserve"> - </v>
      </c>
      <c r="AN14" s="197" t="str">
        <f t="shared" si="60"/>
        <v xml:space="preserve"> - </v>
      </c>
      <c r="AO14" s="197" t="str">
        <f t="shared" si="61"/>
        <v xml:space="preserve"> - </v>
      </c>
      <c r="AP14" s="192"/>
      <c r="AQ14" s="197" t="str">
        <f t="shared" si="62"/>
        <v xml:space="preserve"> - </v>
      </c>
      <c r="AR14" s="192"/>
      <c r="AS14" s="212" t="str">
        <f t="shared" si="14"/>
        <v xml:space="preserve"> +</v>
      </c>
      <c r="AT14" s="212" t="str">
        <f t="shared" si="15"/>
        <v xml:space="preserve"> +</v>
      </c>
      <c r="AU14" s="212" t="str">
        <f t="shared" si="16"/>
        <v xml:space="preserve"> +</v>
      </c>
      <c r="AV14" s="212" t="str">
        <f t="shared" si="17"/>
        <v xml:space="preserve"> +</v>
      </c>
      <c r="AW14" s="247"/>
      <c r="AX14" s="212" t="str">
        <f t="shared" si="18"/>
        <v xml:space="preserve"> +</v>
      </c>
      <c r="AY14" s="212" t="str">
        <f t="shared" si="19"/>
        <v xml:space="preserve"> +</v>
      </c>
      <c r="AZ14" s="212" t="str">
        <f t="shared" si="20"/>
        <v xml:space="preserve"> - </v>
      </c>
      <c r="BA14" s="212" t="str">
        <f t="shared" si="21"/>
        <v xml:space="preserve"> - </v>
      </c>
      <c r="BB14" s="247"/>
      <c r="BC14" s="247"/>
      <c r="BD14" s="247"/>
      <c r="BE14" s="247"/>
      <c r="BF14" s="247"/>
      <c r="BG14" s="247"/>
      <c r="BH14" s="212" t="str">
        <f t="shared" si="50"/>
        <v xml:space="preserve"> - </v>
      </c>
      <c r="BI14" s="212" t="str">
        <f t="shared" si="51"/>
        <v xml:space="preserve"> - </v>
      </c>
      <c r="BJ14" s="212" t="str">
        <f t="shared" si="52"/>
        <v xml:space="preserve"> - </v>
      </c>
      <c r="BK14" s="212" t="str">
        <f t="shared" si="53"/>
        <v xml:space="preserve"> - </v>
      </c>
      <c r="BL14" s="192"/>
      <c r="BM14" s="135">
        <v>14</v>
      </c>
    </row>
    <row r="15" spans="1:65" x14ac:dyDescent="0.3">
      <c r="A15" s="366"/>
      <c r="B15" s="181" t="s">
        <v>279</v>
      </c>
      <c r="C15" s="135">
        <v>13</v>
      </c>
      <c r="D15" s="192"/>
      <c r="E15" s="214" t="s">
        <v>298</v>
      </c>
      <c r="F15" s="214" t="s">
        <v>298</v>
      </c>
      <c r="G15" s="214" t="s">
        <v>298</v>
      </c>
      <c r="H15" s="214" t="s">
        <v>298</v>
      </c>
      <c r="I15" s="214" t="s">
        <v>298</v>
      </c>
      <c r="J15" s="192"/>
      <c r="K15" s="214" t="s">
        <v>298</v>
      </c>
      <c r="L15" s="214" t="s">
        <v>298</v>
      </c>
      <c r="M15" s="214" t="s">
        <v>298</v>
      </c>
      <c r="N15" s="214" t="s">
        <v>298</v>
      </c>
      <c r="O15" s="214" t="s">
        <v>298</v>
      </c>
      <c r="P15" s="192"/>
      <c r="Q15" s="214" t="s">
        <v>299</v>
      </c>
      <c r="R15" s="214" t="s">
        <v>299</v>
      </c>
      <c r="S15" s="214" t="s">
        <v>299</v>
      </c>
      <c r="T15" s="214" t="s">
        <v>299</v>
      </c>
      <c r="U15" s="214" t="s">
        <v>299</v>
      </c>
      <c r="V15" s="192"/>
      <c r="W15" s="212" t="str">
        <f t="shared" si="54"/>
        <v xml:space="preserve"> - </v>
      </c>
      <c r="X15" s="212" t="str">
        <f t="shared" si="55"/>
        <v xml:space="preserve"> - </v>
      </c>
      <c r="Y15" s="212" t="str">
        <f t="shared" si="56"/>
        <v xml:space="preserve"> - </v>
      </c>
      <c r="Z15" s="212" t="str">
        <f t="shared" si="57"/>
        <v xml:space="preserve"> - </v>
      </c>
      <c r="AA15" s="212" t="str">
        <f t="shared" si="58"/>
        <v xml:space="preserve"> - </v>
      </c>
      <c r="AB15" s="192"/>
      <c r="AC15" s="197" t="str">
        <f t="shared" si="5"/>
        <v xml:space="preserve"> +</v>
      </c>
      <c r="AD15" s="197" t="str">
        <f t="shared" si="6"/>
        <v xml:space="preserve"> +</v>
      </c>
      <c r="AE15" s="197" t="str">
        <f t="shared" si="7"/>
        <v xml:space="preserve"> +</v>
      </c>
      <c r="AF15" s="197" t="str">
        <f t="shared" si="8"/>
        <v xml:space="preserve"> +</v>
      </c>
      <c r="AG15" s="192"/>
      <c r="AH15" s="197" t="str">
        <f t="shared" si="9"/>
        <v xml:space="preserve"> +</v>
      </c>
      <c r="AI15" s="197" t="str">
        <f t="shared" si="10"/>
        <v xml:space="preserve"> +</v>
      </c>
      <c r="AJ15" s="197" t="str">
        <f t="shared" si="11"/>
        <v xml:space="preserve"> +</v>
      </c>
      <c r="AK15" s="197" t="str">
        <f t="shared" si="12"/>
        <v xml:space="preserve"> +</v>
      </c>
      <c r="AL15" s="192"/>
      <c r="AM15" s="197" t="str">
        <f t="shared" si="59"/>
        <v xml:space="preserve"> - </v>
      </c>
      <c r="AN15" s="197" t="str">
        <f t="shared" si="60"/>
        <v xml:space="preserve"> - </v>
      </c>
      <c r="AO15" s="197" t="str">
        <f t="shared" si="61"/>
        <v xml:space="preserve"> - </v>
      </c>
      <c r="AP15" s="192"/>
      <c r="AQ15" s="197" t="str">
        <f t="shared" si="62"/>
        <v xml:space="preserve"> - </v>
      </c>
      <c r="AR15" s="192"/>
      <c r="AS15" s="212" t="str">
        <f t="shared" si="14"/>
        <v xml:space="preserve"> +</v>
      </c>
      <c r="AT15" s="212" t="str">
        <f t="shared" si="15"/>
        <v xml:space="preserve"> +</v>
      </c>
      <c r="AU15" s="212" t="str">
        <f t="shared" si="16"/>
        <v xml:space="preserve"> +</v>
      </c>
      <c r="AV15" s="212" t="str">
        <f t="shared" si="17"/>
        <v xml:space="preserve"> +</v>
      </c>
      <c r="AW15" s="247"/>
      <c r="AX15" s="212" t="str">
        <f t="shared" si="18"/>
        <v xml:space="preserve"> +</v>
      </c>
      <c r="AY15" s="212" t="str">
        <f t="shared" si="19"/>
        <v xml:space="preserve"> +</v>
      </c>
      <c r="AZ15" s="212" t="str">
        <f t="shared" si="20"/>
        <v xml:space="preserve"> +</v>
      </c>
      <c r="BA15" s="212" t="str">
        <f t="shared" si="21"/>
        <v xml:space="preserve"> +</v>
      </c>
      <c r="BB15" s="247"/>
      <c r="BC15" s="247"/>
      <c r="BD15" s="247"/>
      <c r="BE15" s="247"/>
      <c r="BF15" s="247"/>
      <c r="BG15" s="247"/>
      <c r="BH15" s="212" t="str">
        <f t="shared" si="50"/>
        <v xml:space="preserve"> - </v>
      </c>
      <c r="BI15" s="212" t="str">
        <f t="shared" si="51"/>
        <v xml:space="preserve"> - </v>
      </c>
      <c r="BJ15" s="212" t="str">
        <f t="shared" si="52"/>
        <v xml:space="preserve"> - </v>
      </c>
      <c r="BK15" s="212" t="str">
        <f t="shared" si="53"/>
        <v xml:space="preserve"> - </v>
      </c>
      <c r="BL15" s="192"/>
      <c r="BM15" s="135">
        <v>15</v>
      </c>
    </row>
    <row r="16" spans="1:65" x14ac:dyDescent="0.3">
      <c r="A16" s="366"/>
      <c r="B16" s="181" t="s">
        <v>223</v>
      </c>
      <c r="C16" s="135">
        <v>14</v>
      </c>
      <c r="D16" s="192"/>
      <c r="E16" s="214" t="s">
        <v>298</v>
      </c>
      <c r="F16" s="214" t="s">
        <v>298</v>
      </c>
      <c r="G16" s="214" t="s">
        <v>298</v>
      </c>
      <c r="H16" s="214" t="s">
        <v>299</v>
      </c>
      <c r="I16" s="214" t="s">
        <v>299</v>
      </c>
      <c r="J16" s="192"/>
      <c r="K16" s="214" t="s">
        <v>299</v>
      </c>
      <c r="L16" s="214" t="s">
        <v>299</v>
      </c>
      <c r="M16" s="214" t="s">
        <v>299</v>
      </c>
      <c r="N16" s="214" t="s">
        <v>299</v>
      </c>
      <c r="O16" s="214" t="s">
        <v>299</v>
      </c>
      <c r="P16" s="192"/>
      <c r="Q16" s="214" t="s">
        <v>299</v>
      </c>
      <c r="R16" s="214" t="s">
        <v>299</v>
      </c>
      <c r="S16" s="214" t="s">
        <v>299</v>
      </c>
      <c r="T16" s="214" t="s">
        <v>299</v>
      </c>
      <c r="U16" s="214" t="s">
        <v>299</v>
      </c>
      <c r="V16" s="192"/>
      <c r="W16" s="212" t="str">
        <f t="shared" si="54"/>
        <v xml:space="preserve"> - </v>
      </c>
      <c r="X16" s="212" t="str">
        <f t="shared" si="55"/>
        <v xml:space="preserve"> - </v>
      </c>
      <c r="Y16" s="212" t="str">
        <f t="shared" si="56"/>
        <v xml:space="preserve"> - </v>
      </c>
      <c r="Z16" s="212" t="str">
        <f t="shared" si="57"/>
        <v xml:space="preserve"> - </v>
      </c>
      <c r="AA16" s="212" t="str">
        <f t="shared" si="58"/>
        <v xml:space="preserve"> - </v>
      </c>
      <c r="AB16" s="192"/>
      <c r="AC16" s="197" t="str">
        <f t="shared" si="5"/>
        <v xml:space="preserve"> +</v>
      </c>
      <c r="AD16" s="197" t="str">
        <f t="shared" si="6"/>
        <v xml:space="preserve"> +</v>
      </c>
      <c r="AE16" s="197" t="str">
        <f t="shared" si="7"/>
        <v xml:space="preserve"> +</v>
      </c>
      <c r="AF16" s="197" t="str">
        <f t="shared" si="8"/>
        <v xml:space="preserve"> - </v>
      </c>
      <c r="AG16" s="192"/>
      <c r="AH16" s="197" t="str">
        <f t="shared" si="9"/>
        <v xml:space="preserve"> - </v>
      </c>
      <c r="AI16" s="197" t="str">
        <f t="shared" si="10"/>
        <v xml:space="preserve"> - </v>
      </c>
      <c r="AJ16" s="197" t="str">
        <f t="shared" si="11"/>
        <v xml:space="preserve"> - </v>
      </c>
      <c r="AK16" s="197" t="str">
        <f t="shared" si="12"/>
        <v xml:space="preserve"> - </v>
      </c>
      <c r="AL16" s="192"/>
      <c r="AM16" s="197" t="str">
        <f t="shared" si="59"/>
        <v xml:space="preserve"> - </v>
      </c>
      <c r="AN16" s="197" t="str">
        <f t="shared" si="60"/>
        <v xml:space="preserve"> - </v>
      </c>
      <c r="AO16" s="197" t="str">
        <f t="shared" si="61"/>
        <v xml:space="preserve"> - </v>
      </c>
      <c r="AP16" s="192"/>
      <c r="AQ16" s="197" t="str">
        <f t="shared" si="62"/>
        <v xml:space="preserve"> - </v>
      </c>
      <c r="AR16" s="192"/>
      <c r="AS16" s="212" t="str">
        <f t="shared" si="14"/>
        <v xml:space="preserve"> - </v>
      </c>
      <c r="AT16" s="212" t="str">
        <f t="shared" si="15"/>
        <v xml:space="preserve"> - </v>
      </c>
      <c r="AU16" s="212" t="str">
        <f t="shared" si="16"/>
        <v xml:space="preserve"> - </v>
      </c>
      <c r="AV16" s="212" t="str">
        <f t="shared" si="17"/>
        <v xml:space="preserve"> - </v>
      </c>
      <c r="AW16" s="247"/>
      <c r="AX16" s="212" t="str">
        <f t="shared" si="18"/>
        <v xml:space="preserve"> - </v>
      </c>
      <c r="AY16" s="212" t="str">
        <f t="shared" si="19"/>
        <v xml:space="preserve"> - </v>
      </c>
      <c r="AZ16" s="212" t="str">
        <f t="shared" si="20"/>
        <v xml:space="preserve"> - </v>
      </c>
      <c r="BA16" s="212" t="str">
        <f t="shared" si="21"/>
        <v xml:space="preserve"> - </v>
      </c>
      <c r="BB16" s="247"/>
      <c r="BC16" s="247"/>
      <c r="BD16" s="247"/>
      <c r="BE16" s="247"/>
      <c r="BF16" s="247"/>
      <c r="BG16" s="247"/>
      <c r="BH16" s="212" t="str">
        <f t="shared" si="50"/>
        <v xml:space="preserve"> - </v>
      </c>
      <c r="BI16" s="212" t="str">
        <f t="shared" si="51"/>
        <v xml:space="preserve"> - </v>
      </c>
      <c r="BJ16" s="212" t="str">
        <f t="shared" si="52"/>
        <v xml:space="preserve"> - </v>
      </c>
      <c r="BK16" s="212" t="str">
        <f t="shared" si="53"/>
        <v xml:space="preserve"> - </v>
      </c>
      <c r="BL16" s="192"/>
      <c r="BM16" s="135">
        <v>16</v>
      </c>
    </row>
    <row r="17" spans="1:65" x14ac:dyDescent="0.3">
      <c r="A17" s="366"/>
      <c r="B17" s="181" t="s">
        <v>280</v>
      </c>
      <c r="C17" s="135">
        <v>15</v>
      </c>
      <c r="D17" s="192"/>
      <c r="E17" s="214" t="s">
        <v>298</v>
      </c>
      <c r="F17" s="214" t="s">
        <v>298</v>
      </c>
      <c r="G17" s="214" t="s">
        <v>298</v>
      </c>
      <c r="H17" s="214" t="s">
        <v>298</v>
      </c>
      <c r="I17" s="214" t="s">
        <v>298</v>
      </c>
      <c r="J17" s="192"/>
      <c r="K17" s="214" t="s">
        <v>298</v>
      </c>
      <c r="L17" s="214" t="s">
        <v>298</v>
      </c>
      <c r="M17" s="214" t="s">
        <v>298</v>
      </c>
      <c r="N17" s="214" t="s">
        <v>298</v>
      </c>
      <c r="O17" s="214" t="s">
        <v>298</v>
      </c>
      <c r="P17" s="192"/>
      <c r="Q17" s="214" t="s">
        <v>298</v>
      </c>
      <c r="R17" s="214" t="s">
        <v>298</v>
      </c>
      <c r="S17" s="214" t="s">
        <v>298</v>
      </c>
      <c r="T17" s="214" t="s">
        <v>298</v>
      </c>
      <c r="U17" s="214" t="s">
        <v>298</v>
      </c>
      <c r="V17" s="192"/>
      <c r="W17" s="212" t="str">
        <f t="shared" si="54"/>
        <v xml:space="preserve"> +</v>
      </c>
      <c r="X17" s="212" t="str">
        <f t="shared" si="55"/>
        <v xml:space="preserve"> +</v>
      </c>
      <c r="Y17" s="212" t="str">
        <f t="shared" si="56"/>
        <v xml:space="preserve"> +</v>
      </c>
      <c r="Z17" s="212" t="str">
        <f t="shared" si="57"/>
        <v xml:space="preserve"> +</v>
      </c>
      <c r="AA17" s="212" t="str">
        <f t="shared" si="58"/>
        <v xml:space="preserve"> +</v>
      </c>
      <c r="AB17" s="192"/>
      <c r="AC17" s="197" t="str">
        <f t="shared" si="5"/>
        <v xml:space="preserve"> +</v>
      </c>
      <c r="AD17" s="197" t="str">
        <f t="shared" si="6"/>
        <v xml:space="preserve"> +</v>
      </c>
      <c r="AE17" s="197" t="str">
        <f t="shared" si="7"/>
        <v xml:space="preserve"> +</v>
      </c>
      <c r="AF17" s="197" t="str">
        <f t="shared" si="8"/>
        <v xml:space="preserve"> +</v>
      </c>
      <c r="AG17" s="192"/>
      <c r="AH17" s="197" t="str">
        <f t="shared" si="9"/>
        <v xml:space="preserve"> +</v>
      </c>
      <c r="AI17" s="197" t="str">
        <f t="shared" si="10"/>
        <v xml:space="preserve"> +</v>
      </c>
      <c r="AJ17" s="197" t="str">
        <f t="shared" si="11"/>
        <v xml:space="preserve"> +</v>
      </c>
      <c r="AK17" s="197" t="str">
        <f t="shared" si="12"/>
        <v xml:space="preserve"> +</v>
      </c>
      <c r="AL17" s="192"/>
      <c r="AM17" s="197" t="str">
        <f t="shared" si="59"/>
        <v xml:space="preserve"> +</v>
      </c>
      <c r="AN17" s="197" t="str">
        <f t="shared" si="60"/>
        <v xml:space="preserve"> +</v>
      </c>
      <c r="AO17" s="197" t="str">
        <f t="shared" si="61"/>
        <v xml:space="preserve"> +</v>
      </c>
      <c r="AP17" s="192"/>
      <c r="AQ17" s="197" t="str">
        <f t="shared" si="62"/>
        <v xml:space="preserve"> +</v>
      </c>
      <c r="AR17" s="192"/>
      <c r="AS17" s="212" t="str">
        <f t="shared" si="14"/>
        <v xml:space="preserve"> +</v>
      </c>
      <c r="AT17" s="212" t="str">
        <f t="shared" si="15"/>
        <v xml:space="preserve"> +</v>
      </c>
      <c r="AU17" s="212" t="str">
        <f t="shared" si="16"/>
        <v xml:space="preserve"> +</v>
      </c>
      <c r="AV17" s="212" t="str">
        <f t="shared" si="17"/>
        <v xml:space="preserve"> +</v>
      </c>
      <c r="AW17" s="247"/>
      <c r="AX17" s="212" t="str">
        <f t="shared" si="18"/>
        <v xml:space="preserve"> +</v>
      </c>
      <c r="AY17" s="212" t="str">
        <f t="shared" si="19"/>
        <v xml:space="preserve"> +</v>
      </c>
      <c r="AZ17" s="212" t="str">
        <f t="shared" si="20"/>
        <v xml:space="preserve"> +</v>
      </c>
      <c r="BA17" s="212" t="str">
        <f t="shared" si="21"/>
        <v xml:space="preserve"> +</v>
      </c>
      <c r="BB17" s="247"/>
      <c r="BC17" s="247"/>
      <c r="BD17" s="247"/>
      <c r="BE17" s="247"/>
      <c r="BF17" s="247"/>
      <c r="BG17" s="247"/>
      <c r="BH17" s="212" t="str">
        <f t="shared" si="50"/>
        <v xml:space="preserve"> +</v>
      </c>
      <c r="BI17" s="212" t="str">
        <f t="shared" si="51"/>
        <v xml:space="preserve"> +</v>
      </c>
      <c r="BJ17" s="212" t="str">
        <f t="shared" si="52"/>
        <v xml:space="preserve"> +</v>
      </c>
      <c r="BK17" s="212" t="str">
        <f t="shared" si="53"/>
        <v xml:space="preserve"> +</v>
      </c>
      <c r="BL17" s="192"/>
      <c r="BM17" s="135">
        <v>17</v>
      </c>
    </row>
    <row r="18" spans="1:65" s="147" customFormat="1" x14ac:dyDescent="0.3">
      <c r="A18" s="366"/>
      <c r="B18" s="181" t="s">
        <v>281</v>
      </c>
      <c r="C18" s="135">
        <v>16</v>
      </c>
      <c r="D18" s="192"/>
      <c r="E18" s="214" t="s">
        <v>300</v>
      </c>
      <c r="F18" s="214" t="s">
        <v>300</v>
      </c>
      <c r="G18" s="214" t="s">
        <v>300</v>
      </c>
      <c r="H18" s="214" t="s">
        <v>311</v>
      </c>
      <c r="I18" s="214" t="s">
        <v>298</v>
      </c>
      <c r="J18" s="192"/>
      <c r="K18" s="214" t="s">
        <v>304</v>
      </c>
      <c r="L18" s="214" t="s">
        <v>304</v>
      </c>
      <c r="M18" s="214" t="s">
        <v>304</v>
      </c>
      <c r="N18" s="214" t="s">
        <v>298</v>
      </c>
      <c r="O18" s="214" t="s">
        <v>299</v>
      </c>
      <c r="P18" s="192"/>
      <c r="Q18" s="214" t="s">
        <v>299</v>
      </c>
      <c r="R18" s="214" t="s">
        <v>299</v>
      </c>
      <c r="S18" s="214" t="s">
        <v>299</v>
      </c>
      <c r="T18" s="214" t="s">
        <v>299</v>
      </c>
      <c r="U18" s="214" t="s">
        <v>299</v>
      </c>
      <c r="V18" s="192"/>
      <c r="W18" s="212" t="str">
        <f t="shared" si="54"/>
        <v xml:space="preserve"> - </v>
      </c>
      <c r="X18" s="212" t="str">
        <f t="shared" si="55"/>
        <v xml:space="preserve"> - </v>
      </c>
      <c r="Y18" s="212" t="str">
        <f t="shared" si="56"/>
        <v xml:space="preserve"> - </v>
      </c>
      <c r="Z18" s="212" t="str">
        <f t="shared" si="57"/>
        <v xml:space="preserve"> - </v>
      </c>
      <c r="AA18" s="212" t="str">
        <f t="shared" si="58"/>
        <v xml:space="preserve"> - </v>
      </c>
      <c r="AB18" s="192"/>
      <c r="AC18" s="197" t="str">
        <f t="shared" si="5"/>
        <v xml:space="preserve"> +
с фильтрами по профилю, тематике и "Показать самое важное"</v>
      </c>
      <c r="AD18" s="197" t="str">
        <f t="shared" si="6"/>
        <v xml:space="preserve"> +
с фильтрами по профилю, тематике и "Показать самое важное"</v>
      </c>
      <c r="AE18" s="197" t="str">
        <f t="shared" si="7"/>
        <v xml:space="preserve"> +
с фильтрами по профилю, тематике и "Показать самое важное"</v>
      </c>
      <c r="AF18" s="197" t="str">
        <f t="shared" si="8"/>
        <v xml:space="preserve"> +
с фильтром "Показать самое важное"</v>
      </c>
      <c r="AG18" s="192"/>
      <c r="AH18" s="197" t="str">
        <f t="shared" si="9"/>
        <v xml:space="preserve"> +
с фильтрами по профилю и тематике</v>
      </c>
      <c r="AI18" s="197" t="str">
        <f t="shared" si="10"/>
        <v xml:space="preserve"> +
с фильтрами по профилю и тематике</v>
      </c>
      <c r="AJ18" s="197" t="str">
        <f t="shared" si="11"/>
        <v xml:space="preserve"> +
с фильтрами по профилю и тематике</v>
      </c>
      <c r="AK18" s="197" t="str">
        <f t="shared" si="12"/>
        <v xml:space="preserve"> +</v>
      </c>
      <c r="AL18" s="192"/>
      <c r="AM18" s="197" t="str">
        <f t="shared" ref="AM18:AM20" si="63">Q18</f>
        <v xml:space="preserve"> - </v>
      </c>
      <c r="AN18" s="197" t="str">
        <f t="shared" ref="AN18:AN20" si="64">R18</f>
        <v xml:space="preserve"> - </v>
      </c>
      <c r="AO18" s="197" t="str">
        <f t="shared" ref="AO18:AO20" si="65">S18</f>
        <v xml:space="preserve"> - </v>
      </c>
      <c r="AP18" s="192"/>
      <c r="AQ18" s="212" t="str">
        <f t="shared" si="62"/>
        <v xml:space="preserve"> - </v>
      </c>
      <c r="AR18" s="192"/>
      <c r="AS18" s="212" t="str">
        <f t="shared" si="14"/>
        <v xml:space="preserve"> +
с фильтром "Показать самое важное"</v>
      </c>
      <c r="AT18" s="212" t="str">
        <f t="shared" si="15"/>
        <v xml:space="preserve"> +
с фильтром "Показать самое важное"</v>
      </c>
      <c r="AU18" s="212" t="str">
        <f t="shared" si="16"/>
        <v xml:space="preserve"> +</v>
      </c>
      <c r="AV18" s="212" t="str">
        <f t="shared" si="17"/>
        <v xml:space="preserve"> +</v>
      </c>
      <c r="AW18" s="247"/>
      <c r="AX18" s="212" t="str">
        <f t="shared" si="18"/>
        <v xml:space="preserve"> +</v>
      </c>
      <c r="AY18" s="212" t="str">
        <f t="shared" si="19"/>
        <v xml:space="preserve"> +</v>
      </c>
      <c r="AZ18" s="212" t="str">
        <f t="shared" si="20"/>
        <v xml:space="preserve"> - </v>
      </c>
      <c r="BA18" s="212" t="str">
        <f t="shared" si="21"/>
        <v xml:space="preserve"> - </v>
      </c>
      <c r="BB18" s="247"/>
      <c r="BC18" s="247"/>
      <c r="BD18" s="247"/>
      <c r="BE18" s="247"/>
      <c r="BF18" s="247"/>
      <c r="BG18" s="247"/>
      <c r="BH18" s="212" t="str">
        <f t="shared" si="50"/>
        <v xml:space="preserve"> - </v>
      </c>
      <c r="BI18" s="212" t="str">
        <f t="shared" si="51"/>
        <v xml:space="preserve"> - </v>
      </c>
      <c r="BJ18" s="212" t="str">
        <f t="shared" si="52"/>
        <v xml:space="preserve"> - </v>
      </c>
      <c r="BK18" s="212" t="str">
        <f t="shared" si="53"/>
        <v xml:space="preserve"> - </v>
      </c>
      <c r="BL18" s="192"/>
      <c r="BM18" s="135">
        <v>18</v>
      </c>
    </row>
    <row r="19" spans="1:65" s="147" customFormat="1" x14ac:dyDescent="0.3">
      <c r="A19" s="366"/>
      <c r="B19" s="181" t="s">
        <v>270</v>
      </c>
      <c r="C19" s="135">
        <v>17</v>
      </c>
      <c r="D19" s="192"/>
      <c r="E19" s="214" t="s">
        <v>381</v>
      </c>
      <c r="F19" s="214" t="s">
        <v>381</v>
      </c>
      <c r="G19" s="214" t="s">
        <v>298</v>
      </c>
      <c r="H19" s="214" t="s">
        <v>298</v>
      </c>
      <c r="I19" s="214" t="s">
        <v>299</v>
      </c>
      <c r="J19" s="192"/>
      <c r="K19" s="214" t="s">
        <v>298</v>
      </c>
      <c r="L19" s="214" t="s">
        <v>298</v>
      </c>
      <c r="M19" s="214" t="s">
        <v>298</v>
      </c>
      <c r="N19" s="214" t="s">
        <v>299</v>
      </c>
      <c r="O19" s="214" t="s">
        <v>299</v>
      </c>
      <c r="P19" s="192"/>
      <c r="Q19" s="214" t="s">
        <v>299</v>
      </c>
      <c r="R19" s="214" t="s">
        <v>299</v>
      </c>
      <c r="S19" s="214" t="s">
        <v>299</v>
      </c>
      <c r="T19" s="214" t="s">
        <v>299</v>
      </c>
      <c r="U19" s="214" t="s">
        <v>299</v>
      </c>
      <c r="V19" s="192"/>
      <c r="W19" s="212" t="str">
        <f t="shared" si="54"/>
        <v xml:space="preserve"> - </v>
      </c>
      <c r="X19" s="212" t="str">
        <f t="shared" si="55"/>
        <v xml:space="preserve"> - </v>
      </c>
      <c r="Y19" s="212" t="str">
        <f t="shared" si="56"/>
        <v xml:space="preserve"> - </v>
      </c>
      <c r="Z19" s="212" t="str">
        <f t="shared" si="57"/>
        <v xml:space="preserve"> - </v>
      </c>
      <c r="AA19" s="212" t="str">
        <f t="shared" si="58"/>
        <v xml:space="preserve"> - </v>
      </c>
      <c r="AB19" s="192"/>
      <c r="AC19" s="197" t="str">
        <f t="shared" si="5"/>
        <v xml:space="preserve"> +
включая блок «Последние просмотренные контрагенты»</v>
      </c>
      <c r="AD19" s="197" t="str">
        <f t="shared" si="6"/>
        <v xml:space="preserve"> +
включая блок «Последние просмотренные контрагенты»</v>
      </c>
      <c r="AE19" s="197" t="str">
        <f t="shared" si="7"/>
        <v xml:space="preserve"> +</v>
      </c>
      <c r="AF19" s="197" t="str">
        <f t="shared" si="8"/>
        <v xml:space="preserve"> +</v>
      </c>
      <c r="AG19" s="192"/>
      <c r="AH19" s="197" t="str">
        <f t="shared" si="9"/>
        <v xml:space="preserve"> +</v>
      </c>
      <c r="AI19" s="197" t="str">
        <f t="shared" si="10"/>
        <v xml:space="preserve"> +</v>
      </c>
      <c r="AJ19" s="197" t="str">
        <f t="shared" si="11"/>
        <v xml:space="preserve"> +</v>
      </c>
      <c r="AK19" s="197" t="str">
        <f t="shared" si="12"/>
        <v xml:space="preserve"> - </v>
      </c>
      <c r="AL19" s="192"/>
      <c r="AM19" s="197" t="str">
        <f t="shared" si="63"/>
        <v xml:space="preserve"> - </v>
      </c>
      <c r="AN19" s="197" t="str">
        <f t="shared" si="64"/>
        <v xml:space="preserve"> - </v>
      </c>
      <c r="AO19" s="197" t="str">
        <f t="shared" si="65"/>
        <v xml:space="preserve"> - </v>
      </c>
      <c r="AP19" s="192"/>
      <c r="AQ19" s="212" t="str">
        <f t="shared" si="62"/>
        <v xml:space="preserve"> - </v>
      </c>
      <c r="AR19" s="192"/>
      <c r="AS19" s="212" t="str">
        <f t="shared" si="14"/>
        <v xml:space="preserve"> +</v>
      </c>
      <c r="AT19" s="212" t="str">
        <f t="shared" si="15"/>
        <v xml:space="preserve"> +</v>
      </c>
      <c r="AU19" s="212" t="str">
        <f t="shared" si="16"/>
        <v xml:space="preserve"> - </v>
      </c>
      <c r="AV19" s="212" t="str">
        <f t="shared" si="17"/>
        <v xml:space="preserve"> - </v>
      </c>
      <c r="AW19" s="247"/>
      <c r="AX19" s="212" t="str">
        <f t="shared" si="18"/>
        <v xml:space="preserve"> - </v>
      </c>
      <c r="AY19" s="212" t="str">
        <f t="shared" si="19"/>
        <v xml:space="preserve"> - </v>
      </c>
      <c r="AZ19" s="212" t="str">
        <f t="shared" si="20"/>
        <v xml:space="preserve"> - </v>
      </c>
      <c r="BA19" s="212" t="str">
        <f t="shared" si="21"/>
        <v xml:space="preserve"> - </v>
      </c>
      <c r="BB19" s="247"/>
      <c r="BC19" s="247"/>
      <c r="BD19" s="247"/>
      <c r="BE19" s="247"/>
      <c r="BF19" s="247"/>
      <c r="BG19" s="247"/>
      <c r="BH19" s="212" t="str">
        <f t="shared" si="50"/>
        <v xml:space="preserve"> - </v>
      </c>
      <c r="BI19" s="212" t="str">
        <f t="shared" si="51"/>
        <v xml:space="preserve"> - </v>
      </c>
      <c r="BJ19" s="212" t="str">
        <f t="shared" si="52"/>
        <v xml:space="preserve"> - </v>
      </c>
      <c r="BK19" s="212" t="str">
        <f t="shared" si="53"/>
        <v xml:space="preserve"> - </v>
      </c>
      <c r="BL19" s="192"/>
      <c r="BM19" s="135">
        <v>19</v>
      </c>
    </row>
    <row r="20" spans="1:65" x14ac:dyDescent="0.3">
      <c r="A20" s="366"/>
      <c r="B20" s="181" t="s">
        <v>64</v>
      </c>
      <c r="C20" s="135">
        <v>18</v>
      </c>
      <c r="D20" s="192"/>
      <c r="E20" s="215" t="s">
        <v>298</v>
      </c>
      <c r="F20" s="215" t="s">
        <v>298</v>
      </c>
      <c r="G20" s="215" t="s">
        <v>299</v>
      </c>
      <c r="H20" s="214" t="s">
        <v>299</v>
      </c>
      <c r="I20" s="214" t="s">
        <v>299</v>
      </c>
      <c r="J20" s="192"/>
      <c r="K20" s="214" t="s">
        <v>298</v>
      </c>
      <c r="L20" s="214" t="s">
        <v>298</v>
      </c>
      <c r="M20" s="214" t="s">
        <v>299</v>
      </c>
      <c r="N20" s="214" t="s">
        <v>299</v>
      </c>
      <c r="O20" s="214" t="s">
        <v>299</v>
      </c>
      <c r="P20" s="192"/>
      <c r="Q20" s="214" t="s">
        <v>299</v>
      </c>
      <c r="R20" s="214" t="s">
        <v>299</v>
      </c>
      <c r="S20" s="214" t="s">
        <v>299</v>
      </c>
      <c r="T20" s="214" t="s">
        <v>299</v>
      </c>
      <c r="U20" s="214" t="s">
        <v>299</v>
      </c>
      <c r="V20" s="192"/>
      <c r="W20" s="212" t="str">
        <f t="shared" si="54"/>
        <v xml:space="preserve"> - </v>
      </c>
      <c r="X20" s="212" t="str">
        <f t="shared" si="55"/>
        <v xml:space="preserve"> - </v>
      </c>
      <c r="Y20" s="212" t="str">
        <f t="shared" si="56"/>
        <v xml:space="preserve"> - </v>
      </c>
      <c r="Z20" s="212" t="str">
        <f t="shared" si="57"/>
        <v xml:space="preserve"> - </v>
      </c>
      <c r="AA20" s="212" t="str">
        <f t="shared" si="58"/>
        <v xml:space="preserve"> - </v>
      </c>
      <c r="AB20" s="192"/>
      <c r="AC20" s="197" t="str">
        <f t="shared" si="5"/>
        <v xml:space="preserve"> +</v>
      </c>
      <c r="AD20" s="197" t="str">
        <f t="shared" si="6"/>
        <v xml:space="preserve"> +</v>
      </c>
      <c r="AE20" s="197" t="str">
        <f t="shared" si="7"/>
        <v xml:space="preserve"> - </v>
      </c>
      <c r="AF20" s="197" t="str">
        <f t="shared" si="8"/>
        <v xml:space="preserve"> - </v>
      </c>
      <c r="AG20" s="192"/>
      <c r="AH20" s="197" t="str">
        <f t="shared" si="9"/>
        <v xml:space="preserve"> +</v>
      </c>
      <c r="AI20" s="197" t="str">
        <f t="shared" si="10"/>
        <v xml:space="preserve"> +</v>
      </c>
      <c r="AJ20" s="197" t="str">
        <f t="shared" si="11"/>
        <v xml:space="preserve"> - </v>
      </c>
      <c r="AK20" s="197" t="str">
        <f t="shared" si="12"/>
        <v xml:space="preserve"> - </v>
      </c>
      <c r="AL20" s="192"/>
      <c r="AM20" s="197" t="str">
        <f t="shared" si="63"/>
        <v xml:space="preserve"> - </v>
      </c>
      <c r="AN20" s="197" t="str">
        <f t="shared" si="64"/>
        <v xml:space="preserve"> - </v>
      </c>
      <c r="AO20" s="197" t="str">
        <f t="shared" si="65"/>
        <v xml:space="preserve"> - </v>
      </c>
      <c r="AP20" s="192"/>
      <c r="AQ20" s="197" t="str">
        <f t="shared" si="62"/>
        <v xml:space="preserve"> - </v>
      </c>
      <c r="AR20" s="192"/>
      <c r="AS20" s="212" t="str">
        <f t="shared" si="14"/>
        <v xml:space="preserve"> - </v>
      </c>
      <c r="AT20" s="212" t="str">
        <f t="shared" si="15"/>
        <v xml:space="preserve"> - </v>
      </c>
      <c r="AU20" s="212" t="str">
        <f t="shared" si="16"/>
        <v xml:space="preserve"> - </v>
      </c>
      <c r="AV20" s="212" t="str">
        <f t="shared" si="17"/>
        <v xml:space="preserve"> - </v>
      </c>
      <c r="AW20" s="247"/>
      <c r="AX20" s="212" t="str">
        <f t="shared" si="18"/>
        <v xml:space="preserve"> - </v>
      </c>
      <c r="AY20" s="212" t="str">
        <f t="shared" si="19"/>
        <v xml:space="preserve"> - </v>
      </c>
      <c r="AZ20" s="212" t="str">
        <f t="shared" si="20"/>
        <v xml:space="preserve"> - </v>
      </c>
      <c r="BA20" s="212" t="str">
        <f t="shared" si="21"/>
        <v xml:space="preserve"> - </v>
      </c>
      <c r="BB20" s="247"/>
      <c r="BC20" s="247"/>
      <c r="BD20" s="247"/>
      <c r="BE20" s="247"/>
      <c r="BF20" s="247"/>
      <c r="BG20" s="247"/>
      <c r="BH20" s="212" t="str">
        <f t="shared" si="50"/>
        <v xml:space="preserve"> - </v>
      </c>
      <c r="BI20" s="212" t="str">
        <f t="shared" si="51"/>
        <v xml:space="preserve"> - </v>
      </c>
      <c r="BJ20" s="212" t="str">
        <f t="shared" si="52"/>
        <v xml:space="preserve"> - </v>
      </c>
      <c r="BK20" s="212" t="str">
        <f t="shared" si="53"/>
        <v xml:space="preserve"> - </v>
      </c>
      <c r="BL20" s="192"/>
      <c r="BM20" s="135">
        <v>20</v>
      </c>
    </row>
    <row r="21" spans="1:65" x14ac:dyDescent="0.3">
      <c r="A21" s="366"/>
      <c r="B21" s="181" t="s">
        <v>29</v>
      </c>
      <c r="C21" s="135">
        <v>19</v>
      </c>
      <c r="D21" s="192"/>
      <c r="E21" s="214" t="s">
        <v>382</v>
      </c>
      <c r="F21" s="214" t="s">
        <v>382</v>
      </c>
      <c r="G21" s="214" t="s">
        <v>382</v>
      </c>
      <c r="H21" s="214" t="s">
        <v>382</v>
      </c>
      <c r="I21" s="214" t="s">
        <v>382</v>
      </c>
      <c r="J21" s="192"/>
      <c r="K21" s="214" t="s">
        <v>382</v>
      </c>
      <c r="L21" s="214" t="s">
        <v>382</v>
      </c>
      <c r="M21" s="214" t="s">
        <v>382</v>
      </c>
      <c r="N21" s="214" t="s">
        <v>382</v>
      </c>
      <c r="O21" s="214" t="s">
        <v>382</v>
      </c>
      <c r="P21" s="192"/>
      <c r="Q21" s="214" t="s">
        <v>382</v>
      </c>
      <c r="R21" s="214" t="s">
        <v>382</v>
      </c>
      <c r="S21" s="214" t="s">
        <v>382</v>
      </c>
      <c r="T21" s="214" t="s">
        <v>382</v>
      </c>
      <c r="U21" s="214" t="s">
        <v>382</v>
      </c>
      <c r="V21" s="192"/>
      <c r="W21" s="212" t="str">
        <f t="shared" si="54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X21" s="212" t="str">
        <f t="shared" si="55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Y21" s="212" t="str">
        <f t="shared" si="56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Z21" s="212" t="str">
        <f t="shared" si="57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A21" s="212" t="str">
        <f t="shared" si="58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B21" s="192"/>
      <c r="AC21" s="197" t="str">
        <f t="shared" si="5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D21" s="197" t="str">
        <f t="shared" si="6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E21" s="197" t="str">
        <f t="shared" si="7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F21" s="197" t="str">
        <f t="shared" si="8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G21" s="192"/>
      <c r="AH21" s="197" t="str">
        <f t="shared" si="9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I21" s="197" t="str">
        <f t="shared" si="10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J21" s="197" t="str">
        <f t="shared" si="11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K21" s="197" t="str">
        <f t="shared" si="12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L21" s="192"/>
      <c r="AM21" s="197" t="str">
        <f t="shared" si="59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N21" s="197" t="str">
        <f t="shared" si="60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O21" s="197" t="str">
        <f t="shared" si="61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P21" s="192"/>
      <c r="AQ21" s="197" t="str">
        <f t="shared" si="62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R21" s="192"/>
      <c r="AS21" s="212" t="str">
        <f t="shared" si="14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T21" s="212" t="str">
        <f t="shared" si="15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U21" s="212" t="str">
        <f t="shared" si="16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V21" s="212" t="str">
        <f t="shared" si="17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W21" s="247"/>
      <c r="AX21" s="212" t="str">
        <f t="shared" si="18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Y21" s="212" t="str">
        <f t="shared" si="19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AZ21" s="212" t="str">
        <f t="shared" si="20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BA21" s="212" t="str">
        <f t="shared" si="21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BB21" s="247"/>
      <c r="BC21" s="247"/>
      <c r="BD21" s="247"/>
      <c r="BE21" s="247"/>
      <c r="BF21" s="247"/>
      <c r="BG21" s="247"/>
      <c r="BH21" s="212" t="str">
        <f t="shared" si="50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BI21" s="212" t="str">
        <f t="shared" si="51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BJ21" s="212" t="str">
        <f t="shared" si="52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BK21" s="212" t="str">
        <f t="shared" si="53"/>
        <v xml:space="preserve"> +
включая:
Исправление опечаток в поисковом запросе
Возможность распознавания поиском аббревиатур, сокращений, синонимов, некоторых понятий профсленга</v>
      </c>
      <c r="BL21" s="192"/>
      <c r="BM21" s="135">
        <v>21</v>
      </c>
    </row>
    <row r="22" spans="1:65" x14ac:dyDescent="0.3">
      <c r="A22" s="366"/>
      <c r="B22" s="181" t="s">
        <v>282</v>
      </c>
      <c r="C22" s="135">
        <v>20</v>
      </c>
      <c r="D22" s="192"/>
      <c r="E22" s="214" t="s">
        <v>298</v>
      </c>
      <c r="F22" s="214" t="s">
        <v>298</v>
      </c>
      <c r="G22" s="214" t="s">
        <v>298</v>
      </c>
      <c r="H22" s="214" t="s">
        <v>298</v>
      </c>
      <c r="I22" s="214" t="s">
        <v>298</v>
      </c>
      <c r="J22" s="192"/>
      <c r="K22" s="214" t="s">
        <v>299</v>
      </c>
      <c r="L22" s="214" t="s">
        <v>299</v>
      </c>
      <c r="M22" s="214" t="s">
        <v>299</v>
      </c>
      <c r="N22" s="214" t="s">
        <v>299</v>
      </c>
      <c r="O22" s="214" t="s">
        <v>299</v>
      </c>
      <c r="P22" s="192"/>
      <c r="Q22" s="214" t="s">
        <v>299</v>
      </c>
      <c r="R22" s="214" t="s">
        <v>299</v>
      </c>
      <c r="S22" s="214" t="s">
        <v>299</v>
      </c>
      <c r="T22" s="214" t="s">
        <v>299</v>
      </c>
      <c r="U22" s="214" t="s">
        <v>299</v>
      </c>
      <c r="V22" s="192"/>
      <c r="W22" s="212" t="str">
        <f t="shared" si="54"/>
        <v xml:space="preserve"> - </v>
      </c>
      <c r="X22" s="212" t="str">
        <f t="shared" si="55"/>
        <v xml:space="preserve"> - </v>
      </c>
      <c r="Y22" s="212" t="str">
        <f t="shared" si="56"/>
        <v xml:space="preserve"> - </v>
      </c>
      <c r="Z22" s="212" t="str">
        <f t="shared" si="57"/>
        <v xml:space="preserve"> - </v>
      </c>
      <c r="AA22" s="212" t="str">
        <f t="shared" si="58"/>
        <v xml:space="preserve"> - </v>
      </c>
      <c r="AB22" s="192"/>
      <c r="AC22" s="197" t="str">
        <f t="shared" si="5"/>
        <v xml:space="preserve"> +</v>
      </c>
      <c r="AD22" s="197" t="str">
        <f t="shared" si="6"/>
        <v xml:space="preserve"> +</v>
      </c>
      <c r="AE22" s="197" t="str">
        <f t="shared" si="7"/>
        <v xml:space="preserve"> +</v>
      </c>
      <c r="AF22" s="197" t="str">
        <f t="shared" si="8"/>
        <v xml:space="preserve"> +</v>
      </c>
      <c r="AG22" s="192"/>
      <c r="AH22" s="197" t="str">
        <f t="shared" si="9"/>
        <v xml:space="preserve"> - </v>
      </c>
      <c r="AI22" s="197" t="str">
        <f t="shared" si="10"/>
        <v xml:space="preserve"> - </v>
      </c>
      <c r="AJ22" s="197" t="str">
        <f t="shared" si="11"/>
        <v xml:space="preserve"> - </v>
      </c>
      <c r="AK22" s="197" t="str">
        <f t="shared" si="12"/>
        <v xml:space="preserve"> - </v>
      </c>
      <c r="AL22" s="192"/>
      <c r="AM22" s="197" t="str">
        <f t="shared" si="59"/>
        <v xml:space="preserve"> - </v>
      </c>
      <c r="AN22" s="197" t="str">
        <f t="shared" si="60"/>
        <v xml:space="preserve"> - </v>
      </c>
      <c r="AO22" s="197" t="str">
        <f t="shared" si="61"/>
        <v xml:space="preserve"> - </v>
      </c>
      <c r="AP22" s="192"/>
      <c r="AQ22" s="197" t="str">
        <f t="shared" si="62"/>
        <v xml:space="preserve"> - </v>
      </c>
      <c r="AR22" s="192"/>
      <c r="AS22" s="212" t="str">
        <f t="shared" si="14"/>
        <v xml:space="preserve"> +</v>
      </c>
      <c r="AT22" s="212" t="str">
        <f t="shared" si="15"/>
        <v xml:space="preserve"> +</v>
      </c>
      <c r="AU22" s="212" t="str">
        <f t="shared" si="16"/>
        <v xml:space="preserve"> +</v>
      </c>
      <c r="AV22" s="212" t="str">
        <f t="shared" si="17"/>
        <v xml:space="preserve"> +</v>
      </c>
      <c r="AW22" s="247"/>
      <c r="AX22" s="212" t="str">
        <f t="shared" si="18"/>
        <v xml:space="preserve"> - </v>
      </c>
      <c r="AY22" s="212" t="str">
        <f t="shared" si="19"/>
        <v xml:space="preserve"> - </v>
      </c>
      <c r="AZ22" s="212" t="str">
        <f t="shared" si="20"/>
        <v xml:space="preserve"> - </v>
      </c>
      <c r="BA22" s="212" t="str">
        <f t="shared" si="21"/>
        <v xml:space="preserve"> - </v>
      </c>
      <c r="BB22" s="247"/>
      <c r="BC22" s="247"/>
      <c r="BD22" s="247"/>
      <c r="BE22" s="247"/>
      <c r="BF22" s="247"/>
      <c r="BG22" s="247"/>
      <c r="BH22" s="212" t="str">
        <f t="shared" si="50"/>
        <v xml:space="preserve"> - </v>
      </c>
      <c r="BI22" s="212" t="str">
        <f t="shared" si="51"/>
        <v xml:space="preserve"> - </v>
      </c>
      <c r="BJ22" s="212" t="str">
        <f t="shared" si="52"/>
        <v xml:space="preserve"> - </v>
      </c>
      <c r="BK22" s="212" t="str">
        <f t="shared" si="53"/>
        <v xml:space="preserve"> - </v>
      </c>
      <c r="BL22" s="192"/>
      <c r="BM22" s="135">
        <v>22</v>
      </c>
    </row>
    <row r="23" spans="1:65" x14ac:dyDescent="0.3">
      <c r="A23" s="366"/>
      <c r="B23" s="181" t="s">
        <v>283</v>
      </c>
      <c r="C23" s="135">
        <v>21</v>
      </c>
      <c r="D23" s="192"/>
      <c r="E23" s="214" t="s">
        <v>298</v>
      </c>
      <c r="F23" s="214" t="s">
        <v>298</v>
      </c>
      <c r="G23" s="214" t="s">
        <v>298</v>
      </c>
      <c r="H23" s="214" t="s">
        <v>298</v>
      </c>
      <c r="I23" s="214" t="s">
        <v>298</v>
      </c>
      <c r="J23" s="192"/>
      <c r="K23" s="214" t="s">
        <v>298</v>
      </c>
      <c r="L23" s="214" t="s">
        <v>298</v>
      </c>
      <c r="M23" s="214" t="s">
        <v>298</v>
      </c>
      <c r="N23" s="214" t="s">
        <v>298</v>
      </c>
      <c r="O23" s="214" t="s">
        <v>298</v>
      </c>
      <c r="P23" s="192"/>
      <c r="Q23" s="214" t="s">
        <v>298</v>
      </c>
      <c r="R23" s="214" t="s">
        <v>298</v>
      </c>
      <c r="S23" s="214" t="s">
        <v>298</v>
      </c>
      <c r="T23" s="214" t="s">
        <v>298</v>
      </c>
      <c r="U23" s="214" t="s">
        <v>298</v>
      </c>
      <c r="V23" s="192"/>
      <c r="W23" s="212" t="str">
        <f t="shared" si="54"/>
        <v xml:space="preserve"> +</v>
      </c>
      <c r="X23" s="212" t="str">
        <f t="shared" si="55"/>
        <v xml:space="preserve"> +</v>
      </c>
      <c r="Y23" s="212" t="str">
        <f t="shared" si="56"/>
        <v xml:space="preserve"> +</v>
      </c>
      <c r="Z23" s="212" t="str">
        <f t="shared" si="57"/>
        <v xml:space="preserve"> +</v>
      </c>
      <c r="AA23" s="212" t="str">
        <f t="shared" si="58"/>
        <v xml:space="preserve"> +</v>
      </c>
      <c r="AB23" s="192"/>
      <c r="AC23" s="197" t="str">
        <f t="shared" si="5"/>
        <v xml:space="preserve"> +</v>
      </c>
      <c r="AD23" s="197" t="str">
        <f t="shared" si="6"/>
        <v xml:space="preserve"> +</v>
      </c>
      <c r="AE23" s="197" t="str">
        <f t="shared" si="7"/>
        <v xml:space="preserve"> +</v>
      </c>
      <c r="AF23" s="197" t="str">
        <f t="shared" si="8"/>
        <v xml:space="preserve"> +</v>
      </c>
      <c r="AG23" s="192"/>
      <c r="AH23" s="197" t="str">
        <f t="shared" si="9"/>
        <v xml:space="preserve"> +</v>
      </c>
      <c r="AI23" s="197" t="str">
        <f t="shared" si="10"/>
        <v xml:space="preserve"> +</v>
      </c>
      <c r="AJ23" s="197" t="str">
        <f t="shared" si="11"/>
        <v xml:space="preserve"> +</v>
      </c>
      <c r="AK23" s="197" t="str">
        <f t="shared" si="12"/>
        <v xml:space="preserve"> +</v>
      </c>
      <c r="AL23" s="192"/>
      <c r="AM23" s="197" t="str">
        <f t="shared" si="59"/>
        <v xml:space="preserve"> +</v>
      </c>
      <c r="AN23" s="197" t="str">
        <f t="shared" si="60"/>
        <v xml:space="preserve"> +</v>
      </c>
      <c r="AO23" s="197" t="str">
        <f t="shared" si="61"/>
        <v xml:space="preserve"> +</v>
      </c>
      <c r="AP23" s="192"/>
      <c r="AQ23" s="197" t="str">
        <f t="shared" si="62"/>
        <v xml:space="preserve"> +</v>
      </c>
      <c r="AR23" s="192"/>
      <c r="AS23" s="212" t="str">
        <f t="shared" si="14"/>
        <v xml:space="preserve"> +</v>
      </c>
      <c r="AT23" s="212" t="str">
        <f t="shared" si="15"/>
        <v xml:space="preserve"> +</v>
      </c>
      <c r="AU23" s="212" t="str">
        <f t="shared" si="16"/>
        <v xml:space="preserve"> +</v>
      </c>
      <c r="AV23" s="212" t="str">
        <f t="shared" si="17"/>
        <v xml:space="preserve"> +</v>
      </c>
      <c r="AW23" s="247"/>
      <c r="AX23" s="212" t="str">
        <f t="shared" si="18"/>
        <v xml:space="preserve"> +</v>
      </c>
      <c r="AY23" s="212" t="str">
        <f t="shared" si="19"/>
        <v xml:space="preserve"> +</v>
      </c>
      <c r="AZ23" s="212" t="str">
        <f t="shared" si="20"/>
        <v xml:space="preserve"> +</v>
      </c>
      <c r="BA23" s="212" t="str">
        <f t="shared" si="21"/>
        <v xml:space="preserve"> +</v>
      </c>
      <c r="BB23" s="247"/>
      <c r="BC23" s="247"/>
      <c r="BD23" s="247"/>
      <c r="BE23" s="247"/>
      <c r="BF23" s="247"/>
      <c r="BG23" s="247"/>
      <c r="BH23" s="212" t="str">
        <f t="shared" si="50"/>
        <v xml:space="preserve"> +</v>
      </c>
      <c r="BI23" s="212" t="str">
        <f t="shared" si="51"/>
        <v xml:space="preserve"> +</v>
      </c>
      <c r="BJ23" s="212" t="str">
        <f t="shared" si="52"/>
        <v xml:space="preserve"> +</v>
      </c>
      <c r="BK23" s="212" t="str">
        <f t="shared" si="53"/>
        <v xml:space="preserve"> +</v>
      </c>
      <c r="BL23" s="192"/>
      <c r="BM23" s="135">
        <v>23</v>
      </c>
    </row>
    <row r="24" spans="1:65" x14ac:dyDescent="0.3">
      <c r="A24" s="366"/>
      <c r="B24" s="181" t="s">
        <v>37</v>
      </c>
      <c r="C24" s="135">
        <v>22</v>
      </c>
      <c r="D24" s="192"/>
      <c r="E24" s="214" t="s">
        <v>298</v>
      </c>
      <c r="F24" s="214" t="s">
        <v>298</v>
      </c>
      <c r="G24" s="214" t="s">
        <v>298</v>
      </c>
      <c r="H24" s="214" t="s">
        <v>298</v>
      </c>
      <c r="I24" s="214" t="s">
        <v>298</v>
      </c>
      <c r="J24" s="192"/>
      <c r="K24" s="214" t="s">
        <v>298</v>
      </c>
      <c r="L24" s="214" t="s">
        <v>298</v>
      </c>
      <c r="M24" s="214" t="s">
        <v>298</v>
      </c>
      <c r="N24" s="214" t="s">
        <v>298</v>
      </c>
      <c r="O24" s="214" t="s">
        <v>299</v>
      </c>
      <c r="P24" s="192"/>
      <c r="Q24" s="214" t="s">
        <v>299</v>
      </c>
      <c r="R24" s="214" t="s">
        <v>299</v>
      </c>
      <c r="S24" s="214" t="s">
        <v>299</v>
      </c>
      <c r="T24" s="214" t="s">
        <v>299</v>
      </c>
      <c r="U24" s="214" t="s">
        <v>299</v>
      </c>
      <c r="V24" s="192"/>
      <c r="W24" s="212" t="str">
        <f t="shared" si="54"/>
        <v xml:space="preserve"> - </v>
      </c>
      <c r="X24" s="212" t="str">
        <f t="shared" si="55"/>
        <v xml:space="preserve"> - </v>
      </c>
      <c r="Y24" s="212" t="str">
        <f t="shared" si="56"/>
        <v xml:space="preserve"> - </v>
      </c>
      <c r="Z24" s="212" t="str">
        <f t="shared" si="57"/>
        <v xml:space="preserve"> - </v>
      </c>
      <c r="AA24" s="212" t="str">
        <f t="shared" si="58"/>
        <v xml:space="preserve"> - </v>
      </c>
      <c r="AB24" s="192"/>
      <c r="AC24" s="197" t="str">
        <f t="shared" si="5"/>
        <v xml:space="preserve"> +</v>
      </c>
      <c r="AD24" s="197" t="str">
        <f t="shared" si="6"/>
        <v xml:space="preserve"> +</v>
      </c>
      <c r="AE24" s="197" t="str">
        <f t="shared" si="7"/>
        <v xml:space="preserve"> +</v>
      </c>
      <c r="AF24" s="197" t="str">
        <f t="shared" si="8"/>
        <v xml:space="preserve"> +</v>
      </c>
      <c r="AG24" s="192"/>
      <c r="AH24" s="197" t="str">
        <f t="shared" si="9"/>
        <v xml:space="preserve"> +</v>
      </c>
      <c r="AI24" s="197" t="str">
        <f t="shared" si="10"/>
        <v xml:space="preserve"> +</v>
      </c>
      <c r="AJ24" s="197" t="str">
        <f t="shared" si="11"/>
        <v xml:space="preserve"> +</v>
      </c>
      <c r="AK24" s="197" t="str">
        <f t="shared" si="12"/>
        <v xml:space="preserve"> +</v>
      </c>
      <c r="AL24" s="192"/>
      <c r="AM24" s="197" t="str">
        <f t="shared" si="59"/>
        <v xml:space="preserve"> - </v>
      </c>
      <c r="AN24" s="197" t="str">
        <f t="shared" si="60"/>
        <v xml:space="preserve"> - </v>
      </c>
      <c r="AO24" s="197" t="str">
        <f t="shared" si="61"/>
        <v xml:space="preserve"> - </v>
      </c>
      <c r="AP24" s="192"/>
      <c r="AQ24" s="197" t="str">
        <f t="shared" si="62"/>
        <v xml:space="preserve"> - </v>
      </c>
      <c r="AR24" s="192"/>
      <c r="AS24" s="212" t="str">
        <f t="shared" si="14"/>
        <v xml:space="preserve"> +</v>
      </c>
      <c r="AT24" s="212" t="str">
        <f t="shared" si="15"/>
        <v xml:space="preserve"> +</v>
      </c>
      <c r="AU24" s="212" t="str">
        <f t="shared" si="16"/>
        <v xml:space="preserve"> +</v>
      </c>
      <c r="AV24" s="212" t="str">
        <f t="shared" si="17"/>
        <v xml:space="preserve"> +</v>
      </c>
      <c r="AW24" s="247"/>
      <c r="AX24" s="212" t="str">
        <f t="shared" si="18"/>
        <v xml:space="preserve"> +</v>
      </c>
      <c r="AY24" s="212" t="str">
        <f t="shared" si="19"/>
        <v xml:space="preserve"> +</v>
      </c>
      <c r="AZ24" s="212" t="str">
        <f t="shared" si="20"/>
        <v xml:space="preserve"> - </v>
      </c>
      <c r="BA24" s="212" t="str">
        <f t="shared" si="21"/>
        <v xml:space="preserve"> - </v>
      </c>
      <c r="BB24" s="247"/>
      <c r="BC24" s="247"/>
      <c r="BD24" s="247"/>
      <c r="BE24" s="247"/>
      <c r="BF24" s="247"/>
      <c r="BG24" s="247"/>
      <c r="BH24" s="212" t="str">
        <f t="shared" si="50"/>
        <v xml:space="preserve"> - </v>
      </c>
      <c r="BI24" s="212" t="str">
        <f t="shared" si="51"/>
        <v xml:space="preserve"> - </v>
      </c>
      <c r="BJ24" s="212" t="str">
        <f t="shared" si="52"/>
        <v xml:space="preserve"> - </v>
      </c>
      <c r="BK24" s="212" t="str">
        <f t="shared" si="53"/>
        <v xml:space="preserve"> - </v>
      </c>
      <c r="BL24" s="192"/>
      <c r="BM24" s="135">
        <v>24</v>
      </c>
    </row>
    <row r="25" spans="1:65" x14ac:dyDescent="0.3">
      <c r="A25" s="366"/>
      <c r="B25" s="181" t="s">
        <v>221</v>
      </c>
      <c r="C25" s="135">
        <v>23</v>
      </c>
      <c r="D25" s="192"/>
      <c r="E25" s="214" t="s">
        <v>298</v>
      </c>
      <c r="F25" s="214" t="s">
        <v>298</v>
      </c>
      <c r="G25" s="214" t="s">
        <v>298</v>
      </c>
      <c r="H25" s="214" t="s">
        <v>298</v>
      </c>
      <c r="I25" s="214" t="s">
        <v>298</v>
      </c>
      <c r="J25" s="192"/>
      <c r="K25" s="214" t="s">
        <v>298</v>
      </c>
      <c r="L25" s="214" t="s">
        <v>298</v>
      </c>
      <c r="M25" s="214" t="s">
        <v>298</v>
      </c>
      <c r="N25" s="214" t="s">
        <v>298</v>
      </c>
      <c r="O25" s="214" t="s">
        <v>298</v>
      </c>
      <c r="P25" s="192"/>
      <c r="Q25" s="214" t="s">
        <v>299</v>
      </c>
      <c r="R25" s="214" t="s">
        <v>299</v>
      </c>
      <c r="S25" s="214" t="s">
        <v>299</v>
      </c>
      <c r="T25" s="214" t="s">
        <v>299</v>
      </c>
      <c r="U25" s="214" t="s">
        <v>299</v>
      </c>
      <c r="V25" s="192"/>
      <c r="W25" s="212" t="str">
        <f t="shared" si="54"/>
        <v xml:space="preserve"> - </v>
      </c>
      <c r="X25" s="212" t="str">
        <f t="shared" si="55"/>
        <v xml:space="preserve"> - </v>
      </c>
      <c r="Y25" s="212" t="str">
        <f t="shared" si="56"/>
        <v xml:space="preserve"> - </v>
      </c>
      <c r="Z25" s="212" t="str">
        <f t="shared" si="57"/>
        <v xml:space="preserve"> - </v>
      </c>
      <c r="AA25" s="212" t="str">
        <f t="shared" si="58"/>
        <v xml:space="preserve"> - </v>
      </c>
      <c r="AB25" s="192"/>
      <c r="AC25" s="197" t="str">
        <f t="shared" si="5"/>
        <v xml:space="preserve"> +</v>
      </c>
      <c r="AD25" s="197" t="str">
        <f t="shared" si="6"/>
        <v xml:space="preserve"> +</v>
      </c>
      <c r="AE25" s="197" t="str">
        <f t="shared" si="7"/>
        <v xml:space="preserve"> +</v>
      </c>
      <c r="AF25" s="197" t="str">
        <f t="shared" si="8"/>
        <v xml:space="preserve"> +</v>
      </c>
      <c r="AG25" s="192"/>
      <c r="AH25" s="197" t="str">
        <f t="shared" si="9"/>
        <v xml:space="preserve"> +</v>
      </c>
      <c r="AI25" s="197" t="str">
        <f t="shared" si="10"/>
        <v xml:space="preserve"> +</v>
      </c>
      <c r="AJ25" s="197" t="str">
        <f t="shared" si="11"/>
        <v xml:space="preserve"> +</v>
      </c>
      <c r="AK25" s="197" t="str">
        <f t="shared" si="12"/>
        <v xml:space="preserve"> +</v>
      </c>
      <c r="AL25" s="192"/>
      <c r="AM25" s="197" t="str">
        <f t="shared" si="59"/>
        <v xml:space="preserve"> - </v>
      </c>
      <c r="AN25" s="197" t="str">
        <f t="shared" si="60"/>
        <v xml:space="preserve"> - </v>
      </c>
      <c r="AO25" s="197" t="str">
        <f t="shared" si="61"/>
        <v xml:space="preserve"> - </v>
      </c>
      <c r="AP25" s="192"/>
      <c r="AQ25" s="197" t="str">
        <f t="shared" si="62"/>
        <v xml:space="preserve"> - </v>
      </c>
      <c r="AR25" s="192"/>
      <c r="AS25" s="212" t="str">
        <f t="shared" si="14"/>
        <v xml:space="preserve"> +</v>
      </c>
      <c r="AT25" s="212" t="str">
        <f t="shared" si="15"/>
        <v xml:space="preserve"> +</v>
      </c>
      <c r="AU25" s="212" t="str">
        <f t="shared" si="16"/>
        <v xml:space="preserve"> +</v>
      </c>
      <c r="AV25" s="212" t="str">
        <f t="shared" si="17"/>
        <v xml:space="preserve"> +</v>
      </c>
      <c r="AW25" s="247"/>
      <c r="AX25" s="212" t="str">
        <f t="shared" si="18"/>
        <v xml:space="preserve"> +</v>
      </c>
      <c r="AY25" s="212" t="str">
        <f t="shared" si="19"/>
        <v xml:space="preserve"> +</v>
      </c>
      <c r="AZ25" s="212" t="str">
        <f t="shared" si="20"/>
        <v xml:space="preserve"> +</v>
      </c>
      <c r="BA25" s="212" t="str">
        <f t="shared" si="21"/>
        <v xml:space="preserve"> +</v>
      </c>
      <c r="BB25" s="247"/>
      <c r="BC25" s="247"/>
      <c r="BD25" s="247"/>
      <c r="BE25" s="247"/>
      <c r="BF25" s="247"/>
      <c r="BG25" s="247"/>
      <c r="BH25" s="212" t="str">
        <f t="shared" si="50"/>
        <v xml:space="preserve"> - </v>
      </c>
      <c r="BI25" s="212" t="str">
        <f t="shared" si="51"/>
        <v xml:space="preserve"> - </v>
      </c>
      <c r="BJ25" s="212" t="str">
        <f t="shared" si="52"/>
        <v xml:space="preserve"> - </v>
      </c>
      <c r="BK25" s="212" t="str">
        <f t="shared" si="53"/>
        <v xml:space="preserve"> - </v>
      </c>
      <c r="BL25" s="192"/>
      <c r="BM25" s="135">
        <v>25</v>
      </c>
    </row>
    <row r="26" spans="1:65" x14ac:dyDescent="0.3">
      <c r="A26" s="366"/>
      <c r="B26" s="181" t="s">
        <v>305</v>
      </c>
      <c r="C26" s="135">
        <v>24</v>
      </c>
      <c r="D26" s="192"/>
      <c r="E26" s="214" t="s">
        <v>298</v>
      </c>
      <c r="F26" s="214" t="s">
        <v>298</v>
      </c>
      <c r="G26" s="214" t="s">
        <v>299</v>
      </c>
      <c r="H26" s="214" t="s">
        <v>299</v>
      </c>
      <c r="I26" s="214" t="s">
        <v>299</v>
      </c>
      <c r="J26" s="192"/>
      <c r="K26" s="214" t="s">
        <v>299</v>
      </c>
      <c r="L26" s="214" t="s">
        <v>299</v>
      </c>
      <c r="M26" s="214" t="s">
        <v>299</v>
      </c>
      <c r="N26" s="214" t="s">
        <v>299</v>
      </c>
      <c r="O26" s="214" t="s">
        <v>299</v>
      </c>
      <c r="P26" s="192"/>
      <c r="Q26" s="214" t="s">
        <v>299</v>
      </c>
      <c r="R26" s="214" t="s">
        <v>299</v>
      </c>
      <c r="S26" s="214" t="s">
        <v>299</v>
      </c>
      <c r="T26" s="214" t="s">
        <v>299</v>
      </c>
      <c r="U26" s="214" t="s">
        <v>299</v>
      </c>
      <c r="V26" s="192"/>
      <c r="W26" s="212" t="str">
        <f t="shared" ref="W26" si="66">Q26</f>
        <v xml:space="preserve"> - </v>
      </c>
      <c r="X26" s="212" t="str">
        <f t="shared" ref="X26" si="67">R26</f>
        <v xml:space="preserve"> - </v>
      </c>
      <c r="Y26" s="212" t="str">
        <f t="shared" ref="Y26" si="68">S26</f>
        <v xml:space="preserve"> - </v>
      </c>
      <c r="Z26" s="212" t="str">
        <f t="shared" ref="Z26" si="69">T26</f>
        <v xml:space="preserve"> - </v>
      </c>
      <c r="AA26" s="212" t="str">
        <f t="shared" ref="AA26" si="70">U26</f>
        <v xml:space="preserve"> - </v>
      </c>
      <c r="AB26" s="192"/>
      <c r="AC26" s="197" t="str">
        <f t="shared" si="5"/>
        <v xml:space="preserve"> +</v>
      </c>
      <c r="AD26" s="197" t="str">
        <f t="shared" si="6"/>
        <v xml:space="preserve"> +</v>
      </c>
      <c r="AE26" s="197" t="str">
        <f t="shared" si="7"/>
        <v xml:space="preserve"> - </v>
      </c>
      <c r="AF26" s="197" t="str">
        <f t="shared" si="8"/>
        <v xml:space="preserve"> - </v>
      </c>
      <c r="AG26" s="192"/>
      <c r="AH26" s="197" t="str">
        <f t="shared" si="9"/>
        <v xml:space="preserve"> - </v>
      </c>
      <c r="AI26" s="197" t="str">
        <f t="shared" si="10"/>
        <v xml:space="preserve"> - </v>
      </c>
      <c r="AJ26" s="197" t="str">
        <f t="shared" si="11"/>
        <v xml:space="preserve"> - </v>
      </c>
      <c r="AK26" s="197" t="str">
        <f t="shared" si="12"/>
        <v xml:space="preserve"> - </v>
      </c>
      <c r="AL26" s="192"/>
      <c r="AM26" s="197" t="str">
        <f t="shared" ref="AM26" si="71">Q26</f>
        <v xml:space="preserve"> - </v>
      </c>
      <c r="AN26" s="197" t="str">
        <f t="shared" ref="AN26" si="72">R26</f>
        <v xml:space="preserve"> - </v>
      </c>
      <c r="AO26" s="197" t="str">
        <f t="shared" ref="AO26" si="73">S26</f>
        <v xml:space="preserve"> - </v>
      </c>
      <c r="AP26" s="192"/>
      <c r="AQ26" s="197" t="str">
        <f t="shared" ref="AQ26" si="74">Z26</f>
        <v xml:space="preserve"> - </v>
      </c>
      <c r="AR26" s="192"/>
      <c r="AS26" s="212" t="str">
        <f t="shared" si="14"/>
        <v xml:space="preserve"> - </v>
      </c>
      <c r="AT26" s="212" t="str">
        <f t="shared" si="15"/>
        <v xml:space="preserve"> - </v>
      </c>
      <c r="AU26" s="212" t="str">
        <f t="shared" si="16"/>
        <v xml:space="preserve"> - </v>
      </c>
      <c r="AV26" s="212" t="str">
        <f t="shared" si="17"/>
        <v xml:space="preserve"> - </v>
      </c>
      <c r="AW26" s="247"/>
      <c r="AX26" s="212" t="str">
        <f t="shared" si="18"/>
        <v xml:space="preserve"> - </v>
      </c>
      <c r="AY26" s="212" t="str">
        <f t="shared" si="19"/>
        <v xml:space="preserve"> - </v>
      </c>
      <c r="AZ26" s="212" t="str">
        <f t="shared" si="20"/>
        <v xml:space="preserve"> - </v>
      </c>
      <c r="BA26" s="212" t="str">
        <f t="shared" si="21"/>
        <v xml:space="preserve"> - </v>
      </c>
      <c r="BB26" s="247"/>
      <c r="BC26" s="247"/>
      <c r="BD26" s="247"/>
      <c r="BE26" s="247"/>
      <c r="BF26" s="247"/>
      <c r="BG26" s="247"/>
      <c r="BH26" s="212" t="str">
        <f t="shared" si="50"/>
        <v xml:space="preserve"> - </v>
      </c>
      <c r="BI26" s="212" t="str">
        <f t="shared" si="51"/>
        <v xml:space="preserve"> - </v>
      </c>
      <c r="BJ26" s="212" t="str">
        <f t="shared" si="52"/>
        <v xml:space="preserve"> - </v>
      </c>
      <c r="BK26" s="212" t="str">
        <f t="shared" si="53"/>
        <v xml:space="preserve"> - </v>
      </c>
      <c r="BL26" s="192"/>
      <c r="BM26" s="135">
        <v>26</v>
      </c>
    </row>
    <row r="27" spans="1:65" x14ac:dyDescent="0.3">
      <c r="A27" s="366"/>
      <c r="B27" s="181" t="s">
        <v>38</v>
      </c>
      <c r="C27" s="135">
        <v>25</v>
      </c>
      <c r="D27" s="192"/>
      <c r="E27" s="214" t="s">
        <v>383</v>
      </c>
      <c r="F27" s="214" t="s">
        <v>383</v>
      </c>
      <c r="G27" s="214" t="s">
        <v>383</v>
      </c>
      <c r="H27" s="214" t="s">
        <v>298</v>
      </c>
      <c r="I27" s="214" t="s">
        <v>299</v>
      </c>
      <c r="J27" s="192"/>
      <c r="K27" s="214" t="s">
        <v>298</v>
      </c>
      <c r="L27" s="214" t="s">
        <v>298</v>
      </c>
      <c r="M27" s="214" t="s">
        <v>298</v>
      </c>
      <c r="N27" s="214" t="s">
        <v>298</v>
      </c>
      <c r="O27" s="214" t="s">
        <v>299</v>
      </c>
      <c r="P27" s="192"/>
      <c r="Q27" s="214" t="s">
        <v>299</v>
      </c>
      <c r="R27" s="214" t="s">
        <v>299</v>
      </c>
      <c r="S27" s="214" t="s">
        <v>299</v>
      </c>
      <c r="T27" s="214" t="s">
        <v>299</v>
      </c>
      <c r="U27" s="214" t="s">
        <v>299</v>
      </c>
      <c r="V27" s="192"/>
      <c r="W27" s="212" t="str">
        <f t="shared" si="54"/>
        <v xml:space="preserve"> - </v>
      </c>
      <c r="X27" s="212" t="str">
        <f t="shared" si="55"/>
        <v xml:space="preserve"> - </v>
      </c>
      <c r="Y27" s="212" t="str">
        <f t="shared" si="56"/>
        <v xml:space="preserve"> - </v>
      </c>
      <c r="Z27" s="212" t="str">
        <f t="shared" si="57"/>
        <v xml:space="preserve"> - </v>
      </c>
      <c r="AA27" s="212" t="str">
        <f t="shared" si="58"/>
        <v xml:space="preserve"> - </v>
      </c>
      <c r="AB27" s="192"/>
      <c r="AC27" s="197" t="str">
        <f t="shared" si="5"/>
        <v xml:space="preserve"> +
включая фильтры:
Поиск по номеру в НРПА
Искать как словосочетание</v>
      </c>
      <c r="AD27" s="197" t="str">
        <f t="shared" si="6"/>
        <v xml:space="preserve"> +
включая фильтры:
Поиск по номеру в НРПА
Искать как словосочетание</v>
      </c>
      <c r="AE27" s="197" t="str">
        <f t="shared" si="7"/>
        <v xml:space="preserve"> +
включая фильтры:
Поиск по номеру в НРПА
Искать как словосочетание</v>
      </c>
      <c r="AF27" s="197" t="str">
        <f t="shared" si="8"/>
        <v xml:space="preserve"> +</v>
      </c>
      <c r="AG27" s="192"/>
      <c r="AH27" s="197" t="str">
        <f t="shared" si="9"/>
        <v xml:space="preserve"> +</v>
      </c>
      <c r="AI27" s="197" t="str">
        <f t="shared" si="10"/>
        <v xml:space="preserve"> +</v>
      </c>
      <c r="AJ27" s="197" t="str">
        <f t="shared" si="11"/>
        <v xml:space="preserve"> +</v>
      </c>
      <c r="AK27" s="197" t="str">
        <f t="shared" si="12"/>
        <v xml:space="preserve"> +</v>
      </c>
      <c r="AL27" s="192"/>
      <c r="AM27" s="197" t="str">
        <f t="shared" si="59"/>
        <v xml:space="preserve"> - </v>
      </c>
      <c r="AN27" s="197" t="str">
        <f t="shared" si="60"/>
        <v xml:space="preserve"> - </v>
      </c>
      <c r="AO27" s="197" t="str">
        <f t="shared" si="61"/>
        <v xml:space="preserve"> - </v>
      </c>
      <c r="AP27" s="192"/>
      <c r="AQ27" s="197" t="str">
        <f t="shared" si="62"/>
        <v xml:space="preserve"> - </v>
      </c>
      <c r="AR27" s="192"/>
      <c r="AS27" s="212" t="str">
        <f t="shared" si="14"/>
        <v xml:space="preserve"> +</v>
      </c>
      <c r="AT27" s="212" t="str">
        <f t="shared" si="15"/>
        <v xml:space="preserve"> +</v>
      </c>
      <c r="AU27" s="212" t="str">
        <f t="shared" si="16"/>
        <v xml:space="preserve"> - </v>
      </c>
      <c r="AV27" s="212" t="str">
        <f t="shared" si="17"/>
        <v xml:space="preserve"> - </v>
      </c>
      <c r="AW27" s="247"/>
      <c r="AX27" s="212" t="str">
        <f t="shared" si="18"/>
        <v xml:space="preserve"> +</v>
      </c>
      <c r="AY27" s="212" t="str">
        <f t="shared" si="19"/>
        <v xml:space="preserve"> +</v>
      </c>
      <c r="AZ27" s="212" t="str">
        <f t="shared" si="20"/>
        <v xml:space="preserve"> - </v>
      </c>
      <c r="BA27" s="212" t="str">
        <f t="shared" si="21"/>
        <v xml:space="preserve"> - </v>
      </c>
      <c r="BB27" s="247"/>
      <c r="BC27" s="247"/>
      <c r="BD27" s="247"/>
      <c r="BE27" s="247"/>
      <c r="BF27" s="247"/>
      <c r="BG27" s="247"/>
      <c r="BH27" s="212" t="str">
        <f t="shared" si="50"/>
        <v xml:space="preserve"> - </v>
      </c>
      <c r="BI27" s="212" t="str">
        <f t="shared" si="51"/>
        <v xml:space="preserve"> - </v>
      </c>
      <c r="BJ27" s="212" t="str">
        <f t="shared" si="52"/>
        <v xml:space="preserve"> - </v>
      </c>
      <c r="BK27" s="212" t="str">
        <f t="shared" si="53"/>
        <v xml:space="preserve"> - </v>
      </c>
      <c r="BL27" s="192"/>
      <c r="BM27" s="135">
        <v>27</v>
      </c>
    </row>
    <row r="28" spans="1:65" x14ac:dyDescent="0.3">
      <c r="A28" s="366"/>
      <c r="B28" s="181" t="s">
        <v>40</v>
      </c>
      <c r="C28" s="135">
        <v>26</v>
      </c>
      <c r="D28" s="192"/>
      <c r="E28" s="215" t="s">
        <v>298</v>
      </c>
      <c r="F28" s="215" t="s">
        <v>298</v>
      </c>
      <c r="G28" s="214" t="s">
        <v>298</v>
      </c>
      <c r="H28" s="214" t="s">
        <v>298</v>
      </c>
      <c r="I28" s="214" t="s">
        <v>298</v>
      </c>
      <c r="J28" s="192"/>
      <c r="K28" s="215" t="s">
        <v>299</v>
      </c>
      <c r="L28" s="214" t="s">
        <v>299</v>
      </c>
      <c r="M28" s="214" t="s">
        <v>299</v>
      </c>
      <c r="N28" s="214" t="s">
        <v>299</v>
      </c>
      <c r="O28" s="214" t="s">
        <v>299</v>
      </c>
      <c r="P28" s="192"/>
      <c r="Q28" s="214" t="s">
        <v>299</v>
      </c>
      <c r="R28" s="214" t="s">
        <v>299</v>
      </c>
      <c r="S28" s="214" t="s">
        <v>299</v>
      </c>
      <c r="T28" s="214" t="s">
        <v>299</v>
      </c>
      <c r="U28" s="214" t="s">
        <v>299</v>
      </c>
      <c r="V28" s="192"/>
      <c r="W28" s="212" t="str">
        <f t="shared" si="54"/>
        <v xml:space="preserve"> - </v>
      </c>
      <c r="X28" s="212" t="str">
        <f t="shared" si="55"/>
        <v xml:space="preserve"> - </v>
      </c>
      <c r="Y28" s="212" t="str">
        <f t="shared" si="56"/>
        <v xml:space="preserve"> - </v>
      </c>
      <c r="Z28" s="212" t="str">
        <f t="shared" si="57"/>
        <v xml:space="preserve"> - </v>
      </c>
      <c r="AA28" s="212" t="str">
        <f t="shared" si="58"/>
        <v xml:space="preserve"> - </v>
      </c>
      <c r="AB28" s="192"/>
      <c r="AC28" s="197" t="str">
        <f t="shared" si="5"/>
        <v xml:space="preserve"> +</v>
      </c>
      <c r="AD28" s="197" t="str">
        <f t="shared" si="6"/>
        <v xml:space="preserve"> +</v>
      </c>
      <c r="AE28" s="197" t="str">
        <f t="shared" si="7"/>
        <v xml:space="preserve"> +</v>
      </c>
      <c r="AF28" s="197" t="str">
        <f t="shared" si="8"/>
        <v xml:space="preserve"> +</v>
      </c>
      <c r="AG28" s="192"/>
      <c r="AH28" s="197" t="str">
        <f t="shared" si="9"/>
        <v xml:space="preserve"> - </v>
      </c>
      <c r="AI28" s="197" t="str">
        <f t="shared" si="10"/>
        <v xml:space="preserve"> - </v>
      </c>
      <c r="AJ28" s="197" t="str">
        <f t="shared" si="11"/>
        <v xml:space="preserve"> - </v>
      </c>
      <c r="AK28" s="197" t="str">
        <f t="shared" si="12"/>
        <v xml:space="preserve"> - </v>
      </c>
      <c r="AL28" s="192"/>
      <c r="AM28" s="197" t="str">
        <f t="shared" si="59"/>
        <v xml:space="preserve"> - </v>
      </c>
      <c r="AN28" s="197" t="str">
        <f t="shared" si="60"/>
        <v xml:space="preserve"> - </v>
      </c>
      <c r="AO28" s="197" t="str">
        <f t="shared" si="61"/>
        <v xml:space="preserve"> - </v>
      </c>
      <c r="AP28" s="192"/>
      <c r="AQ28" s="197" t="str">
        <f t="shared" si="62"/>
        <v xml:space="preserve"> - </v>
      </c>
      <c r="AR28" s="192"/>
      <c r="AS28" s="212" t="str">
        <f t="shared" si="14"/>
        <v xml:space="preserve"> +</v>
      </c>
      <c r="AT28" s="212" t="str">
        <f t="shared" si="15"/>
        <v xml:space="preserve"> +</v>
      </c>
      <c r="AU28" s="212" t="str">
        <f t="shared" si="16"/>
        <v xml:space="preserve"> +</v>
      </c>
      <c r="AV28" s="212" t="str">
        <f t="shared" si="17"/>
        <v xml:space="preserve"> +</v>
      </c>
      <c r="AW28" s="247"/>
      <c r="AX28" s="212" t="str">
        <f t="shared" si="18"/>
        <v xml:space="preserve"> - </v>
      </c>
      <c r="AY28" s="212" t="str">
        <f t="shared" si="19"/>
        <v xml:space="preserve"> - </v>
      </c>
      <c r="AZ28" s="212" t="str">
        <f t="shared" si="20"/>
        <v xml:space="preserve"> - </v>
      </c>
      <c r="BA28" s="212" t="str">
        <f t="shared" si="21"/>
        <v xml:space="preserve"> - </v>
      </c>
      <c r="BB28" s="247"/>
      <c r="BC28" s="247"/>
      <c r="BD28" s="247"/>
      <c r="BE28" s="247"/>
      <c r="BF28" s="247"/>
      <c r="BG28" s="247"/>
      <c r="BH28" s="212" t="str">
        <f t="shared" si="50"/>
        <v xml:space="preserve"> - </v>
      </c>
      <c r="BI28" s="212" t="str">
        <f t="shared" si="51"/>
        <v xml:space="preserve"> - </v>
      </c>
      <c r="BJ28" s="212" t="str">
        <f t="shared" si="52"/>
        <v xml:space="preserve"> - </v>
      </c>
      <c r="BK28" s="212" t="str">
        <f t="shared" si="53"/>
        <v xml:space="preserve"> - </v>
      </c>
      <c r="BL28" s="192"/>
      <c r="BM28" s="135">
        <v>28</v>
      </c>
    </row>
    <row r="29" spans="1:65" x14ac:dyDescent="0.3">
      <c r="A29" s="366"/>
      <c r="B29" s="181" t="s">
        <v>284</v>
      </c>
      <c r="C29" s="135">
        <v>27</v>
      </c>
      <c r="D29" s="192"/>
      <c r="E29" s="214" t="s">
        <v>384</v>
      </c>
      <c r="F29" s="214" t="s">
        <v>384</v>
      </c>
      <c r="G29" s="214" t="s">
        <v>384</v>
      </c>
      <c r="H29" s="214" t="s">
        <v>384</v>
      </c>
      <c r="I29" s="214" t="s">
        <v>385</v>
      </c>
      <c r="J29" s="192"/>
      <c r="K29" s="214" t="s">
        <v>384</v>
      </c>
      <c r="L29" s="214" t="s">
        <v>384</v>
      </c>
      <c r="M29" s="214" t="s">
        <v>384</v>
      </c>
      <c r="N29" s="214" t="s">
        <v>384</v>
      </c>
      <c r="O29" s="214" t="s">
        <v>385</v>
      </c>
      <c r="P29" s="192"/>
      <c r="Q29" s="214" t="s">
        <v>384</v>
      </c>
      <c r="R29" s="214" t="s">
        <v>384</v>
      </c>
      <c r="S29" s="214" t="s">
        <v>384</v>
      </c>
      <c r="T29" s="214" t="s">
        <v>384</v>
      </c>
      <c r="U29" s="214" t="s">
        <v>385</v>
      </c>
      <c r="V29" s="192"/>
      <c r="W29" s="212" t="str">
        <f t="shared" si="54"/>
        <v>Фильтры: «Все», «Законодательство», «Аналитика», «Формы», «Судебная практика»</v>
      </c>
      <c r="X29" s="212" t="str">
        <f t="shared" si="55"/>
        <v>Фильтры: «Все», «Законодательство», «Аналитика», «Формы», «Судебная практика»</v>
      </c>
      <c r="Y29" s="212" t="str">
        <f t="shared" si="56"/>
        <v>Фильтры: «Все», «Законодательство», «Аналитика», «Формы», «Судебная практика»</v>
      </c>
      <c r="Z29" s="212" t="str">
        <f t="shared" si="57"/>
        <v>Фильтры: «Все», «Законодательство», «Аналитика», «Формы», «Судебная практика»</v>
      </c>
      <c r="AA29" s="212" t="str">
        <f t="shared" si="58"/>
        <v>Фильтры: «Все», «Законодательство», «Аналитика», «Формы»</v>
      </c>
      <c r="AB29" s="192"/>
      <c r="AC29" s="197" t="str">
        <f t="shared" si="5"/>
        <v>Фильтры: «Все», «Законодательство», «Аналитика», «Формы», «Судебная практика»</v>
      </c>
      <c r="AD29" s="197" t="str">
        <f t="shared" si="6"/>
        <v>Фильтры: «Все», «Законодательство», «Аналитика», «Формы», «Судебная практика»</v>
      </c>
      <c r="AE29" s="197" t="str">
        <f t="shared" si="7"/>
        <v>Фильтры: «Все», «Законодательство», «Аналитика», «Формы», «Судебная практика»</v>
      </c>
      <c r="AF29" s="197" t="str">
        <f t="shared" si="8"/>
        <v>Фильтры: «Все», «Законодательство», «Аналитика», «Формы», «Судебная практика»</v>
      </c>
      <c r="AG29" s="192"/>
      <c r="AH29" s="197" t="str">
        <f t="shared" si="9"/>
        <v>Фильтры: «Все», «Законодательство», «Аналитика», «Формы», «Судебная практика»</v>
      </c>
      <c r="AI29" s="197" t="str">
        <f t="shared" si="10"/>
        <v>Фильтры: «Все», «Законодательство», «Аналитика», «Формы», «Судебная практика»</v>
      </c>
      <c r="AJ29" s="197" t="str">
        <f t="shared" si="11"/>
        <v>Фильтры: «Все», «Законодательство», «Аналитика», «Формы», «Судебная практика»</v>
      </c>
      <c r="AK29" s="197" t="str">
        <f t="shared" si="12"/>
        <v>Фильтры: «Все», «Законодательство», «Аналитика», «Формы», «Судебная практика»</v>
      </c>
      <c r="AL29" s="192"/>
      <c r="AM29" s="197" t="str">
        <f t="shared" si="59"/>
        <v>Фильтры: «Все», «Законодательство», «Аналитика», «Формы», «Судебная практика»</v>
      </c>
      <c r="AN29" s="197" t="str">
        <f t="shared" si="60"/>
        <v>Фильтры: «Все», «Законодательство», «Аналитика», «Формы», «Судебная практика»</v>
      </c>
      <c r="AO29" s="197" t="str">
        <f t="shared" si="61"/>
        <v>Фильтры: «Все», «Законодательство», «Аналитика», «Формы», «Судебная практика»</v>
      </c>
      <c r="AP29" s="192"/>
      <c r="AQ29" s="197" t="str">
        <f t="shared" si="62"/>
        <v>Фильтры: «Все», «Законодательство», «Аналитика», «Формы», «Судебная практика»</v>
      </c>
      <c r="AR29" s="192"/>
      <c r="AS29" s="212" t="str">
        <f t="shared" si="14"/>
        <v>Фильтры: «Все», «Законодательство», «Аналитика», «Формы», «Судебная практика»</v>
      </c>
      <c r="AT29" s="212" t="str">
        <f t="shared" si="15"/>
        <v>Фильтры: «Все», «Законодательство», «Аналитика», «Формы», «Судебная практика»</v>
      </c>
      <c r="AU29" s="212" t="str">
        <f t="shared" si="16"/>
        <v>Фильтры: «Все», «Законодательство», «Аналитика», «Формы»</v>
      </c>
      <c r="AV29" s="212" t="str">
        <f t="shared" si="17"/>
        <v>Фильтры: «Все», «Законодательство», «Аналитика», «Формы»</v>
      </c>
      <c r="AW29" s="247"/>
      <c r="AX29" s="212" t="str">
        <f t="shared" si="18"/>
        <v>Фильтры: «Все», «Законодательство», «Аналитика», «Формы», «Судебная практика»</v>
      </c>
      <c r="AY29" s="212" t="str">
        <f t="shared" si="19"/>
        <v>Фильтры: «Все», «Законодательство», «Аналитика», «Формы», «Судебная практика»</v>
      </c>
      <c r="AZ29" s="212" t="str">
        <f t="shared" si="20"/>
        <v>Фильтры: «Все», «Законодательство», «Аналитика», «Формы»</v>
      </c>
      <c r="BA29" s="212" t="str">
        <f t="shared" si="21"/>
        <v>Фильтры: «Все», «Законодательство», «Аналитика», «Формы»</v>
      </c>
      <c r="BB29" s="247"/>
      <c r="BC29" s="247"/>
      <c r="BD29" s="247"/>
      <c r="BE29" s="247"/>
      <c r="BF29" s="247"/>
      <c r="BG29" s="247"/>
      <c r="BH29" s="212" t="str">
        <f t="shared" si="50"/>
        <v>Фильтры: «Все», «Законодательство», «Аналитика», «Формы», «Судебная практика»</v>
      </c>
      <c r="BI29" s="212" t="str">
        <f t="shared" si="51"/>
        <v>Фильтры: «Все», «Законодательство», «Аналитика», «Формы», «Судебная практика»</v>
      </c>
      <c r="BJ29" s="212" t="str">
        <f t="shared" si="52"/>
        <v>Фильтры: «Все», «Законодательство», «Аналитика», «Формы»</v>
      </c>
      <c r="BK29" s="212" t="str">
        <f t="shared" si="53"/>
        <v>Фильтры: «Все», «Законодательство», «Аналитика», «Формы»</v>
      </c>
      <c r="BL29" s="192"/>
      <c r="BM29" s="135">
        <v>29</v>
      </c>
    </row>
    <row r="30" spans="1:65" s="147" customFormat="1" x14ac:dyDescent="0.3">
      <c r="A30" s="366"/>
      <c r="B30" s="181" t="s">
        <v>285</v>
      </c>
      <c r="C30" s="135">
        <v>28</v>
      </c>
      <c r="D30" s="192"/>
      <c r="E30" s="214" t="s">
        <v>298</v>
      </c>
      <c r="F30" s="214" t="s">
        <v>298</v>
      </c>
      <c r="G30" s="214" t="s">
        <v>298</v>
      </c>
      <c r="H30" s="214" t="s">
        <v>298</v>
      </c>
      <c r="I30" s="214" t="s">
        <v>298</v>
      </c>
      <c r="J30" s="192"/>
      <c r="K30" s="214" t="s">
        <v>298</v>
      </c>
      <c r="L30" s="214" t="s">
        <v>298</v>
      </c>
      <c r="M30" s="214" t="s">
        <v>298</v>
      </c>
      <c r="N30" s="214" t="s">
        <v>298</v>
      </c>
      <c r="O30" s="214" t="s">
        <v>298</v>
      </c>
      <c r="P30" s="192"/>
      <c r="Q30" s="214" t="s">
        <v>299</v>
      </c>
      <c r="R30" s="214" t="s">
        <v>299</v>
      </c>
      <c r="S30" s="214" t="s">
        <v>299</v>
      </c>
      <c r="T30" s="214" t="s">
        <v>299</v>
      </c>
      <c r="U30" s="214" t="s">
        <v>299</v>
      </c>
      <c r="V30" s="192"/>
      <c r="W30" s="212" t="str">
        <f t="shared" si="54"/>
        <v xml:space="preserve"> - </v>
      </c>
      <c r="X30" s="212" t="str">
        <f t="shared" si="55"/>
        <v xml:space="preserve"> - </v>
      </c>
      <c r="Y30" s="212" t="str">
        <f t="shared" si="56"/>
        <v xml:space="preserve"> - </v>
      </c>
      <c r="Z30" s="212" t="str">
        <f t="shared" si="57"/>
        <v xml:space="preserve"> - </v>
      </c>
      <c r="AA30" s="212" t="str">
        <f t="shared" si="58"/>
        <v xml:space="preserve"> - </v>
      </c>
      <c r="AB30" s="192"/>
      <c r="AC30" s="197" t="str">
        <f t="shared" si="5"/>
        <v xml:space="preserve"> +</v>
      </c>
      <c r="AD30" s="197" t="str">
        <f t="shared" si="6"/>
        <v xml:space="preserve"> +</v>
      </c>
      <c r="AE30" s="197" t="str">
        <f t="shared" si="7"/>
        <v xml:space="preserve"> +</v>
      </c>
      <c r="AF30" s="197" t="str">
        <f t="shared" si="8"/>
        <v xml:space="preserve"> +</v>
      </c>
      <c r="AG30" s="192"/>
      <c r="AH30" s="197" t="str">
        <f t="shared" si="9"/>
        <v xml:space="preserve"> +</v>
      </c>
      <c r="AI30" s="197" t="str">
        <f t="shared" si="10"/>
        <v xml:space="preserve"> +</v>
      </c>
      <c r="AJ30" s="197" t="str">
        <f t="shared" si="11"/>
        <v xml:space="preserve"> +</v>
      </c>
      <c r="AK30" s="197" t="str">
        <f t="shared" si="12"/>
        <v xml:space="preserve"> +</v>
      </c>
      <c r="AL30" s="192"/>
      <c r="AM30" s="197" t="str">
        <f t="shared" si="59"/>
        <v xml:space="preserve"> - </v>
      </c>
      <c r="AN30" s="197" t="str">
        <f t="shared" si="60"/>
        <v xml:space="preserve"> - </v>
      </c>
      <c r="AO30" s="197" t="str">
        <f t="shared" si="61"/>
        <v xml:space="preserve"> - </v>
      </c>
      <c r="AP30" s="192"/>
      <c r="AQ30" s="197" t="str">
        <f t="shared" si="62"/>
        <v xml:space="preserve"> - </v>
      </c>
      <c r="AR30" s="192"/>
      <c r="AS30" s="212" t="str">
        <f t="shared" si="14"/>
        <v xml:space="preserve"> +</v>
      </c>
      <c r="AT30" s="212" t="str">
        <f t="shared" si="15"/>
        <v xml:space="preserve"> +</v>
      </c>
      <c r="AU30" s="212" t="str">
        <f t="shared" si="16"/>
        <v xml:space="preserve"> +</v>
      </c>
      <c r="AV30" s="212" t="str">
        <f t="shared" si="17"/>
        <v xml:space="preserve"> +</v>
      </c>
      <c r="AW30" s="247"/>
      <c r="AX30" s="212" t="str">
        <f t="shared" si="18"/>
        <v xml:space="preserve"> +</v>
      </c>
      <c r="AY30" s="212" t="str">
        <f t="shared" si="19"/>
        <v xml:space="preserve"> +</v>
      </c>
      <c r="AZ30" s="212" t="str">
        <f t="shared" si="20"/>
        <v xml:space="preserve"> +</v>
      </c>
      <c r="BA30" s="212" t="str">
        <f t="shared" si="21"/>
        <v xml:space="preserve"> +</v>
      </c>
      <c r="BB30" s="247"/>
      <c r="BC30" s="247"/>
      <c r="BD30" s="247"/>
      <c r="BE30" s="247"/>
      <c r="BF30" s="247"/>
      <c r="BG30" s="247"/>
      <c r="BH30" s="212" t="str">
        <f t="shared" si="50"/>
        <v xml:space="preserve"> - </v>
      </c>
      <c r="BI30" s="212" t="str">
        <f t="shared" si="51"/>
        <v xml:space="preserve"> - </v>
      </c>
      <c r="BJ30" s="212" t="str">
        <f t="shared" si="52"/>
        <v xml:space="preserve"> - </v>
      </c>
      <c r="BK30" s="212" t="str">
        <f t="shared" si="53"/>
        <v xml:space="preserve"> - </v>
      </c>
      <c r="BL30" s="192"/>
      <c r="BM30" s="135">
        <v>30</v>
      </c>
    </row>
    <row r="31" spans="1:65" x14ac:dyDescent="0.3">
      <c r="A31" s="366"/>
      <c r="B31" s="181" t="s">
        <v>286</v>
      </c>
      <c r="C31" s="135">
        <v>29</v>
      </c>
      <c r="D31" s="192"/>
      <c r="E31" s="214" t="s">
        <v>298</v>
      </c>
      <c r="F31" s="214" t="s">
        <v>298</v>
      </c>
      <c r="G31" s="214" t="s">
        <v>298</v>
      </c>
      <c r="H31" s="214" t="s">
        <v>298</v>
      </c>
      <c r="I31" s="214" t="s">
        <v>298</v>
      </c>
      <c r="J31" s="192"/>
      <c r="K31" s="214" t="s">
        <v>299</v>
      </c>
      <c r="L31" s="214" t="s">
        <v>299</v>
      </c>
      <c r="M31" s="214" t="s">
        <v>299</v>
      </c>
      <c r="N31" s="214" t="s">
        <v>299</v>
      </c>
      <c r="O31" s="214" t="s">
        <v>299</v>
      </c>
      <c r="P31" s="192"/>
      <c r="Q31" s="214" t="s">
        <v>299</v>
      </c>
      <c r="R31" s="214" t="s">
        <v>299</v>
      </c>
      <c r="S31" s="214" t="s">
        <v>299</v>
      </c>
      <c r="T31" s="214" t="s">
        <v>299</v>
      </c>
      <c r="U31" s="214" t="s">
        <v>299</v>
      </c>
      <c r="V31" s="192"/>
      <c r="W31" s="212" t="str">
        <f t="shared" si="54"/>
        <v xml:space="preserve"> - </v>
      </c>
      <c r="X31" s="212" t="str">
        <f t="shared" si="55"/>
        <v xml:space="preserve"> - </v>
      </c>
      <c r="Y31" s="212" t="str">
        <f t="shared" si="56"/>
        <v xml:space="preserve"> - </v>
      </c>
      <c r="Z31" s="212" t="str">
        <f t="shared" si="57"/>
        <v xml:space="preserve"> - </v>
      </c>
      <c r="AA31" s="212" t="str">
        <f t="shared" si="58"/>
        <v xml:space="preserve"> - </v>
      </c>
      <c r="AB31" s="192"/>
      <c r="AC31" s="197" t="str">
        <f t="shared" si="5"/>
        <v xml:space="preserve"> +</v>
      </c>
      <c r="AD31" s="197" t="str">
        <f t="shared" si="6"/>
        <v xml:space="preserve"> +</v>
      </c>
      <c r="AE31" s="197" t="str">
        <f t="shared" si="7"/>
        <v xml:space="preserve"> +</v>
      </c>
      <c r="AF31" s="197" t="str">
        <f t="shared" si="8"/>
        <v xml:space="preserve"> +</v>
      </c>
      <c r="AG31" s="192"/>
      <c r="AH31" s="197" t="str">
        <f t="shared" si="9"/>
        <v xml:space="preserve"> - </v>
      </c>
      <c r="AI31" s="197" t="str">
        <f t="shared" si="10"/>
        <v xml:space="preserve"> - </v>
      </c>
      <c r="AJ31" s="197" t="str">
        <f t="shared" si="11"/>
        <v xml:space="preserve"> - </v>
      </c>
      <c r="AK31" s="197" t="str">
        <f t="shared" si="12"/>
        <v xml:space="preserve"> - </v>
      </c>
      <c r="AL31" s="192"/>
      <c r="AM31" s="197" t="str">
        <f t="shared" si="59"/>
        <v xml:space="preserve"> - </v>
      </c>
      <c r="AN31" s="197" t="str">
        <f t="shared" si="60"/>
        <v xml:space="preserve"> - </v>
      </c>
      <c r="AO31" s="197" t="str">
        <f t="shared" si="61"/>
        <v xml:space="preserve"> - </v>
      </c>
      <c r="AP31" s="192"/>
      <c r="AQ31" s="197" t="str">
        <f t="shared" si="62"/>
        <v xml:space="preserve"> - </v>
      </c>
      <c r="AR31" s="192"/>
      <c r="AS31" s="212" t="str">
        <f t="shared" si="14"/>
        <v xml:space="preserve"> +</v>
      </c>
      <c r="AT31" s="212" t="str">
        <f t="shared" si="15"/>
        <v xml:space="preserve"> +</v>
      </c>
      <c r="AU31" s="212" t="str">
        <f t="shared" si="16"/>
        <v xml:space="preserve"> +</v>
      </c>
      <c r="AV31" s="212" t="str">
        <f t="shared" si="17"/>
        <v xml:space="preserve"> +</v>
      </c>
      <c r="AW31" s="247"/>
      <c r="AX31" s="212" t="str">
        <f t="shared" si="18"/>
        <v xml:space="preserve"> - </v>
      </c>
      <c r="AY31" s="212" t="str">
        <f t="shared" si="19"/>
        <v xml:space="preserve"> - </v>
      </c>
      <c r="AZ31" s="212" t="str">
        <f t="shared" si="20"/>
        <v xml:space="preserve"> - </v>
      </c>
      <c r="BA31" s="212" t="str">
        <f t="shared" si="21"/>
        <v xml:space="preserve"> - </v>
      </c>
      <c r="BB31" s="247"/>
      <c r="BC31" s="247"/>
      <c r="BD31" s="247"/>
      <c r="BE31" s="247"/>
      <c r="BF31" s="247"/>
      <c r="BG31" s="247"/>
      <c r="BH31" s="212" t="str">
        <f t="shared" si="50"/>
        <v xml:space="preserve"> - </v>
      </c>
      <c r="BI31" s="212" t="str">
        <f t="shared" si="51"/>
        <v xml:space="preserve"> - </v>
      </c>
      <c r="BJ31" s="212" t="str">
        <f t="shared" si="52"/>
        <v xml:space="preserve"> - </v>
      </c>
      <c r="BK31" s="212" t="str">
        <f t="shared" si="53"/>
        <v xml:space="preserve"> - </v>
      </c>
      <c r="BL31" s="192"/>
      <c r="BM31" s="135">
        <v>31</v>
      </c>
    </row>
    <row r="32" spans="1:65" x14ac:dyDescent="0.3">
      <c r="A32" s="366"/>
      <c r="B32" s="181" t="s">
        <v>36</v>
      </c>
      <c r="C32" s="135">
        <v>30</v>
      </c>
      <c r="D32" s="192"/>
      <c r="E32" s="214" t="s">
        <v>298</v>
      </c>
      <c r="F32" s="214" t="s">
        <v>298</v>
      </c>
      <c r="G32" s="214" t="s">
        <v>298</v>
      </c>
      <c r="H32" s="214" t="s">
        <v>298</v>
      </c>
      <c r="I32" s="214" t="s">
        <v>298</v>
      </c>
      <c r="J32" s="192"/>
      <c r="K32" s="214" t="s">
        <v>298</v>
      </c>
      <c r="L32" s="214" t="s">
        <v>298</v>
      </c>
      <c r="M32" s="214" t="s">
        <v>298</v>
      </c>
      <c r="N32" s="214" t="s">
        <v>298</v>
      </c>
      <c r="O32" s="214" t="s">
        <v>299</v>
      </c>
      <c r="P32" s="192"/>
      <c r="Q32" s="214" t="s">
        <v>299</v>
      </c>
      <c r="R32" s="214" t="s">
        <v>299</v>
      </c>
      <c r="S32" s="214" t="s">
        <v>299</v>
      </c>
      <c r="T32" s="214" t="s">
        <v>299</v>
      </c>
      <c r="U32" s="214" t="s">
        <v>299</v>
      </c>
      <c r="V32" s="192"/>
      <c r="W32" s="212" t="str">
        <f t="shared" si="54"/>
        <v xml:space="preserve"> - </v>
      </c>
      <c r="X32" s="212" t="str">
        <f t="shared" si="55"/>
        <v xml:space="preserve"> - </v>
      </c>
      <c r="Y32" s="212" t="str">
        <f t="shared" si="56"/>
        <v xml:space="preserve"> - </v>
      </c>
      <c r="Z32" s="212" t="str">
        <f t="shared" si="57"/>
        <v xml:space="preserve"> - </v>
      </c>
      <c r="AA32" s="212" t="str">
        <f t="shared" si="58"/>
        <v xml:space="preserve"> - </v>
      </c>
      <c r="AB32" s="192"/>
      <c r="AC32" s="197" t="str">
        <f t="shared" si="5"/>
        <v xml:space="preserve"> +</v>
      </c>
      <c r="AD32" s="197" t="str">
        <f t="shared" si="6"/>
        <v xml:space="preserve"> +</v>
      </c>
      <c r="AE32" s="197" t="str">
        <f t="shared" si="7"/>
        <v xml:space="preserve"> +</v>
      </c>
      <c r="AF32" s="197" t="str">
        <f t="shared" si="8"/>
        <v xml:space="preserve"> +</v>
      </c>
      <c r="AG32" s="192"/>
      <c r="AH32" s="197" t="str">
        <f t="shared" si="9"/>
        <v xml:space="preserve"> +</v>
      </c>
      <c r="AI32" s="197" t="str">
        <f t="shared" si="10"/>
        <v xml:space="preserve"> +</v>
      </c>
      <c r="AJ32" s="197" t="str">
        <f t="shared" si="11"/>
        <v xml:space="preserve"> +</v>
      </c>
      <c r="AK32" s="197" t="str">
        <f t="shared" si="12"/>
        <v xml:space="preserve"> +</v>
      </c>
      <c r="AL32" s="192"/>
      <c r="AM32" s="197" t="str">
        <f t="shared" si="59"/>
        <v xml:space="preserve"> - </v>
      </c>
      <c r="AN32" s="197" t="str">
        <f t="shared" si="60"/>
        <v xml:space="preserve"> - </v>
      </c>
      <c r="AO32" s="197" t="str">
        <f t="shared" si="61"/>
        <v xml:space="preserve"> - </v>
      </c>
      <c r="AP32" s="192"/>
      <c r="AQ32" s="197" t="str">
        <f t="shared" si="62"/>
        <v xml:space="preserve"> - </v>
      </c>
      <c r="AR32" s="192"/>
      <c r="AS32" s="212" t="str">
        <f t="shared" si="14"/>
        <v xml:space="preserve"> +</v>
      </c>
      <c r="AT32" s="212" t="str">
        <f t="shared" si="15"/>
        <v xml:space="preserve"> +</v>
      </c>
      <c r="AU32" s="212" t="str">
        <f t="shared" si="16"/>
        <v xml:space="preserve"> +</v>
      </c>
      <c r="AV32" s="212" t="str">
        <f t="shared" si="17"/>
        <v xml:space="preserve"> +</v>
      </c>
      <c r="AW32" s="247"/>
      <c r="AX32" s="212" t="str">
        <f t="shared" si="18"/>
        <v xml:space="preserve"> +</v>
      </c>
      <c r="AY32" s="212" t="str">
        <f t="shared" si="19"/>
        <v xml:space="preserve"> +</v>
      </c>
      <c r="AZ32" s="212" t="str">
        <f t="shared" si="20"/>
        <v xml:space="preserve"> - </v>
      </c>
      <c r="BA32" s="212" t="str">
        <f t="shared" si="21"/>
        <v xml:space="preserve"> - </v>
      </c>
      <c r="BB32" s="247"/>
      <c r="BC32" s="247"/>
      <c r="BD32" s="247"/>
      <c r="BE32" s="247"/>
      <c r="BF32" s="247"/>
      <c r="BG32" s="247"/>
      <c r="BH32" s="212" t="str">
        <f t="shared" si="50"/>
        <v xml:space="preserve"> - </v>
      </c>
      <c r="BI32" s="212" t="str">
        <f t="shared" si="51"/>
        <v xml:space="preserve"> - </v>
      </c>
      <c r="BJ32" s="212" t="str">
        <f t="shared" si="52"/>
        <v xml:space="preserve"> - </v>
      </c>
      <c r="BK32" s="212" t="str">
        <f t="shared" si="53"/>
        <v xml:space="preserve"> - </v>
      </c>
      <c r="BL32" s="192"/>
      <c r="BM32" s="135">
        <v>32</v>
      </c>
    </row>
    <row r="33" spans="1:65" x14ac:dyDescent="0.3">
      <c r="A33" s="366"/>
      <c r="B33" s="181" t="s">
        <v>287</v>
      </c>
      <c r="C33" s="135">
        <v>31</v>
      </c>
      <c r="D33" s="192"/>
      <c r="E33" s="214" t="s">
        <v>298</v>
      </c>
      <c r="F33" s="214" t="s">
        <v>298</v>
      </c>
      <c r="G33" s="214" t="s">
        <v>298</v>
      </c>
      <c r="H33" s="214" t="s">
        <v>298</v>
      </c>
      <c r="I33" s="214" t="s">
        <v>298</v>
      </c>
      <c r="J33" s="192"/>
      <c r="K33" s="214" t="s">
        <v>298</v>
      </c>
      <c r="L33" s="214" t="s">
        <v>298</v>
      </c>
      <c r="M33" s="214" t="s">
        <v>298</v>
      </c>
      <c r="N33" s="214" t="s">
        <v>298</v>
      </c>
      <c r="O33" s="214" t="s">
        <v>298</v>
      </c>
      <c r="P33" s="192"/>
      <c r="Q33" s="214" t="s">
        <v>299</v>
      </c>
      <c r="R33" s="214" t="s">
        <v>299</v>
      </c>
      <c r="S33" s="214" t="s">
        <v>299</v>
      </c>
      <c r="T33" s="214" t="s">
        <v>299</v>
      </c>
      <c r="U33" s="214" t="s">
        <v>299</v>
      </c>
      <c r="V33" s="192"/>
      <c r="W33" s="212" t="str">
        <f t="shared" si="54"/>
        <v xml:space="preserve"> - </v>
      </c>
      <c r="X33" s="212" t="str">
        <f t="shared" si="55"/>
        <v xml:space="preserve"> - </v>
      </c>
      <c r="Y33" s="212" t="str">
        <f t="shared" si="56"/>
        <v xml:space="preserve"> - </v>
      </c>
      <c r="Z33" s="212" t="str">
        <f t="shared" si="57"/>
        <v xml:space="preserve"> - </v>
      </c>
      <c r="AA33" s="212" t="str">
        <f t="shared" si="58"/>
        <v xml:space="preserve"> - </v>
      </c>
      <c r="AB33" s="192"/>
      <c r="AC33" s="197" t="str">
        <f t="shared" si="5"/>
        <v xml:space="preserve"> +</v>
      </c>
      <c r="AD33" s="197" t="str">
        <f t="shared" si="6"/>
        <v xml:space="preserve"> +</v>
      </c>
      <c r="AE33" s="197" t="str">
        <f t="shared" si="7"/>
        <v xml:space="preserve"> +</v>
      </c>
      <c r="AF33" s="197" t="str">
        <f t="shared" si="8"/>
        <v xml:space="preserve"> +</v>
      </c>
      <c r="AG33" s="192"/>
      <c r="AH33" s="197" t="str">
        <f t="shared" si="9"/>
        <v xml:space="preserve"> +</v>
      </c>
      <c r="AI33" s="197" t="str">
        <f t="shared" si="10"/>
        <v xml:space="preserve"> +</v>
      </c>
      <c r="AJ33" s="197" t="str">
        <f t="shared" si="11"/>
        <v xml:space="preserve"> +</v>
      </c>
      <c r="AK33" s="197" t="str">
        <f t="shared" si="12"/>
        <v xml:space="preserve"> +</v>
      </c>
      <c r="AL33" s="192"/>
      <c r="AM33" s="197" t="str">
        <f t="shared" si="59"/>
        <v xml:space="preserve"> - </v>
      </c>
      <c r="AN33" s="197" t="str">
        <f t="shared" si="60"/>
        <v xml:space="preserve"> - </v>
      </c>
      <c r="AO33" s="197" t="str">
        <f t="shared" si="61"/>
        <v xml:space="preserve"> - </v>
      </c>
      <c r="AP33" s="192"/>
      <c r="AQ33" s="197" t="str">
        <f t="shared" si="62"/>
        <v xml:space="preserve"> - </v>
      </c>
      <c r="AR33" s="192"/>
      <c r="AS33" s="212" t="str">
        <f t="shared" si="14"/>
        <v xml:space="preserve"> +</v>
      </c>
      <c r="AT33" s="212" t="str">
        <f t="shared" si="15"/>
        <v xml:space="preserve"> +</v>
      </c>
      <c r="AU33" s="212" t="str">
        <f t="shared" si="16"/>
        <v xml:space="preserve"> +</v>
      </c>
      <c r="AV33" s="212" t="str">
        <f t="shared" si="17"/>
        <v xml:space="preserve"> +</v>
      </c>
      <c r="AW33" s="247"/>
      <c r="AX33" s="212" t="str">
        <f t="shared" si="18"/>
        <v xml:space="preserve"> +</v>
      </c>
      <c r="AY33" s="212" t="str">
        <f t="shared" si="19"/>
        <v xml:space="preserve"> +</v>
      </c>
      <c r="AZ33" s="212" t="str">
        <f t="shared" si="20"/>
        <v xml:space="preserve"> +</v>
      </c>
      <c r="BA33" s="212" t="str">
        <f t="shared" si="21"/>
        <v xml:space="preserve"> +</v>
      </c>
      <c r="BB33" s="247"/>
      <c r="BC33" s="247"/>
      <c r="BD33" s="247"/>
      <c r="BE33" s="247"/>
      <c r="BF33" s="247"/>
      <c r="BG33" s="247"/>
      <c r="BH33" s="212" t="str">
        <f t="shared" si="50"/>
        <v xml:space="preserve"> - </v>
      </c>
      <c r="BI33" s="212" t="str">
        <f t="shared" si="51"/>
        <v xml:space="preserve"> - </v>
      </c>
      <c r="BJ33" s="212" t="str">
        <f t="shared" si="52"/>
        <v xml:space="preserve"> - </v>
      </c>
      <c r="BK33" s="212" t="str">
        <f t="shared" si="53"/>
        <v xml:space="preserve"> - </v>
      </c>
      <c r="BL33" s="192"/>
      <c r="BM33" s="135">
        <v>33</v>
      </c>
    </row>
    <row r="34" spans="1:65" x14ac:dyDescent="0.3">
      <c r="A34" s="366"/>
      <c r="B34" s="181" t="s">
        <v>39</v>
      </c>
      <c r="C34" s="135">
        <v>32</v>
      </c>
      <c r="D34" s="192"/>
      <c r="E34" s="214" t="s">
        <v>298</v>
      </c>
      <c r="F34" s="214" t="s">
        <v>298</v>
      </c>
      <c r="G34" s="214" t="s">
        <v>298</v>
      </c>
      <c r="H34" s="214" t="s">
        <v>298</v>
      </c>
      <c r="I34" s="214" t="s">
        <v>299</v>
      </c>
      <c r="J34" s="192"/>
      <c r="K34" s="214" t="s">
        <v>298</v>
      </c>
      <c r="L34" s="214" t="s">
        <v>298</v>
      </c>
      <c r="M34" s="214" t="s">
        <v>298</v>
      </c>
      <c r="N34" s="214" t="s">
        <v>299</v>
      </c>
      <c r="O34" s="214" t="s">
        <v>299</v>
      </c>
      <c r="P34" s="192"/>
      <c r="Q34" s="214" t="s">
        <v>299</v>
      </c>
      <c r="R34" s="214" t="s">
        <v>299</v>
      </c>
      <c r="S34" s="214" t="s">
        <v>299</v>
      </c>
      <c r="T34" s="214" t="s">
        <v>299</v>
      </c>
      <c r="U34" s="214" t="s">
        <v>299</v>
      </c>
      <c r="V34" s="192"/>
      <c r="W34" s="212" t="str">
        <f t="shared" si="54"/>
        <v xml:space="preserve"> - </v>
      </c>
      <c r="X34" s="212" t="str">
        <f t="shared" si="55"/>
        <v xml:space="preserve"> - </v>
      </c>
      <c r="Y34" s="212" t="str">
        <f t="shared" si="56"/>
        <v xml:space="preserve"> - </v>
      </c>
      <c r="Z34" s="212" t="str">
        <f t="shared" si="57"/>
        <v xml:space="preserve"> - </v>
      </c>
      <c r="AA34" s="212" t="str">
        <f t="shared" si="58"/>
        <v xml:space="preserve"> - </v>
      </c>
      <c r="AB34" s="192"/>
      <c r="AC34" s="197" t="str">
        <f t="shared" si="5"/>
        <v xml:space="preserve"> +</v>
      </c>
      <c r="AD34" s="197" t="str">
        <f t="shared" si="6"/>
        <v xml:space="preserve"> +</v>
      </c>
      <c r="AE34" s="197" t="str">
        <f t="shared" si="7"/>
        <v xml:space="preserve"> +</v>
      </c>
      <c r="AF34" s="197" t="str">
        <f t="shared" si="8"/>
        <v xml:space="preserve"> +</v>
      </c>
      <c r="AG34" s="192"/>
      <c r="AH34" s="197" t="str">
        <f t="shared" si="9"/>
        <v xml:space="preserve"> +</v>
      </c>
      <c r="AI34" s="197" t="str">
        <f t="shared" si="10"/>
        <v xml:space="preserve"> +</v>
      </c>
      <c r="AJ34" s="197" t="str">
        <f t="shared" si="11"/>
        <v xml:space="preserve"> +</v>
      </c>
      <c r="AK34" s="197" t="str">
        <f t="shared" si="12"/>
        <v xml:space="preserve"> - </v>
      </c>
      <c r="AL34" s="192"/>
      <c r="AM34" s="197" t="str">
        <f t="shared" si="59"/>
        <v xml:space="preserve"> - </v>
      </c>
      <c r="AN34" s="197" t="str">
        <f t="shared" si="60"/>
        <v xml:space="preserve"> - </v>
      </c>
      <c r="AO34" s="197" t="str">
        <f t="shared" si="61"/>
        <v xml:space="preserve"> - </v>
      </c>
      <c r="AP34" s="192"/>
      <c r="AQ34" s="197" t="str">
        <f t="shared" si="62"/>
        <v xml:space="preserve"> - </v>
      </c>
      <c r="AR34" s="192"/>
      <c r="AS34" s="212" t="str">
        <f t="shared" si="14"/>
        <v xml:space="preserve"> +</v>
      </c>
      <c r="AT34" s="212" t="str">
        <f t="shared" si="15"/>
        <v xml:space="preserve"> +</v>
      </c>
      <c r="AU34" s="212" t="str">
        <f t="shared" si="16"/>
        <v xml:space="preserve"> - </v>
      </c>
      <c r="AV34" s="212" t="str">
        <f t="shared" si="17"/>
        <v xml:space="preserve"> - </v>
      </c>
      <c r="AW34" s="247"/>
      <c r="AX34" s="212" t="str">
        <f t="shared" si="18"/>
        <v xml:space="preserve"> - </v>
      </c>
      <c r="AY34" s="212" t="str">
        <f t="shared" si="19"/>
        <v xml:space="preserve"> - </v>
      </c>
      <c r="AZ34" s="212" t="str">
        <f t="shared" si="20"/>
        <v xml:space="preserve"> - </v>
      </c>
      <c r="BA34" s="212" t="str">
        <f t="shared" si="21"/>
        <v xml:space="preserve"> - </v>
      </c>
      <c r="BB34" s="247"/>
      <c r="BC34" s="247"/>
      <c r="BD34" s="247"/>
      <c r="BE34" s="247"/>
      <c r="BF34" s="247"/>
      <c r="BG34" s="247"/>
      <c r="BH34" s="212" t="str">
        <f t="shared" si="50"/>
        <v xml:space="preserve"> - </v>
      </c>
      <c r="BI34" s="212" t="str">
        <f t="shared" si="51"/>
        <v xml:space="preserve"> - </v>
      </c>
      <c r="BJ34" s="212" t="str">
        <f t="shared" si="52"/>
        <v xml:space="preserve"> - </v>
      </c>
      <c r="BK34" s="212" t="str">
        <f t="shared" si="53"/>
        <v xml:space="preserve"> - </v>
      </c>
      <c r="BL34" s="192"/>
      <c r="BM34" s="135">
        <v>34</v>
      </c>
    </row>
    <row r="35" spans="1:65" x14ac:dyDescent="0.3">
      <c r="A35" s="366"/>
      <c r="B35" s="181" t="s">
        <v>377</v>
      </c>
      <c r="C35" s="135">
        <v>33</v>
      </c>
      <c r="D35" s="192"/>
      <c r="E35" s="214" t="s">
        <v>298</v>
      </c>
      <c r="F35" s="214" t="s">
        <v>298</v>
      </c>
      <c r="G35" s="214" t="s">
        <v>298</v>
      </c>
      <c r="H35" s="214" t="s">
        <v>299</v>
      </c>
      <c r="I35" s="214" t="s">
        <v>299</v>
      </c>
      <c r="J35" s="192"/>
      <c r="K35" s="214" t="s">
        <v>299</v>
      </c>
      <c r="L35" s="214" t="s">
        <v>299</v>
      </c>
      <c r="M35" s="214" t="s">
        <v>299</v>
      </c>
      <c r="N35" s="214" t="s">
        <v>299</v>
      </c>
      <c r="O35" s="214" t="s">
        <v>299</v>
      </c>
      <c r="P35" s="192"/>
      <c r="Q35" s="214" t="s">
        <v>299</v>
      </c>
      <c r="R35" s="214" t="s">
        <v>299</v>
      </c>
      <c r="S35" s="214" t="s">
        <v>299</v>
      </c>
      <c r="T35" s="214" t="s">
        <v>299</v>
      </c>
      <c r="U35" s="214" t="s">
        <v>299</v>
      </c>
      <c r="V35" s="192"/>
      <c r="W35" s="212" t="str">
        <f t="shared" si="54"/>
        <v xml:space="preserve"> - </v>
      </c>
      <c r="X35" s="212" t="str">
        <f t="shared" si="55"/>
        <v xml:space="preserve"> - </v>
      </c>
      <c r="Y35" s="212" t="str">
        <f t="shared" si="56"/>
        <v xml:space="preserve"> - </v>
      </c>
      <c r="Z35" s="212" t="str">
        <f t="shared" si="57"/>
        <v xml:space="preserve"> - </v>
      </c>
      <c r="AA35" s="212" t="str">
        <f t="shared" si="58"/>
        <v xml:space="preserve"> - </v>
      </c>
      <c r="AB35" s="192"/>
      <c r="AC35" s="197" t="str">
        <f t="shared" si="5"/>
        <v xml:space="preserve"> +</v>
      </c>
      <c r="AD35" s="197" t="str">
        <f t="shared" si="6"/>
        <v xml:space="preserve"> +</v>
      </c>
      <c r="AE35" s="197" t="str">
        <f t="shared" si="7"/>
        <v xml:space="preserve"> +</v>
      </c>
      <c r="AF35" s="197" t="str">
        <f t="shared" si="8"/>
        <v xml:space="preserve"> - </v>
      </c>
      <c r="AG35" s="192"/>
      <c r="AH35" s="197" t="str">
        <f t="shared" si="9"/>
        <v xml:space="preserve"> - </v>
      </c>
      <c r="AI35" s="197" t="str">
        <f t="shared" si="10"/>
        <v xml:space="preserve"> - </v>
      </c>
      <c r="AJ35" s="197" t="str">
        <f t="shared" si="11"/>
        <v xml:space="preserve"> - </v>
      </c>
      <c r="AK35" s="197" t="str">
        <f t="shared" si="12"/>
        <v xml:space="preserve"> - </v>
      </c>
      <c r="AL35" s="192"/>
      <c r="AM35" s="197" t="str">
        <f t="shared" si="59"/>
        <v xml:space="preserve"> - </v>
      </c>
      <c r="AN35" s="197" t="str">
        <f t="shared" si="60"/>
        <v xml:space="preserve"> - </v>
      </c>
      <c r="AO35" s="197" t="str">
        <f t="shared" si="61"/>
        <v xml:space="preserve"> - </v>
      </c>
      <c r="AP35" s="192"/>
      <c r="AQ35" s="197" t="str">
        <f t="shared" si="62"/>
        <v xml:space="preserve"> - </v>
      </c>
      <c r="AR35" s="192"/>
      <c r="AS35" s="212" t="str">
        <f t="shared" si="14"/>
        <v xml:space="preserve"> - </v>
      </c>
      <c r="AT35" s="212" t="str">
        <f t="shared" si="15"/>
        <v xml:space="preserve"> - </v>
      </c>
      <c r="AU35" s="212" t="str">
        <f t="shared" si="16"/>
        <v xml:space="preserve"> - </v>
      </c>
      <c r="AV35" s="212" t="str">
        <f t="shared" si="17"/>
        <v xml:space="preserve"> - </v>
      </c>
      <c r="AW35" s="247"/>
      <c r="AX35" s="212" t="str">
        <f t="shared" si="18"/>
        <v xml:space="preserve"> - </v>
      </c>
      <c r="AY35" s="212" t="str">
        <f t="shared" si="19"/>
        <v xml:space="preserve"> - </v>
      </c>
      <c r="AZ35" s="212" t="str">
        <f t="shared" si="20"/>
        <v xml:space="preserve"> - </v>
      </c>
      <c r="BA35" s="212" t="str">
        <f t="shared" si="21"/>
        <v xml:space="preserve"> - </v>
      </c>
      <c r="BB35" s="247"/>
      <c r="BC35" s="247"/>
      <c r="BD35" s="247"/>
      <c r="BE35" s="247"/>
      <c r="BF35" s="247"/>
      <c r="BG35" s="247"/>
      <c r="BH35" s="212" t="str">
        <f t="shared" si="50"/>
        <v xml:space="preserve"> - </v>
      </c>
      <c r="BI35" s="212" t="str">
        <f t="shared" si="51"/>
        <v xml:space="preserve"> - </v>
      </c>
      <c r="BJ35" s="212" t="str">
        <f t="shared" si="52"/>
        <v xml:space="preserve"> - </v>
      </c>
      <c r="BK35" s="212" t="str">
        <f t="shared" si="53"/>
        <v xml:space="preserve"> - </v>
      </c>
      <c r="BL35" s="192"/>
      <c r="BM35" s="135">
        <v>35</v>
      </c>
    </row>
    <row r="36" spans="1:65" x14ac:dyDescent="0.3">
      <c r="A36" s="366"/>
      <c r="B36" s="181" t="s">
        <v>236</v>
      </c>
      <c r="C36" s="135">
        <v>34</v>
      </c>
      <c r="D36" s="192"/>
      <c r="E36" s="214" t="s">
        <v>298</v>
      </c>
      <c r="F36" s="214" t="s">
        <v>298</v>
      </c>
      <c r="G36" s="214" t="s">
        <v>298</v>
      </c>
      <c r="H36" s="214" t="s">
        <v>298</v>
      </c>
      <c r="I36" s="214" t="s">
        <v>299</v>
      </c>
      <c r="J36" s="192"/>
      <c r="K36" s="214" t="s">
        <v>299</v>
      </c>
      <c r="L36" s="214" t="s">
        <v>299</v>
      </c>
      <c r="M36" s="214" t="s">
        <v>299</v>
      </c>
      <c r="N36" s="214" t="s">
        <v>299</v>
      </c>
      <c r="O36" s="214" t="s">
        <v>299</v>
      </c>
      <c r="P36" s="192"/>
      <c r="Q36" s="214" t="s">
        <v>299</v>
      </c>
      <c r="R36" s="214" t="s">
        <v>299</v>
      </c>
      <c r="S36" s="214" t="s">
        <v>299</v>
      </c>
      <c r="T36" s="214" t="s">
        <v>299</v>
      </c>
      <c r="U36" s="214" t="s">
        <v>299</v>
      </c>
      <c r="V36" s="192"/>
      <c r="W36" s="212" t="str">
        <f t="shared" si="54"/>
        <v xml:space="preserve"> - </v>
      </c>
      <c r="X36" s="212" t="str">
        <f t="shared" si="55"/>
        <v xml:space="preserve"> - </v>
      </c>
      <c r="Y36" s="212" t="str">
        <f t="shared" si="56"/>
        <v xml:space="preserve"> - </v>
      </c>
      <c r="Z36" s="212" t="str">
        <f t="shared" si="57"/>
        <v xml:space="preserve"> - </v>
      </c>
      <c r="AA36" s="212" t="str">
        <f t="shared" si="58"/>
        <v xml:space="preserve"> - </v>
      </c>
      <c r="AB36" s="192"/>
      <c r="AC36" s="197" t="str">
        <f t="shared" si="5"/>
        <v xml:space="preserve"> +</v>
      </c>
      <c r="AD36" s="197" t="str">
        <f t="shared" si="6"/>
        <v xml:space="preserve"> +</v>
      </c>
      <c r="AE36" s="197" t="str">
        <f t="shared" si="7"/>
        <v xml:space="preserve"> +</v>
      </c>
      <c r="AF36" s="197" t="str">
        <f t="shared" si="8"/>
        <v xml:space="preserve"> +</v>
      </c>
      <c r="AG36" s="192"/>
      <c r="AH36" s="197" t="str">
        <f t="shared" si="9"/>
        <v xml:space="preserve"> - </v>
      </c>
      <c r="AI36" s="197" t="str">
        <f t="shared" si="10"/>
        <v xml:space="preserve"> - </v>
      </c>
      <c r="AJ36" s="197" t="str">
        <f t="shared" si="11"/>
        <v xml:space="preserve"> - </v>
      </c>
      <c r="AK36" s="197" t="str">
        <f t="shared" si="12"/>
        <v xml:space="preserve"> - </v>
      </c>
      <c r="AL36" s="192"/>
      <c r="AM36" s="197" t="str">
        <f t="shared" si="59"/>
        <v xml:space="preserve"> - </v>
      </c>
      <c r="AN36" s="197" t="str">
        <f t="shared" si="60"/>
        <v xml:space="preserve"> - </v>
      </c>
      <c r="AO36" s="197" t="str">
        <f t="shared" si="61"/>
        <v xml:space="preserve"> - </v>
      </c>
      <c r="AP36" s="192"/>
      <c r="AQ36" s="197" t="str">
        <f t="shared" si="62"/>
        <v xml:space="preserve"> - </v>
      </c>
      <c r="AR36" s="192"/>
      <c r="AS36" s="212" t="str">
        <f t="shared" si="14"/>
        <v xml:space="preserve"> +</v>
      </c>
      <c r="AT36" s="212" t="str">
        <f t="shared" si="15"/>
        <v xml:space="preserve"> +</v>
      </c>
      <c r="AU36" s="212" t="str">
        <f t="shared" si="16"/>
        <v xml:space="preserve"> - </v>
      </c>
      <c r="AV36" s="212" t="str">
        <f t="shared" si="17"/>
        <v xml:space="preserve"> - </v>
      </c>
      <c r="AW36" s="247"/>
      <c r="AX36" s="212" t="str">
        <f t="shared" si="18"/>
        <v xml:space="preserve"> - </v>
      </c>
      <c r="AY36" s="212" t="str">
        <f t="shared" si="19"/>
        <v xml:space="preserve"> - </v>
      </c>
      <c r="AZ36" s="212" t="str">
        <f t="shared" si="20"/>
        <v xml:space="preserve"> - </v>
      </c>
      <c r="BA36" s="212" t="str">
        <f t="shared" si="21"/>
        <v xml:space="preserve"> - </v>
      </c>
      <c r="BB36" s="247"/>
      <c r="BC36" s="247"/>
      <c r="BD36" s="247"/>
      <c r="BE36" s="247"/>
      <c r="BF36" s="247"/>
      <c r="BG36" s="247"/>
      <c r="BH36" s="212" t="str">
        <f t="shared" si="50"/>
        <v xml:space="preserve"> - </v>
      </c>
      <c r="BI36" s="212" t="str">
        <f t="shared" si="51"/>
        <v xml:space="preserve"> - </v>
      </c>
      <c r="BJ36" s="212" t="str">
        <f t="shared" si="52"/>
        <v xml:space="preserve"> - </v>
      </c>
      <c r="BK36" s="212" t="str">
        <f t="shared" si="53"/>
        <v xml:space="preserve"> - </v>
      </c>
      <c r="BL36" s="192"/>
      <c r="BM36" s="135">
        <v>36</v>
      </c>
    </row>
    <row r="37" spans="1:65" x14ac:dyDescent="0.3">
      <c r="A37" s="366"/>
      <c r="B37" s="181" t="s">
        <v>309</v>
      </c>
      <c r="C37" s="135">
        <v>35</v>
      </c>
      <c r="D37" s="192"/>
      <c r="E37" s="214" t="s">
        <v>298</v>
      </c>
      <c r="F37" s="214" t="s">
        <v>298</v>
      </c>
      <c r="G37" s="214" t="s">
        <v>299</v>
      </c>
      <c r="H37" s="214" t="s">
        <v>299</v>
      </c>
      <c r="I37" s="214" t="s">
        <v>299</v>
      </c>
      <c r="J37" s="192"/>
      <c r="K37" s="214" t="s">
        <v>299</v>
      </c>
      <c r="L37" s="214" t="s">
        <v>299</v>
      </c>
      <c r="M37" s="214" t="s">
        <v>299</v>
      </c>
      <c r="N37" s="214" t="s">
        <v>299</v>
      </c>
      <c r="O37" s="214" t="s">
        <v>299</v>
      </c>
      <c r="P37" s="192"/>
      <c r="Q37" s="214" t="s">
        <v>299</v>
      </c>
      <c r="R37" s="214" t="s">
        <v>299</v>
      </c>
      <c r="S37" s="214" t="s">
        <v>299</v>
      </c>
      <c r="T37" s="214" t="s">
        <v>299</v>
      </c>
      <c r="U37" s="214" t="s">
        <v>299</v>
      </c>
      <c r="V37" s="192"/>
      <c r="W37" s="212" t="str">
        <f t="shared" si="54"/>
        <v xml:space="preserve"> - </v>
      </c>
      <c r="X37" s="212" t="str">
        <f t="shared" si="55"/>
        <v xml:space="preserve"> - </v>
      </c>
      <c r="Y37" s="212" t="str">
        <f t="shared" si="56"/>
        <v xml:space="preserve"> - </v>
      </c>
      <c r="Z37" s="212" t="str">
        <f t="shared" si="57"/>
        <v xml:space="preserve"> - </v>
      </c>
      <c r="AA37" s="212" t="str">
        <f t="shared" si="58"/>
        <v xml:space="preserve"> - </v>
      </c>
      <c r="AB37" s="192"/>
      <c r="AC37" s="197" t="str">
        <f t="shared" ref="AC37:AC68" si="75">E37</f>
        <v xml:space="preserve"> +</v>
      </c>
      <c r="AD37" s="197" t="str">
        <f t="shared" ref="AD37:AD68" si="76">F37</f>
        <v xml:space="preserve"> +</v>
      </c>
      <c r="AE37" s="197" t="str">
        <f t="shared" ref="AE37:AE68" si="77">G37</f>
        <v xml:space="preserve"> - </v>
      </c>
      <c r="AF37" s="197" t="str">
        <f t="shared" ref="AF37:AF68" si="78">H37</f>
        <v xml:space="preserve"> - </v>
      </c>
      <c r="AG37" s="192"/>
      <c r="AH37" s="197" t="str">
        <f t="shared" ref="AH37:AH68" si="79">K37</f>
        <v xml:space="preserve"> - </v>
      </c>
      <c r="AI37" s="197" t="str">
        <f t="shared" ref="AI37:AI68" si="80">L37</f>
        <v xml:space="preserve"> - </v>
      </c>
      <c r="AJ37" s="197" t="str">
        <f t="shared" ref="AJ37:AJ68" si="81">M37</f>
        <v xml:space="preserve"> - </v>
      </c>
      <c r="AK37" s="197" t="str">
        <f t="shared" ref="AK37:AK68" si="82">N37</f>
        <v xml:space="preserve"> - </v>
      </c>
      <c r="AL37" s="192"/>
      <c r="AM37" s="197" t="str">
        <f t="shared" si="59"/>
        <v xml:space="preserve"> - </v>
      </c>
      <c r="AN37" s="197" t="str">
        <f t="shared" si="60"/>
        <v xml:space="preserve"> - </v>
      </c>
      <c r="AO37" s="197" t="str">
        <f t="shared" si="61"/>
        <v xml:space="preserve"> - </v>
      </c>
      <c r="AP37" s="192"/>
      <c r="AQ37" s="197" t="str">
        <f t="shared" si="62"/>
        <v xml:space="preserve"> - </v>
      </c>
      <c r="AR37" s="192"/>
      <c r="AS37" s="212" t="str">
        <f t="shared" ref="AS37:AS68" si="83">H37</f>
        <v xml:space="preserve"> - </v>
      </c>
      <c r="AT37" s="212" t="str">
        <f t="shared" ref="AT37:AT68" si="84">H37</f>
        <v xml:space="preserve"> - </v>
      </c>
      <c r="AU37" s="212" t="str">
        <f t="shared" ref="AU37:AU68" si="85">I37</f>
        <v xml:space="preserve"> - </v>
      </c>
      <c r="AV37" s="212" t="str">
        <f t="shared" ref="AV37:AV68" si="86">I37</f>
        <v xml:space="preserve"> - </v>
      </c>
      <c r="AW37" s="247"/>
      <c r="AX37" s="212" t="str">
        <f t="shared" ref="AX37:AX68" si="87">N37</f>
        <v xml:space="preserve"> - </v>
      </c>
      <c r="AY37" s="212" t="str">
        <f t="shared" ref="AY37:AY68" si="88">N37</f>
        <v xml:space="preserve"> - </v>
      </c>
      <c r="AZ37" s="212" t="str">
        <f t="shared" ref="AZ37:AZ68" si="89">O37</f>
        <v xml:space="preserve"> - </v>
      </c>
      <c r="BA37" s="212" t="str">
        <f t="shared" ref="BA37:BA68" si="90">O37</f>
        <v xml:space="preserve"> - </v>
      </c>
      <c r="BB37" s="247"/>
      <c r="BC37" s="247"/>
      <c r="BD37" s="247"/>
      <c r="BE37" s="247"/>
      <c r="BF37" s="247"/>
      <c r="BG37" s="247"/>
      <c r="BH37" s="212" t="str">
        <f t="shared" si="50"/>
        <v xml:space="preserve"> - </v>
      </c>
      <c r="BI37" s="212" t="str">
        <f t="shared" si="51"/>
        <v xml:space="preserve"> - </v>
      </c>
      <c r="BJ37" s="212" t="str">
        <f t="shared" si="52"/>
        <v xml:space="preserve"> - </v>
      </c>
      <c r="BK37" s="212" t="str">
        <f t="shared" si="53"/>
        <v xml:space="preserve"> - </v>
      </c>
      <c r="BL37" s="192"/>
      <c r="BM37" s="135">
        <v>37</v>
      </c>
    </row>
    <row r="38" spans="1:65" x14ac:dyDescent="0.3">
      <c r="A38" s="366"/>
      <c r="B38" s="181" t="s">
        <v>288</v>
      </c>
      <c r="C38" s="135">
        <v>36</v>
      </c>
      <c r="D38" s="192"/>
      <c r="E38" s="214" t="s">
        <v>298</v>
      </c>
      <c r="F38" s="214" t="s">
        <v>298</v>
      </c>
      <c r="G38" s="214" t="s">
        <v>298</v>
      </c>
      <c r="H38" s="214" t="s">
        <v>298</v>
      </c>
      <c r="I38" s="214" t="s">
        <v>298</v>
      </c>
      <c r="J38" s="192"/>
      <c r="K38" s="214" t="s">
        <v>298</v>
      </c>
      <c r="L38" s="214" t="s">
        <v>298</v>
      </c>
      <c r="M38" s="214" t="s">
        <v>298</v>
      </c>
      <c r="N38" s="214" t="s">
        <v>298</v>
      </c>
      <c r="O38" s="214" t="s">
        <v>298</v>
      </c>
      <c r="P38" s="192"/>
      <c r="Q38" s="214" t="s">
        <v>298</v>
      </c>
      <c r="R38" s="214" t="s">
        <v>298</v>
      </c>
      <c r="S38" s="214" t="s">
        <v>298</v>
      </c>
      <c r="T38" s="214" t="s">
        <v>298</v>
      </c>
      <c r="U38" s="214" t="s">
        <v>298</v>
      </c>
      <c r="V38" s="192"/>
      <c r="W38" s="212" t="str">
        <f t="shared" si="54"/>
        <v xml:space="preserve"> +</v>
      </c>
      <c r="X38" s="212" t="str">
        <f t="shared" si="55"/>
        <v xml:space="preserve"> +</v>
      </c>
      <c r="Y38" s="212" t="str">
        <f t="shared" si="56"/>
        <v xml:space="preserve"> +</v>
      </c>
      <c r="Z38" s="212" t="str">
        <f t="shared" si="57"/>
        <v xml:space="preserve"> +</v>
      </c>
      <c r="AA38" s="212" t="str">
        <f t="shared" si="58"/>
        <v xml:space="preserve"> +</v>
      </c>
      <c r="AB38" s="192"/>
      <c r="AC38" s="197" t="str">
        <f t="shared" si="75"/>
        <v xml:space="preserve"> +</v>
      </c>
      <c r="AD38" s="197" t="str">
        <f t="shared" si="76"/>
        <v xml:space="preserve"> +</v>
      </c>
      <c r="AE38" s="197" t="str">
        <f t="shared" si="77"/>
        <v xml:space="preserve"> +</v>
      </c>
      <c r="AF38" s="197" t="str">
        <f t="shared" si="78"/>
        <v xml:space="preserve"> +</v>
      </c>
      <c r="AG38" s="192"/>
      <c r="AH38" s="197" t="str">
        <f t="shared" si="79"/>
        <v xml:space="preserve"> +</v>
      </c>
      <c r="AI38" s="197" t="str">
        <f t="shared" si="80"/>
        <v xml:space="preserve"> +</v>
      </c>
      <c r="AJ38" s="197" t="str">
        <f t="shared" si="81"/>
        <v xml:space="preserve"> +</v>
      </c>
      <c r="AK38" s="197" t="str">
        <f t="shared" si="82"/>
        <v xml:space="preserve"> +</v>
      </c>
      <c r="AL38" s="192"/>
      <c r="AM38" s="197" t="str">
        <f t="shared" si="59"/>
        <v xml:space="preserve"> +</v>
      </c>
      <c r="AN38" s="197" t="str">
        <f t="shared" si="60"/>
        <v xml:space="preserve"> +</v>
      </c>
      <c r="AO38" s="197" t="str">
        <f t="shared" si="61"/>
        <v xml:space="preserve"> +</v>
      </c>
      <c r="AP38" s="192"/>
      <c r="AQ38" s="197" t="str">
        <f t="shared" si="62"/>
        <v xml:space="preserve"> +</v>
      </c>
      <c r="AR38" s="192"/>
      <c r="AS38" s="212" t="str">
        <f t="shared" si="83"/>
        <v xml:space="preserve"> +</v>
      </c>
      <c r="AT38" s="212" t="str">
        <f t="shared" si="84"/>
        <v xml:space="preserve"> +</v>
      </c>
      <c r="AU38" s="212" t="str">
        <f t="shared" si="85"/>
        <v xml:space="preserve"> +</v>
      </c>
      <c r="AV38" s="212" t="str">
        <f t="shared" si="86"/>
        <v xml:space="preserve"> +</v>
      </c>
      <c r="AW38" s="247"/>
      <c r="AX38" s="212" t="str">
        <f t="shared" si="87"/>
        <v xml:space="preserve"> +</v>
      </c>
      <c r="AY38" s="212" t="str">
        <f t="shared" si="88"/>
        <v xml:space="preserve"> +</v>
      </c>
      <c r="AZ38" s="212" t="str">
        <f t="shared" si="89"/>
        <v xml:space="preserve"> +</v>
      </c>
      <c r="BA38" s="212" t="str">
        <f t="shared" si="90"/>
        <v xml:space="preserve"> +</v>
      </c>
      <c r="BB38" s="247"/>
      <c r="BC38" s="247"/>
      <c r="BD38" s="247"/>
      <c r="BE38" s="247"/>
      <c r="BF38" s="247"/>
      <c r="BG38" s="247"/>
      <c r="BH38" s="212" t="str">
        <f t="shared" si="50"/>
        <v xml:space="preserve"> +</v>
      </c>
      <c r="BI38" s="212" t="str">
        <f t="shared" si="51"/>
        <v xml:space="preserve"> +</v>
      </c>
      <c r="BJ38" s="212" t="str">
        <f t="shared" si="52"/>
        <v xml:space="preserve"> +</v>
      </c>
      <c r="BK38" s="212" t="str">
        <f t="shared" si="53"/>
        <v xml:space="preserve"> +</v>
      </c>
      <c r="BL38" s="192"/>
      <c r="BM38" s="135">
        <v>38</v>
      </c>
    </row>
    <row r="39" spans="1:65" x14ac:dyDescent="0.3">
      <c r="A39" s="366"/>
      <c r="B39" s="181" t="s">
        <v>308</v>
      </c>
      <c r="C39" s="135">
        <v>37</v>
      </c>
      <c r="D39" s="192"/>
      <c r="E39" s="214" t="s">
        <v>298</v>
      </c>
      <c r="F39" s="214" t="s">
        <v>298</v>
      </c>
      <c r="G39" s="214" t="s">
        <v>299</v>
      </c>
      <c r="H39" s="214" t="s">
        <v>299</v>
      </c>
      <c r="I39" s="214" t="s">
        <v>299</v>
      </c>
      <c r="J39" s="192"/>
      <c r="K39" s="214" t="s">
        <v>299</v>
      </c>
      <c r="L39" s="214" t="s">
        <v>299</v>
      </c>
      <c r="M39" s="214" t="s">
        <v>299</v>
      </c>
      <c r="N39" s="214" t="s">
        <v>299</v>
      </c>
      <c r="O39" s="214" t="s">
        <v>299</v>
      </c>
      <c r="P39" s="192"/>
      <c r="Q39" s="214" t="s">
        <v>299</v>
      </c>
      <c r="R39" s="214" t="s">
        <v>299</v>
      </c>
      <c r="S39" s="214" t="s">
        <v>299</v>
      </c>
      <c r="T39" s="214" t="s">
        <v>299</v>
      </c>
      <c r="U39" s="214" t="s">
        <v>299</v>
      </c>
      <c r="V39" s="192"/>
      <c r="W39" s="212" t="str">
        <f t="shared" ref="W39" si="91">Q39</f>
        <v xml:space="preserve"> - </v>
      </c>
      <c r="X39" s="212" t="str">
        <f t="shared" ref="X39" si="92">R39</f>
        <v xml:space="preserve"> - </v>
      </c>
      <c r="Y39" s="212" t="str">
        <f t="shared" ref="Y39" si="93">S39</f>
        <v xml:space="preserve"> - </v>
      </c>
      <c r="Z39" s="212" t="str">
        <f t="shared" ref="Z39" si="94">T39</f>
        <v xml:space="preserve"> - </v>
      </c>
      <c r="AA39" s="212" t="str">
        <f t="shared" ref="AA39" si="95">U39</f>
        <v xml:space="preserve"> - </v>
      </c>
      <c r="AB39" s="192"/>
      <c r="AC39" s="197" t="str">
        <f t="shared" si="75"/>
        <v xml:space="preserve"> +</v>
      </c>
      <c r="AD39" s="197" t="str">
        <f t="shared" si="76"/>
        <v xml:space="preserve"> +</v>
      </c>
      <c r="AE39" s="197" t="str">
        <f t="shared" si="77"/>
        <v xml:space="preserve"> - </v>
      </c>
      <c r="AF39" s="197" t="str">
        <f t="shared" si="78"/>
        <v xml:space="preserve"> - </v>
      </c>
      <c r="AG39" s="192"/>
      <c r="AH39" s="197" t="str">
        <f t="shared" si="79"/>
        <v xml:space="preserve"> - </v>
      </c>
      <c r="AI39" s="197" t="str">
        <f t="shared" si="80"/>
        <v xml:space="preserve"> - </v>
      </c>
      <c r="AJ39" s="197" t="str">
        <f t="shared" si="81"/>
        <v xml:space="preserve"> - </v>
      </c>
      <c r="AK39" s="197" t="str">
        <f t="shared" si="82"/>
        <v xml:space="preserve"> - </v>
      </c>
      <c r="AL39" s="192"/>
      <c r="AM39" s="197" t="str">
        <f t="shared" ref="AM39" si="96">Q39</f>
        <v xml:space="preserve"> - </v>
      </c>
      <c r="AN39" s="197" t="str">
        <f t="shared" ref="AN39" si="97">R39</f>
        <v xml:space="preserve"> - </v>
      </c>
      <c r="AO39" s="197" t="str">
        <f t="shared" ref="AO39" si="98">S39</f>
        <v xml:space="preserve"> - </v>
      </c>
      <c r="AP39" s="192"/>
      <c r="AQ39" s="197" t="str">
        <f t="shared" ref="AQ39" si="99">Z39</f>
        <v xml:space="preserve"> - </v>
      </c>
      <c r="AR39" s="192"/>
      <c r="AS39" s="212" t="str">
        <f t="shared" si="83"/>
        <v xml:space="preserve"> - </v>
      </c>
      <c r="AT39" s="212" t="str">
        <f t="shared" si="84"/>
        <v xml:space="preserve"> - </v>
      </c>
      <c r="AU39" s="212" t="str">
        <f t="shared" si="85"/>
        <v xml:space="preserve"> - </v>
      </c>
      <c r="AV39" s="212" t="str">
        <f t="shared" si="86"/>
        <v xml:space="preserve"> - </v>
      </c>
      <c r="AW39" s="247"/>
      <c r="AX39" s="212" t="str">
        <f t="shared" si="87"/>
        <v xml:space="preserve"> - </v>
      </c>
      <c r="AY39" s="212" t="str">
        <f t="shared" si="88"/>
        <v xml:space="preserve"> - </v>
      </c>
      <c r="AZ39" s="212" t="str">
        <f t="shared" si="89"/>
        <v xml:space="preserve"> - </v>
      </c>
      <c r="BA39" s="212" t="str">
        <f t="shared" si="90"/>
        <v xml:space="preserve"> - </v>
      </c>
      <c r="BB39" s="247"/>
      <c r="BC39" s="247"/>
      <c r="BD39" s="247"/>
      <c r="BE39" s="247"/>
      <c r="BF39" s="247"/>
      <c r="BG39" s="247"/>
      <c r="BH39" s="212" t="str">
        <f t="shared" si="50"/>
        <v xml:space="preserve"> - </v>
      </c>
      <c r="BI39" s="212" t="str">
        <f t="shared" si="51"/>
        <v xml:space="preserve"> - </v>
      </c>
      <c r="BJ39" s="212" t="str">
        <f t="shared" si="52"/>
        <v xml:space="preserve"> - </v>
      </c>
      <c r="BK39" s="212" t="str">
        <f t="shared" si="53"/>
        <v xml:space="preserve"> - </v>
      </c>
      <c r="BL39" s="192"/>
      <c r="BM39" s="135">
        <v>39</v>
      </c>
    </row>
    <row r="40" spans="1:65" x14ac:dyDescent="0.3">
      <c r="A40" s="366"/>
      <c r="B40" s="181" t="s">
        <v>32</v>
      </c>
      <c r="C40" s="135">
        <v>38</v>
      </c>
      <c r="D40" s="192"/>
      <c r="E40" s="214" t="s">
        <v>302</v>
      </c>
      <c r="F40" s="214" t="s">
        <v>302</v>
      </c>
      <c r="G40" s="214" t="s">
        <v>303</v>
      </c>
      <c r="H40" s="214" t="s">
        <v>303</v>
      </c>
      <c r="I40" s="214" t="s">
        <v>303</v>
      </c>
      <c r="J40" s="192"/>
      <c r="K40" s="214" t="s">
        <v>303</v>
      </c>
      <c r="L40" s="214" t="s">
        <v>303</v>
      </c>
      <c r="M40" s="214" t="s">
        <v>303</v>
      </c>
      <c r="N40" s="214" t="s">
        <v>303</v>
      </c>
      <c r="O40" s="214" t="s">
        <v>303</v>
      </c>
      <c r="P40" s="192"/>
      <c r="Q40" s="214" t="s">
        <v>299</v>
      </c>
      <c r="R40" s="214" t="s">
        <v>299</v>
      </c>
      <c r="S40" s="214" t="s">
        <v>299</v>
      </c>
      <c r="T40" s="214" t="s">
        <v>299</v>
      </c>
      <c r="U40" s="214" t="s">
        <v>299</v>
      </c>
      <c r="V40" s="192"/>
      <c r="W40" s="212" t="str">
        <f t="shared" si="54"/>
        <v xml:space="preserve"> - </v>
      </c>
      <c r="X40" s="212" t="str">
        <f t="shared" si="55"/>
        <v xml:space="preserve"> - </v>
      </c>
      <c r="Y40" s="212" t="str">
        <f t="shared" si="56"/>
        <v xml:space="preserve"> - </v>
      </c>
      <c r="Z40" s="212" t="str">
        <f t="shared" si="57"/>
        <v xml:space="preserve"> - </v>
      </c>
      <c r="AA40" s="212" t="str">
        <f t="shared" si="58"/>
        <v xml:space="preserve"> - </v>
      </c>
      <c r="AB40" s="192"/>
      <c r="AC40" s="197" t="str">
        <f t="shared" si="75"/>
        <v xml:space="preserve"> +
Полнотекстовый поиск в оглавлении</v>
      </c>
      <c r="AD40" s="197" t="str">
        <f t="shared" si="76"/>
        <v xml:space="preserve"> +
Полнотекстовый поиск в оглавлении</v>
      </c>
      <c r="AE40" s="197" t="str">
        <f t="shared" si="77"/>
        <v xml:space="preserve"> +
Базовый поиск в оглавлении</v>
      </c>
      <c r="AF40" s="197" t="str">
        <f t="shared" si="78"/>
        <v xml:space="preserve"> +
Базовый поиск в оглавлении</v>
      </c>
      <c r="AG40" s="192"/>
      <c r="AH40" s="197" t="str">
        <f t="shared" si="79"/>
        <v xml:space="preserve"> +
Базовый поиск в оглавлении</v>
      </c>
      <c r="AI40" s="197" t="str">
        <f t="shared" si="80"/>
        <v xml:space="preserve"> +
Базовый поиск в оглавлении</v>
      </c>
      <c r="AJ40" s="197" t="str">
        <f t="shared" si="81"/>
        <v xml:space="preserve"> +
Базовый поиск в оглавлении</v>
      </c>
      <c r="AK40" s="197" t="str">
        <f t="shared" si="82"/>
        <v xml:space="preserve"> +
Базовый поиск в оглавлении</v>
      </c>
      <c r="AL40" s="192"/>
      <c r="AM40" s="197" t="str">
        <f t="shared" si="59"/>
        <v xml:space="preserve"> - </v>
      </c>
      <c r="AN40" s="197" t="str">
        <f t="shared" si="60"/>
        <v xml:space="preserve"> - </v>
      </c>
      <c r="AO40" s="197" t="str">
        <f t="shared" si="61"/>
        <v xml:space="preserve"> - </v>
      </c>
      <c r="AP40" s="192"/>
      <c r="AQ40" s="197" t="str">
        <f t="shared" si="62"/>
        <v xml:space="preserve"> - </v>
      </c>
      <c r="AR40" s="192"/>
      <c r="AS40" s="212" t="str">
        <f t="shared" si="83"/>
        <v xml:space="preserve"> +
Базовый поиск в оглавлении</v>
      </c>
      <c r="AT40" s="212" t="str">
        <f t="shared" si="84"/>
        <v xml:space="preserve"> +
Базовый поиск в оглавлении</v>
      </c>
      <c r="AU40" s="212" t="str">
        <f t="shared" si="85"/>
        <v xml:space="preserve"> +
Базовый поиск в оглавлении</v>
      </c>
      <c r="AV40" s="212" t="str">
        <f t="shared" si="86"/>
        <v xml:space="preserve"> +
Базовый поиск в оглавлении</v>
      </c>
      <c r="AW40" s="247"/>
      <c r="AX40" s="212" t="str">
        <f t="shared" si="87"/>
        <v xml:space="preserve"> +
Базовый поиск в оглавлении</v>
      </c>
      <c r="AY40" s="212" t="str">
        <f t="shared" si="88"/>
        <v xml:space="preserve"> +
Базовый поиск в оглавлении</v>
      </c>
      <c r="AZ40" s="212" t="str">
        <f t="shared" si="89"/>
        <v xml:space="preserve"> +
Базовый поиск в оглавлении</v>
      </c>
      <c r="BA40" s="212" t="str">
        <f t="shared" si="90"/>
        <v xml:space="preserve"> +
Базовый поиск в оглавлении</v>
      </c>
      <c r="BB40" s="247"/>
      <c r="BC40" s="247"/>
      <c r="BD40" s="247"/>
      <c r="BE40" s="247"/>
      <c r="BF40" s="247"/>
      <c r="BG40" s="247"/>
      <c r="BH40" s="212" t="str">
        <f t="shared" si="50"/>
        <v xml:space="preserve"> - </v>
      </c>
      <c r="BI40" s="212" t="str">
        <f t="shared" si="51"/>
        <v xml:space="preserve"> - </v>
      </c>
      <c r="BJ40" s="212" t="str">
        <f t="shared" si="52"/>
        <v xml:space="preserve"> - </v>
      </c>
      <c r="BK40" s="212" t="str">
        <f t="shared" si="53"/>
        <v xml:space="preserve"> - </v>
      </c>
      <c r="BL40" s="192"/>
      <c r="BM40" s="135">
        <v>40</v>
      </c>
    </row>
    <row r="41" spans="1:65" s="147" customFormat="1" x14ac:dyDescent="0.3">
      <c r="A41" s="366"/>
      <c r="B41" s="181" t="s">
        <v>289</v>
      </c>
      <c r="C41" s="135">
        <v>39</v>
      </c>
      <c r="D41" s="192"/>
      <c r="E41" s="214" t="s">
        <v>298</v>
      </c>
      <c r="F41" s="214" t="s">
        <v>298</v>
      </c>
      <c r="G41" s="214" t="s">
        <v>298</v>
      </c>
      <c r="H41" s="214" t="s">
        <v>298</v>
      </c>
      <c r="I41" s="214" t="s">
        <v>298</v>
      </c>
      <c r="J41" s="192"/>
      <c r="K41" s="214" t="s">
        <v>298</v>
      </c>
      <c r="L41" s="214" t="s">
        <v>298</v>
      </c>
      <c r="M41" s="214" t="s">
        <v>299</v>
      </c>
      <c r="N41" s="214" t="s">
        <v>299</v>
      </c>
      <c r="O41" s="214" t="s">
        <v>299</v>
      </c>
      <c r="P41" s="192"/>
      <c r="Q41" s="214" t="s">
        <v>299</v>
      </c>
      <c r="R41" s="214" t="s">
        <v>299</v>
      </c>
      <c r="S41" s="214" t="s">
        <v>299</v>
      </c>
      <c r="T41" s="214" t="s">
        <v>299</v>
      </c>
      <c r="U41" s="214" t="s">
        <v>299</v>
      </c>
      <c r="V41" s="192"/>
      <c r="W41" s="212" t="str">
        <f t="shared" si="54"/>
        <v xml:space="preserve"> - </v>
      </c>
      <c r="X41" s="212" t="str">
        <f t="shared" si="55"/>
        <v xml:space="preserve"> - </v>
      </c>
      <c r="Y41" s="212" t="str">
        <f t="shared" si="56"/>
        <v xml:space="preserve"> - </v>
      </c>
      <c r="Z41" s="212" t="str">
        <f t="shared" si="57"/>
        <v xml:space="preserve"> - </v>
      </c>
      <c r="AA41" s="212" t="str">
        <f t="shared" si="58"/>
        <v xml:space="preserve"> - </v>
      </c>
      <c r="AB41" s="192"/>
      <c r="AC41" s="197" t="str">
        <f t="shared" si="75"/>
        <v xml:space="preserve"> +</v>
      </c>
      <c r="AD41" s="197" t="str">
        <f t="shared" si="76"/>
        <v xml:space="preserve"> +</v>
      </c>
      <c r="AE41" s="197" t="str">
        <f t="shared" si="77"/>
        <v xml:space="preserve"> +</v>
      </c>
      <c r="AF41" s="197" t="str">
        <f t="shared" si="78"/>
        <v xml:space="preserve"> +</v>
      </c>
      <c r="AG41" s="192"/>
      <c r="AH41" s="197" t="str">
        <f t="shared" si="79"/>
        <v xml:space="preserve"> +</v>
      </c>
      <c r="AI41" s="197" t="str">
        <f t="shared" si="80"/>
        <v xml:space="preserve"> +</v>
      </c>
      <c r="AJ41" s="197" t="str">
        <f t="shared" si="81"/>
        <v xml:space="preserve"> - </v>
      </c>
      <c r="AK41" s="197" t="str">
        <f t="shared" si="82"/>
        <v xml:space="preserve"> - </v>
      </c>
      <c r="AL41" s="192"/>
      <c r="AM41" s="197" t="str">
        <f t="shared" si="59"/>
        <v xml:space="preserve"> - </v>
      </c>
      <c r="AN41" s="197" t="str">
        <f t="shared" si="60"/>
        <v xml:space="preserve"> - </v>
      </c>
      <c r="AO41" s="197" t="str">
        <f t="shared" si="61"/>
        <v xml:space="preserve"> - </v>
      </c>
      <c r="AP41" s="192"/>
      <c r="AQ41" s="197" t="str">
        <f t="shared" si="62"/>
        <v xml:space="preserve"> - </v>
      </c>
      <c r="AR41" s="192"/>
      <c r="AS41" s="212" t="str">
        <f t="shared" si="83"/>
        <v xml:space="preserve"> +</v>
      </c>
      <c r="AT41" s="212" t="str">
        <f t="shared" si="84"/>
        <v xml:space="preserve"> +</v>
      </c>
      <c r="AU41" s="212" t="str">
        <f t="shared" si="85"/>
        <v xml:space="preserve"> +</v>
      </c>
      <c r="AV41" s="212" t="str">
        <f t="shared" si="86"/>
        <v xml:space="preserve"> +</v>
      </c>
      <c r="AW41" s="247"/>
      <c r="AX41" s="212" t="str">
        <f t="shared" si="87"/>
        <v xml:space="preserve"> - </v>
      </c>
      <c r="AY41" s="212" t="str">
        <f t="shared" si="88"/>
        <v xml:space="preserve"> - </v>
      </c>
      <c r="AZ41" s="212" t="str">
        <f t="shared" si="89"/>
        <v xml:space="preserve"> - </v>
      </c>
      <c r="BA41" s="212" t="str">
        <f t="shared" si="90"/>
        <v xml:space="preserve"> - </v>
      </c>
      <c r="BB41" s="247"/>
      <c r="BC41" s="247"/>
      <c r="BD41" s="247"/>
      <c r="BE41" s="247"/>
      <c r="BF41" s="247"/>
      <c r="BG41" s="247"/>
      <c r="BH41" s="212" t="str">
        <f t="shared" si="50"/>
        <v xml:space="preserve"> - </v>
      </c>
      <c r="BI41" s="212" t="str">
        <f t="shared" si="51"/>
        <v xml:space="preserve"> - </v>
      </c>
      <c r="BJ41" s="212" t="str">
        <f t="shared" si="52"/>
        <v xml:space="preserve"> - </v>
      </c>
      <c r="BK41" s="212" t="str">
        <f t="shared" si="53"/>
        <v xml:space="preserve"> - </v>
      </c>
      <c r="BL41" s="192"/>
      <c r="BM41" s="135">
        <v>41</v>
      </c>
    </row>
    <row r="42" spans="1:65" x14ac:dyDescent="0.3">
      <c r="A42" s="366"/>
      <c r="B42" s="181" t="s">
        <v>35</v>
      </c>
      <c r="C42" s="135">
        <v>40</v>
      </c>
      <c r="D42" s="192"/>
      <c r="E42" s="214" t="s">
        <v>386</v>
      </c>
      <c r="F42" s="214" t="s">
        <v>386</v>
      </c>
      <c r="G42" s="214" t="s">
        <v>387</v>
      </c>
      <c r="H42" s="214" t="s">
        <v>387</v>
      </c>
      <c r="I42" s="214" t="s">
        <v>299</v>
      </c>
      <c r="J42" s="192"/>
      <c r="K42" s="214" t="s">
        <v>301</v>
      </c>
      <c r="L42" s="214" t="s">
        <v>301</v>
      </c>
      <c r="M42" s="214" t="s">
        <v>301</v>
      </c>
      <c r="N42" s="214" t="s">
        <v>301</v>
      </c>
      <c r="O42" s="214" t="s">
        <v>299</v>
      </c>
      <c r="P42" s="192"/>
      <c r="Q42" s="214" t="s">
        <v>299</v>
      </c>
      <c r="R42" s="214" t="s">
        <v>299</v>
      </c>
      <c r="S42" s="214" t="s">
        <v>299</v>
      </c>
      <c r="T42" s="214" t="s">
        <v>299</v>
      </c>
      <c r="U42" s="214" t="s">
        <v>299</v>
      </c>
      <c r="V42" s="192"/>
      <c r="W42" s="212" t="str">
        <f t="shared" si="54"/>
        <v xml:space="preserve"> - </v>
      </c>
      <c r="X42" s="212" t="str">
        <f t="shared" si="55"/>
        <v xml:space="preserve"> - </v>
      </c>
      <c r="Y42" s="212" t="str">
        <f t="shared" si="56"/>
        <v xml:space="preserve"> - </v>
      </c>
      <c r="Z42" s="212" t="str">
        <f t="shared" si="57"/>
        <v xml:space="preserve"> - </v>
      </c>
      <c r="AA42" s="212" t="str">
        <f t="shared" si="58"/>
        <v xml:space="preserve"> - </v>
      </c>
      <c r="AB42" s="192"/>
      <c r="AC42" s="197" t="str">
        <f t="shared" si="75"/>
        <v xml:space="preserve"> + 
включая:
- Полноэкранный режим сравнения редакций; 
- Экспорт в Word сравнения редакций: экспорт только изменений и экспорт полного текста двух редакций с отображением изменений</v>
      </c>
      <c r="AD42" s="197" t="str">
        <f t="shared" si="76"/>
        <v xml:space="preserve"> + 
включая:
- Полноэкранный режим сравнения редакций; 
- Экспорт в Word сравнения редакций: экспорт только изменений и экспорт полного текста двух редакций с отображением изменений</v>
      </c>
      <c r="AE42" s="197" t="str">
        <f t="shared" si="77"/>
        <v xml:space="preserve"> + 
включая Полноэкранный режим сравнения редакций</v>
      </c>
      <c r="AF42" s="197" t="str">
        <f t="shared" si="78"/>
        <v xml:space="preserve"> + 
включая Полноэкранный режим сравнения редакций</v>
      </c>
      <c r="AG42" s="192"/>
      <c r="AH42" s="197" t="str">
        <f t="shared" si="79"/>
        <v xml:space="preserve"> + </v>
      </c>
      <c r="AI42" s="197" t="str">
        <f t="shared" si="80"/>
        <v xml:space="preserve"> + </v>
      </c>
      <c r="AJ42" s="197" t="str">
        <f t="shared" si="81"/>
        <v xml:space="preserve"> + </v>
      </c>
      <c r="AK42" s="197" t="str">
        <f t="shared" si="82"/>
        <v xml:space="preserve"> + </v>
      </c>
      <c r="AL42" s="192"/>
      <c r="AM42" s="197" t="str">
        <f t="shared" si="59"/>
        <v xml:space="preserve"> - </v>
      </c>
      <c r="AN42" s="197" t="str">
        <f t="shared" si="60"/>
        <v xml:space="preserve"> - </v>
      </c>
      <c r="AO42" s="197" t="str">
        <f t="shared" si="61"/>
        <v xml:space="preserve"> - </v>
      </c>
      <c r="AP42" s="192"/>
      <c r="AQ42" s="197" t="str">
        <f t="shared" si="62"/>
        <v xml:space="preserve"> - </v>
      </c>
      <c r="AR42" s="192"/>
      <c r="AS42" s="212" t="str">
        <f t="shared" si="83"/>
        <v xml:space="preserve"> + 
включая Полноэкранный режим сравнения редакций</v>
      </c>
      <c r="AT42" s="212" t="str">
        <f t="shared" si="84"/>
        <v xml:space="preserve"> + 
включая Полноэкранный режим сравнения редакций</v>
      </c>
      <c r="AU42" s="212" t="str">
        <f t="shared" si="85"/>
        <v xml:space="preserve"> - </v>
      </c>
      <c r="AV42" s="212" t="str">
        <f t="shared" si="86"/>
        <v xml:space="preserve"> - </v>
      </c>
      <c r="AW42" s="247"/>
      <c r="AX42" s="212" t="str">
        <f t="shared" si="87"/>
        <v xml:space="preserve"> + </v>
      </c>
      <c r="AY42" s="212" t="str">
        <f t="shared" si="88"/>
        <v xml:space="preserve"> + </v>
      </c>
      <c r="AZ42" s="212" t="str">
        <f t="shared" si="89"/>
        <v xml:space="preserve"> - </v>
      </c>
      <c r="BA42" s="212" t="str">
        <f t="shared" si="90"/>
        <v xml:space="preserve"> - </v>
      </c>
      <c r="BB42" s="247"/>
      <c r="BC42" s="247"/>
      <c r="BD42" s="247"/>
      <c r="BE42" s="247"/>
      <c r="BF42" s="247"/>
      <c r="BG42" s="247"/>
      <c r="BH42" s="212" t="str">
        <f t="shared" si="50"/>
        <v xml:space="preserve"> - </v>
      </c>
      <c r="BI42" s="212" t="str">
        <f t="shared" si="51"/>
        <v xml:space="preserve"> - </v>
      </c>
      <c r="BJ42" s="212" t="str">
        <f t="shared" si="52"/>
        <v xml:space="preserve"> - </v>
      </c>
      <c r="BK42" s="212" t="str">
        <f t="shared" si="53"/>
        <v xml:space="preserve"> - </v>
      </c>
      <c r="BL42" s="192"/>
      <c r="BM42" s="135">
        <v>42</v>
      </c>
    </row>
    <row r="43" spans="1:65" x14ac:dyDescent="0.3">
      <c r="A43" s="366"/>
      <c r="B43" s="181" t="s">
        <v>224</v>
      </c>
      <c r="C43" s="135">
        <v>41</v>
      </c>
      <c r="D43" s="192"/>
      <c r="E43" s="214" t="s">
        <v>301</v>
      </c>
      <c r="F43" s="214" t="s">
        <v>301</v>
      </c>
      <c r="G43" s="214" t="s">
        <v>299</v>
      </c>
      <c r="H43" s="214" t="s">
        <v>299</v>
      </c>
      <c r="I43" s="214" t="s">
        <v>299</v>
      </c>
      <c r="J43" s="192"/>
      <c r="K43" s="214" t="s">
        <v>299</v>
      </c>
      <c r="L43" s="214" t="s">
        <v>299</v>
      </c>
      <c r="M43" s="214" t="s">
        <v>299</v>
      </c>
      <c r="N43" s="214" t="s">
        <v>299</v>
      </c>
      <c r="O43" s="214" t="s">
        <v>299</v>
      </c>
      <c r="P43" s="192"/>
      <c r="Q43" s="211" t="s">
        <v>299</v>
      </c>
      <c r="R43" s="211" t="s">
        <v>299</v>
      </c>
      <c r="S43" s="211" t="s">
        <v>299</v>
      </c>
      <c r="T43" s="211" t="s">
        <v>299</v>
      </c>
      <c r="U43" s="211" t="s">
        <v>299</v>
      </c>
      <c r="V43" s="192"/>
      <c r="W43" s="212" t="str">
        <f t="shared" si="54"/>
        <v xml:space="preserve"> - </v>
      </c>
      <c r="X43" s="212" t="str">
        <f t="shared" si="55"/>
        <v xml:space="preserve"> - </v>
      </c>
      <c r="Y43" s="212" t="str">
        <f t="shared" si="56"/>
        <v xml:space="preserve"> - </v>
      </c>
      <c r="Z43" s="212" t="str">
        <f t="shared" si="57"/>
        <v xml:space="preserve"> - </v>
      </c>
      <c r="AA43" s="212" t="str">
        <f t="shared" si="58"/>
        <v xml:space="preserve"> - </v>
      </c>
      <c r="AB43" s="192"/>
      <c r="AC43" s="197" t="str">
        <f t="shared" si="75"/>
        <v xml:space="preserve"> + </v>
      </c>
      <c r="AD43" s="197" t="str">
        <f t="shared" si="76"/>
        <v xml:space="preserve"> + </v>
      </c>
      <c r="AE43" s="197" t="str">
        <f t="shared" si="77"/>
        <v xml:space="preserve"> - </v>
      </c>
      <c r="AF43" s="197" t="str">
        <f t="shared" si="78"/>
        <v xml:space="preserve"> - </v>
      </c>
      <c r="AG43" s="192"/>
      <c r="AH43" s="197" t="str">
        <f t="shared" si="79"/>
        <v xml:space="preserve"> - </v>
      </c>
      <c r="AI43" s="197" t="str">
        <f t="shared" si="80"/>
        <v xml:space="preserve"> - </v>
      </c>
      <c r="AJ43" s="197" t="str">
        <f t="shared" si="81"/>
        <v xml:space="preserve"> - </v>
      </c>
      <c r="AK43" s="197" t="str">
        <f t="shared" si="82"/>
        <v xml:space="preserve"> - </v>
      </c>
      <c r="AL43" s="192"/>
      <c r="AM43" s="197" t="str">
        <f t="shared" si="59"/>
        <v xml:space="preserve"> - </v>
      </c>
      <c r="AN43" s="197" t="str">
        <f t="shared" si="60"/>
        <v xml:space="preserve"> - </v>
      </c>
      <c r="AO43" s="197" t="str">
        <f t="shared" si="61"/>
        <v xml:space="preserve"> - </v>
      </c>
      <c r="AP43" s="192"/>
      <c r="AQ43" s="197" t="str">
        <f t="shared" si="62"/>
        <v xml:space="preserve"> - </v>
      </c>
      <c r="AR43" s="192"/>
      <c r="AS43" s="212" t="str">
        <f t="shared" si="83"/>
        <v xml:space="preserve"> - </v>
      </c>
      <c r="AT43" s="212" t="str">
        <f t="shared" si="84"/>
        <v xml:space="preserve"> - </v>
      </c>
      <c r="AU43" s="212" t="str">
        <f t="shared" si="85"/>
        <v xml:space="preserve"> - </v>
      </c>
      <c r="AV43" s="212" t="str">
        <f t="shared" si="86"/>
        <v xml:space="preserve"> - </v>
      </c>
      <c r="AW43" s="247"/>
      <c r="AX43" s="212" t="str">
        <f t="shared" si="87"/>
        <v xml:space="preserve"> - </v>
      </c>
      <c r="AY43" s="212" t="str">
        <f t="shared" si="88"/>
        <v xml:space="preserve"> - </v>
      </c>
      <c r="AZ43" s="212" t="str">
        <f t="shared" si="89"/>
        <v xml:space="preserve"> - </v>
      </c>
      <c r="BA43" s="212" t="str">
        <f t="shared" si="90"/>
        <v xml:space="preserve"> - </v>
      </c>
      <c r="BB43" s="247"/>
      <c r="BC43" s="247"/>
      <c r="BD43" s="247"/>
      <c r="BE43" s="247"/>
      <c r="BF43" s="247"/>
      <c r="BG43" s="247"/>
      <c r="BH43" s="212" t="str">
        <f t="shared" si="50"/>
        <v xml:space="preserve"> - </v>
      </c>
      <c r="BI43" s="212" t="str">
        <f t="shared" si="51"/>
        <v xml:space="preserve"> - </v>
      </c>
      <c r="BJ43" s="212" t="str">
        <f t="shared" si="52"/>
        <v xml:space="preserve"> - </v>
      </c>
      <c r="BK43" s="212" t="str">
        <f t="shared" si="53"/>
        <v xml:space="preserve"> - </v>
      </c>
      <c r="BL43" s="192"/>
      <c r="BM43" s="135">
        <v>43</v>
      </c>
    </row>
    <row r="44" spans="1:65" x14ac:dyDescent="0.3">
      <c r="A44" s="366"/>
      <c r="B44" s="181" t="s">
        <v>290</v>
      </c>
      <c r="C44" s="135">
        <v>42</v>
      </c>
      <c r="D44" s="192"/>
      <c r="E44" s="214" t="s">
        <v>388</v>
      </c>
      <c r="F44" s="214" t="s">
        <v>388</v>
      </c>
      <c r="G44" s="214" t="s">
        <v>388</v>
      </c>
      <c r="H44" s="214" t="s">
        <v>298</v>
      </c>
      <c r="I44" s="214" t="s">
        <v>298</v>
      </c>
      <c r="J44" s="192"/>
      <c r="K44" s="214" t="s">
        <v>298</v>
      </c>
      <c r="L44" s="214" t="s">
        <v>298</v>
      </c>
      <c r="M44" s="214" t="s">
        <v>298</v>
      </c>
      <c r="N44" s="214" t="s">
        <v>298</v>
      </c>
      <c r="O44" s="214" t="s">
        <v>299</v>
      </c>
      <c r="P44" s="192"/>
      <c r="Q44" s="214" t="s">
        <v>299</v>
      </c>
      <c r="R44" s="214" t="s">
        <v>299</v>
      </c>
      <c r="S44" s="214" t="s">
        <v>299</v>
      </c>
      <c r="T44" s="214" t="s">
        <v>299</v>
      </c>
      <c r="U44" s="214" t="s">
        <v>299</v>
      </c>
      <c r="V44" s="192"/>
      <c r="W44" s="212" t="str">
        <f t="shared" si="54"/>
        <v xml:space="preserve"> - </v>
      </c>
      <c r="X44" s="212" t="str">
        <f t="shared" si="55"/>
        <v xml:space="preserve"> - </v>
      </c>
      <c r="Y44" s="212" t="str">
        <f t="shared" si="56"/>
        <v xml:space="preserve"> - </v>
      </c>
      <c r="Z44" s="212" t="str">
        <f t="shared" si="57"/>
        <v xml:space="preserve"> - </v>
      </c>
      <c r="AA44" s="212" t="str">
        <f t="shared" si="58"/>
        <v xml:space="preserve"> - </v>
      </c>
      <c r="AB44" s="192"/>
      <c r="AC44" s="197" t="str">
        <f t="shared" si="75"/>
        <v xml:space="preserve"> +
включая Поиск в «Дополнительной информации»</v>
      </c>
      <c r="AD44" s="197" t="str">
        <f t="shared" si="76"/>
        <v xml:space="preserve"> +
включая Поиск в «Дополнительной информации»</v>
      </c>
      <c r="AE44" s="197" t="str">
        <f t="shared" si="77"/>
        <v xml:space="preserve"> +
включая Поиск в «Дополнительной информации»</v>
      </c>
      <c r="AF44" s="197" t="str">
        <f t="shared" si="78"/>
        <v xml:space="preserve"> +</v>
      </c>
      <c r="AG44" s="192"/>
      <c r="AH44" s="197" t="str">
        <f t="shared" si="79"/>
        <v xml:space="preserve"> +</v>
      </c>
      <c r="AI44" s="197" t="str">
        <f t="shared" si="80"/>
        <v xml:space="preserve"> +</v>
      </c>
      <c r="AJ44" s="197" t="str">
        <f t="shared" si="81"/>
        <v xml:space="preserve"> +</v>
      </c>
      <c r="AK44" s="197" t="str">
        <f t="shared" si="82"/>
        <v xml:space="preserve"> +</v>
      </c>
      <c r="AL44" s="192"/>
      <c r="AM44" s="197" t="str">
        <f t="shared" si="59"/>
        <v xml:space="preserve"> - </v>
      </c>
      <c r="AN44" s="197" t="str">
        <f t="shared" si="60"/>
        <v xml:space="preserve"> - </v>
      </c>
      <c r="AO44" s="197" t="str">
        <f t="shared" si="61"/>
        <v xml:space="preserve"> - </v>
      </c>
      <c r="AP44" s="192"/>
      <c r="AQ44" s="197" t="str">
        <f t="shared" si="62"/>
        <v xml:space="preserve"> - </v>
      </c>
      <c r="AR44" s="192"/>
      <c r="AS44" s="212" t="str">
        <f t="shared" si="83"/>
        <v xml:space="preserve"> +</v>
      </c>
      <c r="AT44" s="212" t="str">
        <f t="shared" si="84"/>
        <v xml:space="preserve"> +</v>
      </c>
      <c r="AU44" s="212" t="str">
        <f t="shared" si="85"/>
        <v xml:space="preserve"> +</v>
      </c>
      <c r="AV44" s="212" t="str">
        <f t="shared" si="86"/>
        <v xml:space="preserve"> +</v>
      </c>
      <c r="AW44" s="247"/>
      <c r="AX44" s="212" t="str">
        <f t="shared" si="87"/>
        <v xml:space="preserve"> +</v>
      </c>
      <c r="AY44" s="212" t="str">
        <f t="shared" si="88"/>
        <v xml:space="preserve"> +</v>
      </c>
      <c r="AZ44" s="212" t="str">
        <f t="shared" si="89"/>
        <v xml:space="preserve"> - </v>
      </c>
      <c r="BA44" s="212" t="str">
        <f t="shared" si="90"/>
        <v xml:space="preserve"> - </v>
      </c>
      <c r="BB44" s="247"/>
      <c r="BC44" s="247"/>
      <c r="BD44" s="247"/>
      <c r="BE44" s="247"/>
      <c r="BF44" s="247"/>
      <c r="BG44" s="247"/>
      <c r="BH44" s="212" t="str">
        <f t="shared" si="50"/>
        <v xml:space="preserve"> - </v>
      </c>
      <c r="BI44" s="212" t="str">
        <f t="shared" si="51"/>
        <v xml:space="preserve"> - </v>
      </c>
      <c r="BJ44" s="212" t="str">
        <f t="shared" si="52"/>
        <v xml:space="preserve"> - </v>
      </c>
      <c r="BK44" s="212" t="str">
        <f t="shared" si="53"/>
        <v xml:space="preserve"> - </v>
      </c>
      <c r="BL44" s="192"/>
      <c r="BM44" s="135">
        <v>44</v>
      </c>
    </row>
    <row r="45" spans="1:65" x14ac:dyDescent="0.3">
      <c r="A45" s="366"/>
      <c r="B45" s="181" t="s">
        <v>291</v>
      </c>
      <c r="C45" s="135">
        <v>43</v>
      </c>
      <c r="D45" s="192"/>
      <c r="E45" s="214" t="s">
        <v>389</v>
      </c>
      <c r="F45" s="214" t="s">
        <v>389</v>
      </c>
      <c r="G45" s="214" t="s">
        <v>389</v>
      </c>
      <c r="H45" s="214" t="s">
        <v>389</v>
      </c>
      <c r="I45" s="214" t="s">
        <v>299</v>
      </c>
      <c r="J45" s="192"/>
      <c r="K45" s="214" t="s">
        <v>390</v>
      </c>
      <c r="L45" s="214" t="s">
        <v>390</v>
      </c>
      <c r="M45" s="214" t="s">
        <v>299</v>
      </c>
      <c r="N45" s="214" t="s">
        <v>299</v>
      </c>
      <c r="O45" s="214" t="s">
        <v>299</v>
      </c>
      <c r="P45" s="192"/>
      <c r="Q45" s="214" t="s">
        <v>299</v>
      </c>
      <c r="R45" s="214" t="s">
        <v>299</v>
      </c>
      <c r="S45" s="214" t="s">
        <v>299</v>
      </c>
      <c r="T45" s="214" t="s">
        <v>299</v>
      </c>
      <c r="U45" s="214" t="s">
        <v>299</v>
      </c>
      <c r="V45" s="192"/>
      <c r="W45" s="212" t="str">
        <f t="shared" si="54"/>
        <v xml:space="preserve"> - </v>
      </c>
      <c r="X45" s="212" t="str">
        <f t="shared" si="55"/>
        <v xml:space="preserve"> - </v>
      </c>
      <c r="Y45" s="212" t="str">
        <f t="shared" si="56"/>
        <v xml:space="preserve"> - </v>
      </c>
      <c r="Z45" s="212" t="str">
        <f t="shared" si="57"/>
        <v xml:space="preserve"> - </v>
      </c>
      <c r="AA45" s="212" t="str">
        <f t="shared" si="58"/>
        <v xml:space="preserve"> - </v>
      </c>
      <c r="AB45" s="192"/>
      <c r="AC45" s="197" t="str">
        <f t="shared" si="75"/>
        <v xml:space="preserve"> +
без ограничений</v>
      </c>
      <c r="AD45" s="197" t="str">
        <f t="shared" si="76"/>
        <v xml:space="preserve"> +
без ограничений</v>
      </c>
      <c r="AE45" s="197" t="str">
        <f t="shared" si="77"/>
        <v xml:space="preserve"> +
без ограничений</v>
      </c>
      <c r="AF45" s="197" t="str">
        <f t="shared" si="78"/>
        <v xml:space="preserve"> +
без ограничений</v>
      </c>
      <c r="AG45" s="192"/>
      <c r="AH45" s="197" t="str">
        <f t="shared" si="79"/>
        <v xml:space="preserve"> +
 до 5 документов</v>
      </c>
      <c r="AI45" s="197" t="str">
        <f t="shared" si="80"/>
        <v xml:space="preserve"> +
 до 5 документов</v>
      </c>
      <c r="AJ45" s="197" t="str">
        <f t="shared" si="81"/>
        <v xml:space="preserve"> - </v>
      </c>
      <c r="AK45" s="197" t="str">
        <f t="shared" si="82"/>
        <v xml:space="preserve"> - </v>
      </c>
      <c r="AL45" s="192"/>
      <c r="AM45" s="197" t="str">
        <f t="shared" si="59"/>
        <v xml:space="preserve"> - </v>
      </c>
      <c r="AN45" s="197" t="str">
        <f t="shared" si="60"/>
        <v xml:space="preserve"> - </v>
      </c>
      <c r="AO45" s="197" t="str">
        <f t="shared" si="61"/>
        <v xml:space="preserve"> - </v>
      </c>
      <c r="AP45" s="192"/>
      <c r="AQ45" s="197" t="str">
        <f t="shared" si="62"/>
        <v xml:space="preserve"> - </v>
      </c>
      <c r="AR45" s="192"/>
      <c r="AS45" s="212" t="str">
        <f t="shared" si="83"/>
        <v xml:space="preserve"> +
без ограничений</v>
      </c>
      <c r="AT45" s="212" t="str">
        <f t="shared" si="84"/>
        <v xml:space="preserve"> +
без ограничений</v>
      </c>
      <c r="AU45" s="212" t="str">
        <f t="shared" si="85"/>
        <v xml:space="preserve"> - </v>
      </c>
      <c r="AV45" s="212" t="str">
        <f t="shared" si="86"/>
        <v xml:space="preserve"> - </v>
      </c>
      <c r="AW45" s="247"/>
      <c r="AX45" s="212" t="str">
        <f t="shared" si="87"/>
        <v xml:space="preserve"> - </v>
      </c>
      <c r="AY45" s="212" t="str">
        <f t="shared" si="88"/>
        <v xml:space="preserve"> - </v>
      </c>
      <c r="AZ45" s="212" t="str">
        <f t="shared" si="89"/>
        <v xml:space="preserve"> - </v>
      </c>
      <c r="BA45" s="212" t="str">
        <f t="shared" si="90"/>
        <v xml:space="preserve"> - </v>
      </c>
      <c r="BB45" s="247"/>
      <c r="BC45" s="247"/>
      <c r="BD45" s="247"/>
      <c r="BE45" s="247"/>
      <c r="BF45" s="247"/>
      <c r="BG45" s="247"/>
      <c r="BH45" s="212" t="str">
        <f t="shared" si="50"/>
        <v xml:space="preserve"> - </v>
      </c>
      <c r="BI45" s="212" t="str">
        <f t="shared" si="51"/>
        <v xml:space="preserve"> - </v>
      </c>
      <c r="BJ45" s="212" t="str">
        <f t="shared" si="52"/>
        <v xml:space="preserve"> - </v>
      </c>
      <c r="BK45" s="212" t="str">
        <f t="shared" si="53"/>
        <v xml:space="preserve"> - </v>
      </c>
      <c r="BL45" s="192"/>
      <c r="BM45" s="135">
        <v>45</v>
      </c>
    </row>
    <row r="46" spans="1:65" x14ac:dyDescent="0.3">
      <c r="A46" s="366"/>
      <c r="B46" s="181" t="s">
        <v>235</v>
      </c>
      <c r="C46" s="135">
        <v>44</v>
      </c>
      <c r="D46" s="192"/>
      <c r="E46" s="214" t="s">
        <v>298</v>
      </c>
      <c r="F46" s="214" t="s">
        <v>298</v>
      </c>
      <c r="G46" s="214" t="s">
        <v>298</v>
      </c>
      <c r="H46" s="214" t="s">
        <v>298</v>
      </c>
      <c r="I46" s="214" t="s">
        <v>298</v>
      </c>
      <c r="J46" s="192"/>
      <c r="K46" s="214" t="s">
        <v>298</v>
      </c>
      <c r="L46" s="214" t="s">
        <v>298</v>
      </c>
      <c r="M46" s="214" t="s">
        <v>298</v>
      </c>
      <c r="N46" s="214" t="s">
        <v>298</v>
      </c>
      <c r="O46" s="214" t="s">
        <v>298</v>
      </c>
      <c r="P46" s="192"/>
      <c r="Q46" s="214" t="s">
        <v>299</v>
      </c>
      <c r="R46" s="214" t="s">
        <v>299</v>
      </c>
      <c r="S46" s="214" t="s">
        <v>299</v>
      </c>
      <c r="T46" s="214" t="s">
        <v>299</v>
      </c>
      <c r="U46" s="214" t="s">
        <v>299</v>
      </c>
      <c r="V46" s="192"/>
      <c r="W46" s="212" t="str">
        <f t="shared" si="54"/>
        <v xml:space="preserve"> - </v>
      </c>
      <c r="X46" s="212" t="str">
        <f t="shared" si="55"/>
        <v xml:space="preserve"> - </v>
      </c>
      <c r="Y46" s="212" t="str">
        <f t="shared" si="56"/>
        <v xml:space="preserve"> - </v>
      </c>
      <c r="Z46" s="212" t="str">
        <f t="shared" si="57"/>
        <v xml:space="preserve"> - </v>
      </c>
      <c r="AA46" s="212" t="str">
        <f t="shared" si="58"/>
        <v xml:space="preserve"> - </v>
      </c>
      <c r="AB46" s="192"/>
      <c r="AC46" s="197" t="str">
        <f t="shared" si="75"/>
        <v xml:space="preserve"> +</v>
      </c>
      <c r="AD46" s="197" t="str">
        <f t="shared" si="76"/>
        <v xml:space="preserve"> +</v>
      </c>
      <c r="AE46" s="197" t="str">
        <f t="shared" si="77"/>
        <v xml:space="preserve"> +</v>
      </c>
      <c r="AF46" s="197" t="str">
        <f t="shared" si="78"/>
        <v xml:space="preserve"> +</v>
      </c>
      <c r="AG46" s="192"/>
      <c r="AH46" s="197" t="str">
        <f t="shared" si="79"/>
        <v xml:space="preserve"> +</v>
      </c>
      <c r="AI46" s="197" t="str">
        <f t="shared" si="80"/>
        <v xml:space="preserve"> +</v>
      </c>
      <c r="AJ46" s="197" t="str">
        <f t="shared" si="81"/>
        <v xml:space="preserve"> +</v>
      </c>
      <c r="AK46" s="197" t="str">
        <f t="shared" si="82"/>
        <v xml:space="preserve"> +</v>
      </c>
      <c r="AL46" s="192"/>
      <c r="AM46" s="197" t="str">
        <f t="shared" si="59"/>
        <v xml:space="preserve"> - </v>
      </c>
      <c r="AN46" s="197" t="str">
        <f t="shared" si="60"/>
        <v xml:space="preserve"> - </v>
      </c>
      <c r="AO46" s="197" t="str">
        <f t="shared" si="61"/>
        <v xml:space="preserve"> - </v>
      </c>
      <c r="AP46" s="192"/>
      <c r="AQ46" s="197" t="str">
        <f t="shared" si="62"/>
        <v xml:space="preserve"> - </v>
      </c>
      <c r="AR46" s="192"/>
      <c r="AS46" s="212" t="str">
        <f t="shared" si="83"/>
        <v xml:space="preserve"> +</v>
      </c>
      <c r="AT46" s="212" t="str">
        <f t="shared" si="84"/>
        <v xml:space="preserve"> +</v>
      </c>
      <c r="AU46" s="212" t="str">
        <f t="shared" si="85"/>
        <v xml:space="preserve"> +</v>
      </c>
      <c r="AV46" s="212" t="str">
        <f t="shared" si="86"/>
        <v xml:space="preserve"> +</v>
      </c>
      <c r="AW46" s="247"/>
      <c r="AX46" s="212" t="str">
        <f t="shared" si="87"/>
        <v xml:space="preserve"> +</v>
      </c>
      <c r="AY46" s="212" t="str">
        <f t="shared" si="88"/>
        <v xml:space="preserve"> +</v>
      </c>
      <c r="AZ46" s="212" t="str">
        <f t="shared" si="89"/>
        <v xml:space="preserve"> +</v>
      </c>
      <c r="BA46" s="212" t="str">
        <f t="shared" si="90"/>
        <v xml:space="preserve"> +</v>
      </c>
      <c r="BB46" s="247"/>
      <c r="BC46" s="247"/>
      <c r="BD46" s="247"/>
      <c r="BE46" s="247"/>
      <c r="BF46" s="247"/>
      <c r="BG46" s="247"/>
      <c r="BH46" s="212" t="str">
        <f t="shared" si="50"/>
        <v xml:space="preserve"> - </v>
      </c>
      <c r="BI46" s="212" t="str">
        <f t="shared" si="51"/>
        <v xml:space="preserve"> - </v>
      </c>
      <c r="BJ46" s="212" t="str">
        <f t="shared" si="52"/>
        <v xml:space="preserve"> - </v>
      </c>
      <c r="BK46" s="212" t="str">
        <f t="shared" si="53"/>
        <v xml:space="preserve"> - </v>
      </c>
      <c r="BL46" s="192"/>
      <c r="BM46" s="135">
        <v>46</v>
      </c>
    </row>
    <row r="47" spans="1:65" x14ac:dyDescent="0.3">
      <c r="A47" s="366"/>
      <c r="B47" s="181" t="s">
        <v>28</v>
      </c>
      <c r="C47" s="135">
        <v>45</v>
      </c>
      <c r="D47" s="192"/>
      <c r="E47" s="214" t="s">
        <v>298</v>
      </c>
      <c r="F47" s="214" t="s">
        <v>298</v>
      </c>
      <c r="G47" s="214" t="s">
        <v>298</v>
      </c>
      <c r="H47" s="214" t="s">
        <v>298</v>
      </c>
      <c r="I47" s="214" t="s">
        <v>298</v>
      </c>
      <c r="J47" s="192"/>
      <c r="K47" s="214" t="s">
        <v>298</v>
      </c>
      <c r="L47" s="214" t="s">
        <v>298</v>
      </c>
      <c r="M47" s="214" t="s">
        <v>298</v>
      </c>
      <c r="N47" s="214" t="s">
        <v>298</v>
      </c>
      <c r="O47" s="214" t="s">
        <v>298</v>
      </c>
      <c r="P47" s="192"/>
      <c r="Q47" s="214" t="s">
        <v>298</v>
      </c>
      <c r="R47" s="214" t="s">
        <v>298</v>
      </c>
      <c r="S47" s="214" t="s">
        <v>298</v>
      </c>
      <c r="T47" s="214" t="s">
        <v>298</v>
      </c>
      <c r="U47" s="214" t="s">
        <v>298</v>
      </c>
      <c r="V47" s="192"/>
      <c r="W47" s="212" t="str">
        <f t="shared" si="54"/>
        <v xml:space="preserve"> +</v>
      </c>
      <c r="X47" s="212" t="str">
        <f t="shared" si="55"/>
        <v xml:space="preserve"> +</v>
      </c>
      <c r="Y47" s="212" t="str">
        <f t="shared" si="56"/>
        <v xml:space="preserve"> +</v>
      </c>
      <c r="Z47" s="212" t="str">
        <f t="shared" si="57"/>
        <v xml:space="preserve"> +</v>
      </c>
      <c r="AA47" s="212" t="str">
        <f t="shared" si="58"/>
        <v xml:space="preserve"> +</v>
      </c>
      <c r="AB47" s="192"/>
      <c r="AC47" s="197" t="str">
        <f t="shared" si="75"/>
        <v xml:space="preserve"> +</v>
      </c>
      <c r="AD47" s="197" t="str">
        <f t="shared" si="76"/>
        <v xml:space="preserve"> +</v>
      </c>
      <c r="AE47" s="197" t="str">
        <f t="shared" si="77"/>
        <v xml:space="preserve"> +</v>
      </c>
      <c r="AF47" s="197" t="str">
        <f t="shared" si="78"/>
        <v xml:space="preserve"> +</v>
      </c>
      <c r="AG47" s="192"/>
      <c r="AH47" s="197" t="str">
        <f t="shared" si="79"/>
        <v xml:space="preserve"> +</v>
      </c>
      <c r="AI47" s="197" t="str">
        <f t="shared" si="80"/>
        <v xml:space="preserve"> +</v>
      </c>
      <c r="AJ47" s="197" t="str">
        <f t="shared" si="81"/>
        <v xml:space="preserve"> +</v>
      </c>
      <c r="AK47" s="197" t="str">
        <f t="shared" si="82"/>
        <v xml:space="preserve"> +</v>
      </c>
      <c r="AL47" s="192"/>
      <c r="AM47" s="197" t="str">
        <f t="shared" si="59"/>
        <v xml:space="preserve"> +</v>
      </c>
      <c r="AN47" s="197" t="str">
        <f t="shared" si="60"/>
        <v xml:space="preserve"> +</v>
      </c>
      <c r="AO47" s="197" t="str">
        <f t="shared" si="61"/>
        <v xml:space="preserve"> +</v>
      </c>
      <c r="AP47" s="192"/>
      <c r="AQ47" s="197" t="str">
        <f t="shared" si="62"/>
        <v xml:space="preserve"> +</v>
      </c>
      <c r="AR47" s="192"/>
      <c r="AS47" s="212" t="str">
        <f t="shared" si="83"/>
        <v xml:space="preserve"> +</v>
      </c>
      <c r="AT47" s="212" t="str">
        <f t="shared" si="84"/>
        <v xml:space="preserve"> +</v>
      </c>
      <c r="AU47" s="212" t="str">
        <f t="shared" si="85"/>
        <v xml:space="preserve"> +</v>
      </c>
      <c r="AV47" s="212" t="str">
        <f t="shared" si="86"/>
        <v xml:space="preserve"> +</v>
      </c>
      <c r="AW47" s="247"/>
      <c r="AX47" s="212" t="str">
        <f t="shared" si="87"/>
        <v xml:space="preserve"> +</v>
      </c>
      <c r="AY47" s="212" t="str">
        <f t="shared" si="88"/>
        <v xml:space="preserve"> +</v>
      </c>
      <c r="AZ47" s="212" t="str">
        <f t="shared" si="89"/>
        <v xml:space="preserve"> +</v>
      </c>
      <c r="BA47" s="212" t="str">
        <f t="shared" si="90"/>
        <v xml:space="preserve"> +</v>
      </c>
      <c r="BB47" s="247"/>
      <c r="BC47" s="247"/>
      <c r="BD47" s="247"/>
      <c r="BE47" s="247"/>
      <c r="BF47" s="247"/>
      <c r="BG47" s="247"/>
      <c r="BH47" s="212" t="str">
        <f t="shared" si="50"/>
        <v xml:space="preserve"> +</v>
      </c>
      <c r="BI47" s="212" t="str">
        <f t="shared" si="51"/>
        <v xml:space="preserve"> +</v>
      </c>
      <c r="BJ47" s="212" t="str">
        <f t="shared" si="52"/>
        <v xml:space="preserve"> +</v>
      </c>
      <c r="BK47" s="212" t="str">
        <f t="shared" si="53"/>
        <v xml:space="preserve"> +</v>
      </c>
      <c r="BL47" s="192"/>
      <c r="BM47" s="135">
        <v>47</v>
      </c>
    </row>
    <row r="48" spans="1:65" x14ac:dyDescent="0.3">
      <c r="A48" s="366"/>
      <c r="B48" s="181" t="s">
        <v>41</v>
      </c>
      <c r="C48" s="135">
        <v>46</v>
      </c>
      <c r="D48" s="192"/>
      <c r="E48" s="214" t="s">
        <v>298</v>
      </c>
      <c r="F48" s="214" t="s">
        <v>298</v>
      </c>
      <c r="G48" s="214" t="s">
        <v>298</v>
      </c>
      <c r="H48" s="214" t="s">
        <v>298</v>
      </c>
      <c r="I48" s="214" t="s">
        <v>298</v>
      </c>
      <c r="J48" s="192"/>
      <c r="K48" s="214" t="s">
        <v>299</v>
      </c>
      <c r="L48" s="214" t="s">
        <v>299</v>
      </c>
      <c r="M48" s="214" t="s">
        <v>299</v>
      </c>
      <c r="N48" s="214" t="s">
        <v>299</v>
      </c>
      <c r="O48" s="214" t="s">
        <v>299</v>
      </c>
      <c r="P48" s="192"/>
      <c r="Q48" s="214" t="s">
        <v>299</v>
      </c>
      <c r="R48" s="214" t="s">
        <v>299</v>
      </c>
      <c r="S48" s="214" t="s">
        <v>299</v>
      </c>
      <c r="T48" s="214" t="s">
        <v>299</v>
      </c>
      <c r="U48" s="214" t="s">
        <v>299</v>
      </c>
      <c r="V48" s="192"/>
      <c r="W48" s="212" t="str">
        <f t="shared" si="54"/>
        <v xml:space="preserve"> - </v>
      </c>
      <c r="X48" s="212" t="str">
        <f t="shared" si="55"/>
        <v xml:space="preserve"> - </v>
      </c>
      <c r="Y48" s="212" t="str">
        <f t="shared" si="56"/>
        <v xml:space="preserve"> - </v>
      </c>
      <c r="Z48" s="212" t="str">
        <f t="shared" si="57"/>
        <v xml:space="preserve"> - </v>
      </c>
      <c r="AA48" s="212" t="str">
        <f t="shared" si="58"/>
        <v xml:space="preserve"> - </v>
      </c>
      <c r="AB48" s="192"/>
      <c r="AC48" s="197" t="str">
        <f t="shared" si="75"/>
        <v xml:space="preserve"> +</v>
      </c>
      <c r="AD48" s="197" t="str">
        <f t="shared" si="76"/>
        <v xml:space="preserve"> +</v>
      </c>
      <c r="AE48" s="197" t="str">
        <f t="shared" si="77"/>
        <v xml:space="preserve"> +</v>
      </c>
      <c r="AF48" s="197" t="str">
        <f t="shared" si="78"/>
        <v xml:space="preserve"> +</v>
      </c>
      <c r="AG48" s="192"/>
      <c r="AH48" s="197" t="str">
        <f t="shared" si="79"/>
        <v xml:space="preserve"> - </v>
      </c>
      <c r="AI48" s="197" t="str">
        <f t="shared" si="80"/>
        <v xml:space="preserve"> - </v>
      </c>
      <c r="AJ48" s="197" t="str">
        <f t="shared" si="81"/>
        <v xml:space="preserve"> - </v>
      </c>
      <c r="AK48" s="197" t="str">
        <f t="shared" si="82"/>
        <v xml:space="preserve"> - </v>
      </c>
      <c r="AL48" s="192"/>
      <c r="AM48" s="197" t="str">
        <f t="shared" si="59"/>
        <v xml:space="preserve"> - </v>
      </c>
      <c r="AN48" s="197" t="str">
        <f t="shared" si="60"/>
        <v xml:space="preserve"> - </v>
      </c>
      <c r="AO48" s="197" t="str">
        <f t="shared" si="61"/>
        <v xml:space="preserve"> - </v>
      </c>
      <c r="AP48" s="192"/>
      <c r="AQ48" s="197" t="str">
        <f t="shared" si="62"/>
        <v xml:space="preserve"> - </v>
      </c>
      <c r="AR48" s="192"/>
      <c r="AS48" s="212" t="str">
        <f t="shared" si="83"/>
        <v xml:space="preserve"> +</v>
      </c>
      <c r="AT48" s="212" t="str">
        <f t="shared" si="84"/>
        <v xml:space="preserve"> +</v>
      </c>
      <c r="AU48" s="212" t="str">
        <f t="shared" si="85"/>
        <v xml:space="preserve"> +</v>
      </c>
      <c r="AV48" s="212" t="str">
        <f t="shared" si="86"/>
        <v xml:space="preserve"> +</v>
      </c>
      <c r="AW48" s="247"/>
      <c r="AX48" s="212" t="str">
        <f t="shared" si="87"/>
        <v xml:space="preserve"> - </v>
      </c>
      <c r="AY48" s="212" t="str">
        <f t="shared" si="88"/>
        <v xml:space="preserve"> - </v>
      </c>
      <c r="AZ48" s="212" t="str">
        <f t="shared" si="89"/>
        <v xml:space="preserve"> - </v>
      </c>
      <c r="BA48" s="212" t="str">
        <f t="shared" si="90"/>
        <v xml:space="preserve"> - </v>
      </c>
      <c r="BB48" s="247"/>
      <c r="BC48" s="247"/>
      <c r="BD48" s="247"/>
      <c r="BE48" s="247"/>
      <c r="BF48" s="247"/>
      <c r="BG48" s="247"/>
      <c r="BH48" s="212" t="str">
        <f t="shared" si="50"/>
        <v xml:space="preserve"> - </v>
      </c>
      <c r="BI48" s="212" t="str">
        <f t="shared" si="51"/>
        <v xml:space="preserve"> - </v>
      </c>
      <c r="BJ48" s="212" t="str">
        <f t="shared" si="52"/>
        <v xml:space="preserve"> - </v>
      </c>
      <c r="BK48" s="212" t="str">
        <f t="shared" si="53"/>
        <v xml:space="preserve"> - </v>
      </c>
      <c r="BL48" s="192"/>
      <c r="BM48" s="135">
        <v>48</v>
      </c>
    </row>
    <row r="49" spans="1:65" x14ac:dyDescent="0.3">
      <c r="A49" s="366"/>
      <c r="B49" s="181" t="s">
        <v>226</v>
      </c>
      <c r="C49" s="135">
        <v>47</v>
      </c>
      <c r="D49" s="192"/>
      <c r="E49" s="214" t="s">
        <v>298</v>
      </c>
      <c r="F49" s="214" t="s">
        <v>298</v>
      </c>
      <c r="G49" s="214" t="s">
        <v>298</v>
      </c>
      <c r="H49" s="214" t="s">
        <v>298</v>
      </c>
      <c r="I49" s="214" t="s">
        <v>298</v>
      </c>
      <c r="J49" s="192"/>
      <c r="K49" s="214" t="s">
        <v>298</v>
      </c>
      <c r="L49" s="214" t="s">
        <v>298</v>
      </c>
      <c r="M49" s="214" t="s">
        <v>298</v>
      </c>
      <c r="N49" s="214" t="s">
        <v>298</v>
      </c>
      <c r="O49" s="214" t="s">
        <v>298</v>
      </c>
      <c r="P49" s="192"/>
      <c r="Q49" s="214" t="s">
        <v>298</v>
      </c>
      <c r="R49" s="214" t="s">
        <v>298</v>
      </c>
      <c r="S49" s="214" t="s">
        <v>298</v>
      </c>
      <c r="T49" s="214" t="s">
        <v>298</v>
      </c>
      <c r="U49" s="214" t="s">
        <v>298</v>
      </c>
      <c r="V49" s="192"/>
      <c r="W49" s="212" t="str">
        <f t="shared" si="54"/>
        <v xml:space="preserve"> +</v>
      </c>
      <c r="X49" s="212" t="str">
        <f t="shared" si="55"/>
        <v xml:space="preserve"> +</v>
      </c>
      <c r="Y49" s="212" t="str">
        <f t="shared" si="56"/>
        <v xml:space="preserve"> +</v>
      </c>
      <c r="Z49" s="212" t="str">
        <f t="shared" si="57"/>
        <v xml:space="preserve"> +</v>
      </c>
      <c r="AA49" s="212" t="str">
        <f t="shared" si="58"/>
        <v xml:space="preserve"> +</v>
      </c>
      <c r="AB49" s="192"/>
      <c r="AC49" s="197" t="str">
        <f t="shared" si="75"/>
        <v xml:space="preserve"> +</v>
      </c>
      <c r="AD49" s="197" t="str">
        <f t="shared" si="76"/>
        <v xml:space="preserve"> +</v>
      </c>
      <c r="AE49" s="197" t="str">
        <f t="shared" si="77"/>
        <v xml:space="preserve"> +</v>
      </c>
      <c r="AF49" s="197" t="str">
        <f t="shared" si="78"/>
        <v xml:space="preserve"> +</v>
      </c>
      <c r="AG49" s="192"/>
      <c r="AH49" s="197" t="str">
        <f t="shared" si="79"/>
        <v xml:space="preserve"> +</v>
      </c>
      <c r="AI49" s="197" t="str">
        <f t="shared" si="80"/>
        <v xml:space="preserve"> +</v>
      </c>
      <c r="AJ49" s="197" t="str">
        <f t="shared" si="81"/>
        <v xml:space="preserve"> +</v>
      </c>
      <c r="AK49" s="197" t="str">
        <f t="shared" si="82"/>
        <v xml:space="preserve"> +</v>
      </c>
      <c r="AL49" s="192"/>
      <c r="AM49" s="197" t="str">
        <f>Q49</f>
        <v xml:space="preserve"> +</v>
      </c>
      <c r="AN49" s="197" t="str">
        <f>R49</f>
        <v xml:space="preserve"> +</v>
      </c>
      <c r="AO49" s="197" t="str">
        <f>S49</f>
        <v xml:space="preserve"> +</v>
      </c>
      <c r="AP49" s="192"/>
      <c r="AQ49" s="197" t="str">
        <f>Z49</f>
        <v xml:space="preserve"> +</v>
      </c>
      <c r="AR49" s="192"/>
      <c r="AS49" s="212" t="str">
        <f t="shared" si="83"/>
        <v xml:space="preserve"> +</v>
      </c>
      <c r="AT49" s="212" t="str">
        <f t="shared" si="84"/>
        <v xml:space="preserve"> +</v>
      </c>
      <c r="AU49" s="212" t="str">
        <f t="shared" si="85"/>
        <v xml:space="preserve"> +</v>
      </c>
      <c r="AV49" s="212" t="str">
        <f t="shared" si="86"/>
        <v xml:space="preserve"> +</v>
      </c>
      <c r="AW49" s="247"/>
      <c r="AX49" s="212" t="str">
        <f t="shared" si="87"/>
        <v xml:space="preserve"> +</v>
      </c>
      <c r="AY49" s="212" t="str">
        <f t="shared" si="88"/>
        <v xml:space="preserve"> +</v>
      </c>
      <c r="AZ49" s="212" t="str">
        <f t="shared" si="89"/>
        <v xml:space="preserve"> +</v>
      </c>
      <c r="BA49" s="212" t="str">
        <f t="shared" si="90"/>
        <v xml:space="preserve"> +</v>
      </c>
      <c r="BB49" s="247"/>
      <c r="BC49" s="247"/>
      <c r="BD49" s="247"/>
      <c r="BE49" s="247"/>
      <c r="BF49" s="247"/>
      <c r="BG49" s="247"/>
      <c r="BH49" s="212" t="str">
        <f t="shared" si="50"/>
        <v xml:space="preserve"> +</v>
      </c>
      <c r="BI49" s="212" t="str">
        <f t="shared" si="51"/>
        <v xml:space="preserve"> +</v>
      </c>
      <c r="BJ49" s="212" t="str">
        <f t="shared" si="52"/>
        <v xml:space="preserve"> +</v>
      </c>
      <c r="BK49" s="212" t="str">
        <f t="shared" si="53"/>
        <v xml:space="preserve"> +</v>
      </c>
      <c r="BL49" s="192"/>
      <c r="BM49" s="135">
        <v>49</v>
      </c>
    </row>
    <row r="50" spans="1:65" x14ac:dyDescent="0.3">
      <c r="A50" s="366"/>
      <c r="B50" s="181" t="s">
        <v>33</v>
      </c>
      <c r="C50" s="135">
        <v>48</v>
      </c>
      <c r="D50" s="192"/>
      <c r="E50" s="214" t="s">
        <v>298</v>
      </c>
      <c r="F50" s="214" t="s">
        <v>298</v>
      </c>
      <c r="G50" s="214" t="s">
        <v>298</v>
      </c>
      <c r="H50" s="214" t="s">
        <v>298</v>
      </c>
      <c r="I50" s="214" t="s">
        <v>298</v>
      </c>
      <c r="J50" s="192"/>
      <c r="K50" s="214" t="s">
        <v>298</v>
      </c>
      <c r="L50" s="214" t="s">
        <v>298</v>
      </c>
      <c r="M50" s="214" t="s">
        <v>298</v>
      </c>
      <c r="N50" s="214" t="s">
        <v>298</v>
      </c>
      <c r="O50" s="214" t="s">
        <v>298</v>
      </c>
      <c r="P50" s="192"/>
      <c r="Q50" s="214" t="s">
        <v>299</v>
      </c>
      <c r="R50" s="214" t="s">
        <v>299</v>
      </c>
      <c r="S50" s="214" t="s">
        <v>299</v>
      </c>
      <c r="T50" s="214" t="s">
        <v>299</v>
      </c>
      <c r="U50" s="214" t="s">
        <v>299</v>
      </c>
      <c r="V50" s="192"/>
      <c r="W50" s="212" t="str">
        <f t="shared" si="54"/>
        <v xml:space="preserve"> - </v>
      </c>
      <c r="X50" s="212" t="str">
        <f t="shared" si="55"/>
        <v xml:space="preserve"> - </v>
      </c>
      <c r="Y50" s="212" t="str">
        <f t="shared" si="56"/>
        <v xml:space="preserve"> - </v>
      </c>
      <c r="Z50" s="212" t="str">
        <f t="shared" si="57"/>
        <v xml:space="preserve"> - </v>
      </c>
      <c r="AA50" s="212" t="str">
        <f t="shared" si="58"/>
        <v xml:space="preserve"> - </v>
      </c>
      <c r="AB50" s="192"/>
      <c r="AC50" s="197" t="str">
        <f t="shared" si="75"/>
        <v xml:space="preserve"> +</v>
      </c>
      <c r="AD50" s="197" t="str">
        <f t="shared" si="76"/>
        <v xml:space="preserve"> +</v>
      </c>
      <c r="AE50" s="197" t="str">
        <f t="shared" si="77"/>
        <v xml:space="preserve"> +</v>
      </c>
      <c r="AF50" s="197" t="str">
        <f t="shared" si="78"/>
        <v xml:space="preserve"> +</v>
      </c>
      <c r="AG50" s="192"/>
      <c r="AH50" s="197" t="str">
        <f t="shared" si="79"/>
        <v xml:space="preserve"> +</v>
      </c>
      <c r="AI50" s="197" t="str">
        <f t="shared" si="80"/>
        <v xml:space="preserve"> +</v>
      </c>
      <c r="AJ50" s="197" t="str">
        <f t="shared" si="81"/>
        <v xml:space="preserve"> +</v>
      </c>
      <c r="AK50" s="197" t="str">
        <f t="shared" si="82"/>
        <v xml:space="preserve"> +</v>
      </c>
      <c r="AL50" s="192"/>
      <c r="AM50" s="197" t="str">
        <f t="shared" si="59"/>
        <v xml:space="preserve"> - </v>
      </c>
      <c r="AN50" s="197" t="str">
        <f t="shared" si="60"/>
        <v xml:space="preserve"> - </v>
      </c>
      <c r="AO50" s="197" t="str">
        <f t="shared" si="61"/>
        <v xml:space="preserve"> - </v>
      </c>
      <c r="AP50" s="192"/>
      <c r="AQ50" s="197" t="str">
        <f t="shared" si="62"/>
        <v xml:space="preserve"> - </v>
      </c>
      <c r="AR50" s="192"/>
      <c r="AS50" s="212" t="str">
        <f t="shared" si="83"/>
        <v xml:space="preserve"> +</v>
      </c>
      <c r="AT50" s="212" t="str">
        <f t="shared" si="84"/>
        <v xml:space="preserve"> +</v>
      </c>
      <c r="AU50" s="212" t="str">
        <f t="shared" si="85"/>
        <v xml:space="preserve"> +</v>
      </c>
      <c r="AV50" s="212" t="str">
        <f t="shared" si="86"/>
        <v xml:space="preserve"> +</v>
      </c>
      <c r="AW50" s="247"/>
      <c r="AX50" s="212" t="str">
        <f t="shared" si="87"/>
        <v xml:space="preserve"> +</v>
      </c>
      <c r="AY50" s="212" t="str">
        <f t="shared" si="88"/>
        <v xml:space="preserve"> +</v>
      </c>
      <c r="AZ50" s="212" t="str">
        <f t="shared" si="89"/>
        <v xml:space="preserve"> +</v>
      </c>
      <c r="BA50" s="212" t="str">
        <f t="shared" si="90"/>
        <v xml:space="preserve"> +</v>
      </c>
      <c r="BB50" s="247"/>
      <c r="BC50" s="247"/>
      <c r="BD50" s="247"/>
      <c r="BE50" s="247"/>
      <c r="BF50" s="247"/>
      <c r="BG50" s="247"/>
      <c r="BH50" s="212" t="str">
        <f t="shared" si="50"/>
        <v xml:space="preserve"> - </v>
      </c>
      <c r="BI50" s="212" t="str">
        <f t="shared" si="51"/>
        <v xml:space="preserve"> - </v>
      </c>
      <c r="BJ50" s="212" t="str">
        <f t="shared" si="52"/>
        <v xml:space="preserve"> - </v>
      </c>
      <c r="BK50" s="212" t="str">
        <f t="shared" si="53"/>
        <v xml:space="preserve"> - </v>
      </c>
      <c r="BL50" s="192"/>
      <c r="BM50" s="135">
        <v>50</v>
      </c>
    </row>
    <row r="51" spans="1:65" x14ac:dyDescent="0.3">
      <c r="A51" s="366"/>
      <c r="B51" s="181" t="s">
        <v>34</v>
      </c>
      <c r="C51" s="135">
        <v>49</v>
      </c>
      <c r="D51" s="192"/>
      <c r="E51" s="214" t="s">
        <v>298</v>
      </c>
      <c r="F51" s="214" t="s">
        <v>298</v>
      </c>
      <c r="G51" s="214" t="s">
        <v>298</v>
      </c>
      <c r="H51" s="214" t="s">
        <v>298</v>
      </c>
      <c r="I51" s="214" t="s">
        <v>298</v>
      </c>
      <c r="J51" s="192"/>
      <c r="K51" s="214" t="s">
        <v>298</v>
      </c>
      <c r="L51" s="214" t="s">
        <v>298</v>
      </c>
      <c r="M51" s="214" t="s">
        <v>298</v>
      </c>
      <c r="N51" s="214" t="s">
        <v>298</v>
      </c>
      <c r="O51" s="214" t="s">
        <v>298</v>
      </c>
      <c r="P51" s="192"/>
      <c r="Q51" s="214" t="s">
        <v>299</v>
      </c>
      <c r="R51" s="214" t="s">
        <v>299</v>
      </c>
      <c r="S51" s="214" t="s">
        <v>299</v>
      </c>
      <c r="T51" s="214" t="s">
        <v>299</v>
      </c>
      <c r="U51" s="214" t="s">
        <v>299</v>
      </c>
      <c r="V51" s="192"/>
      <c r="W51" s="212" t="str">
        <f t="shared" si="54"/>
        <v xml:space="preserve"> - </v>
      </c>
      <c r="X51" s="212" t="str">
        <f t="shared" si="55"/>
        <v xml:space="preserve"> - </v>
      </c>
      <c r="Y51" s="212" t="str">
        <f t="shared" si="56"/>
        <v xml:space="preserve"> - </v>
      </c>
      <c r="Z51" s="212" t="str">
        <f t="shared" si="57"/>
        <v xml:space="preserve"> - </v>
      </c>
      <c r="AA51" s="212" t="str">
        <f t="shared" si="58"/>
        <v xml:space="preserve"> - </v>
      </c>
      <c r="AB51" s="192"/>
      <c r="AC51" s="197" t="str">
        <f t="shared" si="75"/>
        <v xml:space="preserve"> +</v>
      </c>
      <c r="AD51" s="197" t="str">
        <f t="shared" si="76"/>
        <v xml:space="preserve"> +</v>
      </c>
      <c r="AE51" s="197" t="str">
        <f t="shared" si="77"/>
        <v xml:space="preserve"> +</v>
      </c>
      <c r="AF51" s="197" t="str">
        <f t="shared" si="78"/>
        <v xml:space="preserve"> +</v>
      </c>
      <c r="AG51" s="192"/>
      <c r="AH51" s="197" t="str">
        <f t="shared" si="79"/>
        <v xml:space="preserve"> +</v>
      </c>
      <c r="AI51" s="197" t="str">
        <f t="shared" si="80"/>
        <v xml:space="preserve"> +</v>
      </c>
      <c r="AJ51" s="197" t="str">
        <f t="shared" si="81"/>
        <v xml:space="preserve"> +</v>
      </c>
      <c r="AK51" s="197" t="str">
        <f t="shared" si="82"/>
        <v xml:space="preserve"> +</v>
      </c>
      <c r="AL51" s="192"/>
      <c r="AM51" s="197" t="str">
        <f t="shared" si="59"/>
        <v xml:space="preserve"> - </v>
      </c>
      <c r="AN51" s="197" t="str">
        <f t="shared" si="60"/>
        <v xml:space="preserve"> - </v>
      </c>
      <c r="AO51" s="197" t="str">
        <f t="shared" si="61"/>
        <v xml:space="preserve"> - </v>
      </c>
      <c r="AP51" s="192"/>
      <c r="AQ51" s="197" t="str">
        <f t="shared" si="62"/>
        <v xml:space="preserve"> - </v>
      </c>
      <c r="AR51" s="192"/>
      <c r="AS51" s="212" t="str">
        <f t="shared" si="83"/>
        <v xml:space="preserve"> +</v>
      </c>
      <c r="AT51" s="212" t="str">
        <f t="shared" si="84"/>
        <v xml:space="preserve"> +</v>
      </c>
      <c r="AU51" s="212" t="str">
        <f t="shared" si="85"/>
        <v xml:space="preserve"> +</v>
      </c>
      <c r="AV51" s="212" t="str">
        <f t="shared" si="86"/>
        <v xml:space="preserve"> +</v>
      </c>
      <c r="AW51" s="247"/>
      <c r="AX51" s="212" t="str">
        <f t="shared" si="87"/>
        <v xml:space="preserve"> +</v>
      </c>
      <c r="AY51" s="212" t="str">
        <f t="shared" si="88"/>
        <v xml:space="preserve"> +</v>
      </c>
      <c r="AZ51" s="212" t="str">
        <f t="shared" si="89"/>
        <v xml:space="preserve"> +</v>
      </c>
      <c r="BA51" s="212" t="str">
        <f t="shared" si="90"/>
        <v xml:space="preserve"> +</v>
      </c>
      <c r="BB51" s="247"/>
      <c r="BC51" s="247"/>
      <c r="BD51" s="247"/>
      <c r="BE51" s="247"/>
      <c r="BF51" s="247"/>
      <c r="BG51" s="247"/>
      <c r="BH51" s="212" t="str">
        <f t="shared" si="50"/>
        <v xml:space="preserve"> - </v>
      </c>
      <c r="BI51" s="212" t="str">
        <f t="shared" si="51"/>
        <v xml:space="preserve"> - </v>
      </c>
      <c r="BJ51" s="212" t="str">
        <f t="shared" si="52"/>
        <v xml:space="preserve"> - </v>
      </c>
      <c r="BK51" s="212" t="str">
        <f t="shared" si="53"/>
        <v xml:space="preserve"> - </v>
      </c>
      <c r="BL51" s="192"/>
      <c r="BM51" s="135">
        <v>51</v>
      </c>
    </row>
    <row r="52" spans="1:65" x14ac:dyDescent="0.3">
      <c r="A52" s="366"/>
      <c r="B52" s="181" t="s">
        <v>175</v>
      </c>
      <c r="C52" s="135">
        <v>50</v>
      </c>
      <c r="D52" s="192"/>
      <c r="E52" s="211" t="s">
        <v>298</v>
      </c>
      <c r="F52" s="211" t="s">
        <v>298</v>
      </c>
      <c r="G52" s="211" t="s">
        <v>298</v>
      </c>
      <c r="H52" s="211" t="s">
        <v>299</v>
      </c>
      <c r="I52" s="211" t="s">
        <v>299</v>
      </c>
      <c r="J52" s="193"/>
      <c r="K52" s="211" t="s">
        <v>299</v>
      </c>
      <c r="L52" s="211" t="s">
        <v>299</v>
      </c>
      <c r="M52" s="211" t="s">
        <v>299</v>
      </c>
      <c r="N52" s="211" t="s">
        <v>299</v>
      </c>
      <c r="O52" s="211" t="s">
        <v>299</v>
      </c>
      <c r="P52" s="192"/>
      <c r="Q52" s="214" t="s">
        <v>299</v>
      </c>
      <c r="R52" s="214" t="s">
        <v>299</v>
      </c>
      <c r="S52" s="214" t="s">
        <v>299</v>
      </c>
      <c r="T52" s="214" t="s">
        <v>299</v>
      </c>
      <c r="U52" s="214" t="s">
        <v>299</v>
      </c>
      <c r="V52" s="192"/>
      <c r="W52" s="212" t="str">
        <f t="shared" si="54"/>
        <v xml:space="preserve"> - </v>
      </c>
      <c r="X52" s="212" t="str">
        <f t="shared" si="55"/>
        <v xml:space="preserve"> - </v>
      </c>
      <c r="Y52" s="212" t="str">
        <f t="shared" si="56"/>
        <v xml:space="preserve"> - </v>
      </c>
      <c r="Z52" s="212" t="str">
        <f t="shared" si="57"/>
        <v xml:space="preserve"> - </v>
      </c>
      <c r="AA52" s="212" t="str">
        <f t="shared" si="58"/>
        <v xml:space="preserve"> - </v>
      </c>
      <c r="AB52" s="192"/>
      <c r="AC52" s="197" t="str">
        <f t="shared" si="75"/>
        <v xml:space="preserve"> +</v>
      </c>
      <c r="AD52" s="197" t="str">
        <f t="shared" si="76"/>
        <v xml:space="preserve"> +</v>
      </c>
      <c r="AE52" s="197" t="str">
        <f t="shared" si="77"/>
        <v xml:space="preserve"> +</v>
      </c>
      <c r="AF52" s="197" t="str">
        <f t="shared" si="78"/>
        <v xml:space="preserve"> - </v>
      </c>
      <c r="AG52" s="193"/>
      <c r="AH52" s="197" t="str">
        <f t="shared" si="79"/>
        <v xml:space="preserve"> - </v>
      </c>
      <c r="AI52" s="197" t="str">
        <f t="shared" si="80"/>
        <v xml:space="preserve"> - </v>
      </c>
      <c r="AJ52" s="197" t="str">
        <f t="shared" si="81"/>
        <v xml:space="preserve"> - </v>
      </c>
      <c r="AK52" s="197" t="str">
        <f t="shared" si="82"/>
        <v xml:space="preserve"> - </v>
      </c>
      <c r="AL52" s="193"/>
      <c r="AM52" s="197" t="str">
        <f t="shared" si="59"/>
        <v xml:space="preserve"> - </v>
      </c>
      <c r="AN52" s="197" t="str">
        <f t="shared" si="60"/>
        <v xml:space="preserve"> - </v>
      </c>
      <c r="AO52" s="197" t="str">
        <f t="shared" si="61"/>
        <v xml:space="preserve"> - </v>
      </c>
      <c r="AP52" s="192"/>
      <c r="AQ52" s="197" t="str">
        <f t="shared" si="62"/>
        <v xml:space="preserve"> - </v>
      </c>
      <c r="AR52" s="192"/>
      <c r="AS52" s="212" t="str">
        <f t="shared" si="83"/>
        <v xml:space="preserve"> - </v>
      </c>
      <c r="AT52" s="212" t="str">
        <f t="shared" si="84"/>
        <v xml:space="preserve"> - </v>
      </c>
      <c r="AU52" s="212" t="str">
        <f t="shared" si="85"/>
        <v xml:space="preserve"> - </v>
      </c>
      <c r="AV52" s="212" t="str">
        <f t="shared" si="86"/>
        <v xml:space="preserve"> - </v>
      </c>
      <c r="AW52" s="193"/>
      <c r="AX52" s="212" t="str">
        <f t="shared" si="87"/>
        <v xml:space="preserve"> - </v>
      </c>
      <c r="AY52" s="212" t="str">
        <f t="shared" si="88"/>
        <v xml:space="preserve"> - </v>
      </c>
      <c r="AZ52" s="212" t="str">
        <f t="shared" si="89"/>
        <v xml:space="preserve"> - </v>
      </c>
      <c r="BA52" s="212" t="str">
        <f t="shared" si="90"/>
        <v xml:space="preserve"> - </v>
      </c>
      <c r="BB52" s="193"/>
      <c r="BC52" s="193"/>
      <c r="BD52" s="193"/>
      <c r="BE52" s="193"/>
      <c r="BF52" s="247"/>
      <c r="BG52" s="247"/>
      <c r="BH52" s="212" t="str">
        <f t="shared" si="50"/>
        <v xml:space="preserve"> - </v>
      </c>
      <c r="BI52" s="212" t="str">
        <f t="shared" si="51"/>
        <v xml:space="preserve"> - </v>
      </c>
      <c r="BJ52" s="212" t="str">
        <f t="shared" si="52"/>
        <v xml:space="preserve"> - </v>
      </c>
      <c r="BK52" s="212" t="str">
        <f t="shared" si="53"/>
        <v xml:space="preserve"> - </v>
      </c>
      <c r="BL52" s="192"/>
      <c r="BM52" s="135">
        <v>52</v>
      </c>
    </row>
    <row r="53" spans="1:65" ht="55.2" x14ac:dyDescent="0.3">
      <c r="A53" s="366"/>
      <c r="B53" s="260" t="s">
        <v>378</v>
      </c>
      <c r="C53" s="135">
        <v>51</v>
      </c>
      <c r="D53" s="192"/>
      <c r="E53" s="214" t="s">
        <v>298</v>
      </c>
      <c r="F53" s="214" t="s">
        <v>298</v>
      </c>
      <c r="G53" s="214" t="s">
        <v>299</v>
      </c>
      <c r="H53" s="214" t="s">
        <v>299</v>
      </c>
      <c r="I53" s="214" t="s">
        <v>299</v>
      </c>
      <c r="J53" s="192"/>
      <c r="K53" s="214" t="s">
        <v>299</v>
      </c>
      <c r="L53" s="214" t="s">
        <v>299</v>
      </c>
      <c r="M53" s="214" t="s">
        <v>299</v>
      </c>
      <c r="N53" s="214" t="s">
        <v>299</v>
      </c>
      <c r="O53" s="214" t="s">
        <v>299</v>
      </c>
      <c r="P53" s="192"/>
      <c r="Q53" s="214" t="s">
        <v>299</v>
      </c>
      <c r="R53" s="214" t="s">
        <v>299</v>
      </c>
      <c r="S53" s="214" t="s">
        <v>299</v>
      </c>
      <c r="T53" s="214" t="s">
        <v>299</v>
      </c>
      <c r="U53" s="214" t="s">
        <v>299</v>
      </c>
      <c r="V53" s="192"/>
      <c r="W53" s="212" t="str">
        <f t="shared" si="54"/>
        <v xml:space="preserve"> - </v>
      </c>
      <c r="X53" s="212" t="str">
        <f t="shared" si="55"/>
        <v xml:space="preserve"> - </v>
      </c>
      <c r="Y53" s="212" t="str">
        <f t="shared" si="56"/>
        <v xml:space="preserve"> - </v>
      </c>
      <c r="Z53" s="212" t="str">
        <f t="shared" si="57"/>
        <v xml:space="preserve"> - </v>
      </c>
      <c r="AA53" s="212" t="str">
        <f t="shared" si="58"/>
        <v xml:space="preserve"> - </v>
      </c>
      <c r="AB53" s="192"/>
      <c r="AC53" s="197" t="str">
        <f t="shared" si="75"/>
        <v xml:space="preserve"> +</v>
      </c>
      <c r="AD53" s="197" t="str">
        <f t="shared" si="76"/>
        <v xml:space="preserve"> +</v>
      </c>
      <c r="AE53" s="197" t="str">
        <f t="shared" si="77"/>
        <v xml:space="preserve"> - </v>
      </c>
      <c r="AF53" s="197" t="str">
        <f t="shared" si="78"/>
        <v xml:space="preserve"> - </v>
      </c>
      <c r="AG53" s="192"/>
      <c r="AH53" s="197" t="str">
        <f t="shared" si="79"/>
        <v xml:space="preserve"> - </v>
      </c>
      <c r="AI53" s="197" t="str">
        <f t="shared" si="80"/>
        <v xml:space="preserve"> - </v>
      </c>
      <c r="AJ53" s="197" t="str">
        <f t="shared" si="81"/>
        <v xml:space="preserve"> - </v>
      </c>
      <c r="AK53" s="197" t="str">
        <f t="shared" si="82"/>
        <v xml:space="preserve"> - </v>
      </c>
      <c r="AL53" s="192"/>
      <c r="AM53" s="197" t="str">
        <f t="shared" si="59"/>
        <v xml:space="preserve"> - </v>
      </c>
      <c r="AN53" s="197" t="str">
        <f t="shared" si="60"/>
        <v xml:space="preserve"> - </v>
      </c>
      <c r="AO53" s="197" t="str">
        <f t="shared" si="61"/>
        <v xml:space="preserve"> - </v>
      </c>
      <c r="AP53" s="192"/>
      <c r="AQ53" s="197" t="str">
        <f t="shared" si="62"/>
        <v xml:space="preserve"> - </v>
      </c>
      <c r="AR53" s="192"/>
      <c r="AS53" s="212" t="str">
        <f t="shared" si="83"/>
        <v xml:space="preserve"> - </v>
      </c>
      <c r="AT53" s="212" t="str">
        <f t="shared" si="84"/>
        <v xml:space="preserve"> - </v>
      </c>
      <c r="AU53" s="212" t="str">
        <f t="shared" si="85"/>
        <v xml:space="preserve"> - </v>
      </c>
      <c r="AV53" s="212" t="str">
        <f t="shared" si="86"/>
        <v xml:space="preserve"> - </v>
      </c>
      <c r="AW53" s="247"/>
      <c r="AX53" s="212" t="str">
        <f t="shared" si="87"/>
        <v xml:space="preserve"> - </v>
      </c>
      <c r="AY53" s="212" t="str">
        <f t="shared" si="88"/>
        <v xml:space="preserve"> - </v>
      </c>
      <c r="AZ53" s="212" t="str">
        <f t="shared" si="89"/>
        <v xml:space="preserve"> - </v>
      </c>
      <c r="BA53" s="212" t="str">
        <f t="shared" si="90"/>
        <v xml:space="preserve"> - </v>
      </c>
      <c r="BB53" s="247"/>
      <c r="BC53" s="247"/>
      <c r="BD53" s="247"/>
      <c r="BE53" s="247"/>
      <c r="BF53" s="247"/>
      <c r="BG53" s="247"/>
      <c r="BH53" s="212" t="str">
        <f t="shared" si="50"/>
        <v xml:space="preserve"> - </v>
      </c>
      <c r="BI53" s="212" t="str">
        <f t="shared" si="51"/>
        <v xml:space="preserve"> - </v>
      </c>
      <c r="BJ53" s="212" t="str">
        <f t="shared" si="52"/>
        <v xml:space="preserve"> - </v>
      </c>
      <c r="BK53" s="212" t="str">
        <f t="shared" si="53"/>
        <v xml:space="preserve"> - </v>
      </c>
      <c r="BL53" s="192"/>
      <c r="BM53" s="135">
        <v>53</v>
      </c>
    </row>
    <row r="54" spans="1:65" ht="41.4" x14ac:dyDescent="0.3">
      <c r="A54" s="366"/>
      <c r="B54" s="260" t="s">
        <v>379</v>
      </c>
      <c r="C54" s="135">
        <v>52</v>
      </c>
      <c r="D54" s="192"/>
      <c r="E54" s="214" t="s">
        <v>298</v>
      </c>
      <c r="F54" s="214" t="s">
        <v>298</v>
      </c>
      <c r="G54" s="214" t="s">
        <v>299</v>
      </c>
      <c r="H54" s="214" t="s">
        <v>299</v>
      </c>
      <c r="I54" s="214" t="s">
        <v>299</v>
      </c>
      <c r="J54" s="192"/>
      <c r="K54" s="214" t="s">
        <v>299</v>
      </c>
      <c r="L54" s="214" t="s">
        <v>299</v>
      </c>
      <c r="M54" s="214" t="s">
        <v>299</v>
      </c>
      <c r="N54" s="214" t="s">
        <v>299</v>
      </c>
      <c r="O54" s="214" t="s">
        <v>299</v>
      </c>
      <c r="P54" s="192"/>
      <c r="Q54" s="214" t="s">
        <v>299</v>
      </c>
      <c r="R54" s="214" t="s">
        <v>299</v>
      </c>
      <c r="S54" s="214" t="s">
        <v>299</v>
      </c>
      <c r="T54" s="214" t="s">
        <v>299</v>
      </c>
      <c r="U54" s="214" t="s">
        <v>299</v>
      </c>
      <c r="V54" s="192"/>
      <c r="W54" s="212" t="str">
        <f t="shared" ref="W54" si="100">Q54</f>
        <v xml:space="preserve"> - </v>
      </c>
      <c r="X54" s="212" t="str">
        <f t="shared" ref="X54" si="101">R54</f>
        <v xml:space="preserve"> - </v>
      </c>
      <c r="Y54" s="212" t="str">
        <f t="shared" ref="Y54" si="102">S54</f>
        <v xml:space="preserve"> - </v>
      </c>
      <c r="Z54" s="212" t="str">
        <f t="shared" ref="Z54" si="103">T54</f>
        <v xml:space="preserve"> - </v>
      </c>
      <c r="AA54" s="212" t="str">
        <f t="shared" ref="AA54" si="104">U54</f>
        <v xml:space="preserve"> - </v>
      </c>
      <c r="AB54" s="192"/>
      <c r="AC54" s="197" t="str">
        <f t="shared" si="75"/>
        <v xml:space="preserve"> +</v>
      </c>
      <c r="AD54" s="197" t="str">
        <f t="shared" si="76"/>
        <v xml:space="preserve"> +</v>
      </c>
      <c r="AE54" s="197" t="str">
        <f t="shared" si="77"/>
        <v xml:space="preserve"> - </v>
      </c>
      <c r="AF54" s="197" t="str">
        <f t="shared" si="78"/>
        <v xml:space="preserve"> - </v>
      </c>
      <c r="AG54" s="192"/>
      <c r="AH54" s="197" t="str">
        <f t="shared" si="79"/>
        <v xml:space="preserve"> - </v>
      </c>
      <c r="AI54" s="197" t="str">
        <f t="shared" si="80"/>
        <v xml:space="preserve"> - </v>
      </c>
      <c r="AJ54" s="197" t="str">
        <f t="shared" si="81"/>
        <v xml:space="preserve"> - </v>
      </c>
      <c r="AK54" s="197" t="str">
        <f t="shared" si="82"/>
        <v xml:space="preserve"> - </v>
      </c>
      <c r="AL54" s="192"/>
      <c r="AM54" s="197" t="str">
        <f t="shared" ref="AM54" si="105">Q54</f>
        <v xml:space="preserve"> - </v>
      </c>
      <c r="AN54" s="197" t="str">
        <f t="shared" ref="AN54" si="106">R54</f>
        <v xml:space="preserve"> - </v>
      </c>
      <c r="AO54" s="197" t="str">
        <f t="shared" ref="AO54" si="107">S54</f>
        <v xml:space="preserve"> - </v>
      </c>
      <c r="AP54" s="192"/>
      <c r="AQ54" s="197" t="str">
        <f t="shared" ref="AQ54" si="108">Z54</f>
        <v xml:space="preserve"> - </v>
      </c>
      <c r="AR54" s="192"/>
      <c r="AS54" s="212" t="str">
        <f t="shared" si="83"/>
        <v xml:space="preserve"> - </v>
      </c>
      <c r="AT54" s="212" t="str">
        <f t="shared" si="84"/>
        <v xml:space="preserve"> - </v>
      </c>
      <c r="AU54" s="212" t="str">
        <f t="shared" si="85"/>
        <v xml:space="preserve"> - </v>
      </c>
      <c r="AV54" s="212" t="str">
        <f t="shared" si="86"/>
        <v xml:space="preserve"> - </v>
      </c>
      <c r="AW54" s="247"/>
      <c r="AX54" s="212" t="str">
        <f t="shared" si="87"/>
        <v xml:space="preserve"> - </v>
      </c>
      <c r="AY54" s="212" t="str">
        <f t="shared" si="88"/>
        <v xml:space="preserve"> - </v>
      </c>
      <c r="AZ54" s="212" t="str">
        <f t="shared" si="89"/>
        <v xml:space="preserve"> - </v>
      </c>
      <c r="BA54" s="212" t="str">
        <f t="shared" si="90"/>
        <v xml:space="preserve"> - </v>
      </c>
      <c r="BB54" s="247"/>
      <c r="BC54" s="247"/>
      <c r="BD54" s="247"/>
      <c r="BE54" s="247"/>
      <c r="BF54" s="247"/>
      <c r="BG54" s="247"/>
      <c r="BH54" s="212" t="str">
        <f t="shared" ref="BH54" si="109">T54</f>
        <v xml:space="preserve"> - </v>
      </c>
      <c r="BI54" s="212" t="str">
        <f t="shared" ref="BI54" si="110">T54</f>
        <v xml:space="preserve"> - </v>
      </c>
      <c r="BJ54" s="212" t="str">
        <f t="shared" ref="BJ54" si="111">U54</f>
        <v xml:space="preserve"> - </v>
      </c>
      <c r="BK54" s="212" t="str">
        <f t="shared" ref="BK54" si="112">U54</f>
        <v xml:space="preserve"> - </v>
      </c>
      <c r="BL54" s="192"/>
      <c r="BM54" s="135">
        <v>54</v>
      </c>
    </row>
    <row r="55" spans="1:65" s="147" customFormat="1" x14ac:dyDescent="0.3">
      <c r="A55" s="366"/>
      <c r="B55" s="137" t="s">
        <v>225</v>
      </c>
      <c r="C55" s="135">
        <v>53</v>
      </c>
      <c r="D55" s="192"/>
      <c r="E55" s="214" t="s">
        <v>298</v>
      </c>
      <c r="F55" s="214" t="s">
        <v>298</v>
      </c>
      <c r="G55" s="214" t="s">
        <v>299</v>
      </c>
      <c r="H55" s="214" t="s">
        <v>299</v>
      </c>
      <c r="I55" s="214" t="s">
        <v>299</v>
      </c>
      <c r="J55" s="192"/>
      <c r="K55" s="214" t="s">
        <v>299</v>
      </c>
      <c r="L55" s="214" t="s">
        <v>299</v>
      </c>
      <c r="M55" s="214" t="s">
        <v>299</v>
      </c>
      <c r="N55" s="214" t="s">
        <v>299</v>
      </c>
      <c r="O55" s="214" t="s">
        <v>299</v>
      </c>
      <c r="P55" s="192"/>
      <c r="Q55" s="214" t="s">
        <v>299</v>
      </c>
      <c r="R55" s="214" t="s">
        <v>299</v>
      </c>
      <c r="S55" s="214" t="s">
        <v>299</v>
      </c>
      <c r="T55" s="214" t="s">
        <v>299</v>
      </c>
      <c r="U55" s="214" t="s">
        <v>299</v>
      </c>
      <c r="V55" s="192"/>
      <c r="W55" s="212" t="str">
        <f t="shared" si="54"/>
        <v xml:space="preserve"> - </v>
      </c>
      <c r="X55" s="212" t="str">
        <f t="shared" si="55"/>
        <v xml:space="preserve"> - </v>
      </c>
      <c r="Y55" s="212" t="str">
        <f t="shared" si="56"/>
        <v xml:space="preserve"> - </v>
      </c>
      <c r="Z55" s="212" t="str">
        <f t="shared" si="57"/>
        <v xml:space="preserve"> - </v>
      </c>
      <c r="AA55" s="212" t="str">
        <f t="shared" si="58"/>
        <v xml:space="preserve"> - </v>
      </c>
      <c r="AB55" s="192"/>
      <c r="AC55" s="197" t="str">
        <f t="shared" si="75"/>
        <v xml:space="preserve"> +</v>
      </c>
      <c r="AD55" s="197" t="str">
        <f t="shared" si="76"/>
        <v xml:space="preserve"> +</v>
      </c>
      <c r="AE55" s="197" t="str">
        <f t="shared" si="77"/>
        <v xml:space="preserve"> - </v>
      </c>
      <c r="AF55" s="197" t="str">
        <f t="shared" si="78"/>
        <v xml:space="preserve"> - </v>
      </c>
      <c r="AG55" s="192"/>
      <c r="AH55" s="197" t="str">
        <f t="shared" si="79"/>
        <v xml:space="preserve"> - </v>
      </c>
      <c r="AI55" s="197" t="str">
        <f t="shared" si="80"/>
        <v xml:space="preserve"> - </v>
      </c>
      <c r="AJ55" s="197" t="str">
        <f t="shared" si="81"/>
        <v xml:space="preserve"> - </v>
      </c>
      <c r="AK55" s="197" t="str">
        <f t="shared" si="82"/>
        <v xml:space="preserve"> - </v>
      </c>
      <c r="AL55" s="192"/>
      <c r="AM55" s="197" t="str">
        <f t="shared" si="59"/>
        <v xml:space="preserve"> - </v>
      </c>
      <c r="AN55" s="197" t="str">
        <f t="shared" si="60"/>
        <v xml:space="preserve"> - </v>
      </c>
      <c r="AO55" s="197" t="str">
        <f t="shared" si="61"/>
        <v xml:space="preserve"> - </v>
      </c>
      <c r="AP55" s="192"/>
      <c r="AQ55" s="197" t="str">
        <f t="shared" si="62"/>
        <v xml:space="preserve"> - </v>
      </c>
      <c r="AR55" s="192"/>
      <c r="AS55" s="212" t="str">
        <f t="shared" si="83"/>
        <v xml:space="preserve"> - </v>
      </c>
      <c r="AT55" s="212" t="str">
        <f t="shared" si="84"/>
        <v xml:space="preserve"> - </v>
      </c>
      <c r="AU55" s="212" t="str">
        <f t="shared" si="85"/>
        <v xml:space="preserve"> - </v>
      </c>
      <c r="AV55" s="212" t="str">
        <f t="shared" si="86"/>
        <v xml:space="preserve"> - </v>
      </c>
      <c r="AW55" s="247"/>
      <c r="AX55" s="212" t="str">
        <f t="shared" si="87"/>
        <v xml:space="preserve"> - </v>
      </c>
      <c r="AY55" s="212" t="str">
        <f t="shared" si="88"/>
        <v xml:space="preserve"> - </v>
      </c>
      <c r="AZ55" s="212" t="str">
        <f t="shared" si="89"/>
        <v xml:space="preserve"> - </v>
      </c>
      <c r="BA55" s="212" t="str">
        <f t="shared" si="90"/>
        <v xml:space="preserve"> - </v>
      </c>
      <c r="BB55" s="247"/>
      <c r="BC55" s="247"/>
      <c r="BD55" s="247"/>
      <c r="BE55" s="247"/>
      <c r="BF55" s="247"/>
      <c r="BG55" s="247"/>
      <c r="BH55" s="212" t="str">
        <f t="shared" si="50"/>
        <v xml:space="preserve"> - </v>
      </c>
      <c r="BI55" s="212" t="str">
        <f t="shared" si="51"/>
        <v xml:space="preserve"> - </v>
      </c>
      <c r="BJ55" s="212" t="str">
        <f t="shared" si="52"/>
        <v xml:space="preserve"> - </v>
      </c>
      <c r="BK55" s="212" t="str">
        <f t="shared" si="53"/>
        <v xml:space="preserve"> - </v>
      </c>
      <c r="BL55" s="192"/>
      <c r="BM55" s="135">
        <v>55</v>
      </c>
    </row>
    <row r="56" spans="1:65" s="147" customFormat="1" x14ac:dyDescent="0.3">
      <c r="A56" s="366"/>
      <c r="B56" s="181" t="s">
        <v>44</v>
      </c>
      <c r="C56" s="135">
        <v>54</v>
      </c>
      <c r="D56" s="192"/>
      <c r="E56" s="214" t="s">
        <v>298</v>
      </c>
      <c r="F56" s="214" t="s">
        <v>298</v>
      </c>
      <c r="G56" s="214" t="s">
        <v>298</v>
      </c>
      <c r="H56" s="214" t="s">
        <v>299</v>
      </c>
      <c r="I56" s="214" t="s">
        <v>299</v>
      </c>
      <c r="J56" s="192"/>
      <c r="K56" s="214" t="s">
        <v>299</v>
      </c>
      <c r="L56" s="214" t="s">
        <v>299</v>
      </c>
      <c r="M56" s="214" t="s">
        <v>299</v>
      </c>
      <c r="N56" s="214" t="s">
        <v>299</v>
      </c>
      <c r="O56" s="214" t="s">
        <v>299</v>
      </c>
      <c r="P56" s="192"/>
      <c r="Q56" s="214" t="s">
        <v>299</v>
      </c>
      <c r="R56" s="214" t="s">
        <v>299</v>
      </c>
      <c r="S56" s="214" t="s">
        <v>299</v>
      </c>
      <c r="T56" s="214" t="s">
        <v>299</v>
      </c>
      <c r="U56" s="214" t="s">
        <v>299</v>
      </c>
      <c r="V56" s="192"/>
      <c r="W56" s="212" t="str">
        <f t="shared" si="54"/>
        <v xml:space="preserve"> - </v>
      </c>
      <c r="X56" s="212" t="str">
        <f t="shared" si="55"/>
        <v xml:space="preserve"> - </v>
      </c>
      <c r="Y56" s="212" t="str">
        <f t="shared" si="56"/>
        <v xml:space="preserve"> - </v>
      </c>
      <c r="Z56" s="212" t="str">
        <f t="shared" si="57"/>
        <v xml:space="preserve"> - </v>
      </c>
      <c r="AA56" s="212" t="str">
        <f t="shared" si="58"/>
        <v xml:space="preserve"> - </v>
      </c>
      <c r="AB56" s="192"/>
      <c r="AC56" s="197" t="str">
        <f t="shared" si="75"/>
        <v xml:space="preserve"> +</v>
      </c>
      <c r="AD56" s="197" t="str">
        <f t="shared" si="76"/>
        <v xml:space="preserve"> +</v>
      </c>
      <c r="AE56" s="197" t="str">
        <f t="shared" si="77"/>
        <v xml:space="preserve"> +</v>
      </c>
      <c r="AF56" s="197" t="str">
        <f t="shared" si="78"/>
        <v xml:space="preserve"> - </v>
      </c>
      <c r="AG56" s="192"/>
      <c r="AH56" s="197" t="str">
        <f t="shared" si="79"/>
        <v xml:space="preserve"> - </v>
      </c>
      <c r="AI56" s="197" t="str">
        <f t="shared" si="80"/>
        <v xml:space="preserve"> - </v>
      </c>
      <c r="AJ56" s="197" t="str">
        <f t="shared" si="81"/>
        <v xml:space="preserve"> - </v>
      </c>
      <c r="AK56" s="197" t="str">
        <f t="shared" si="82"/>
        <v xml:space="preserve"> - </v>
      </c>
      <c r="AL56" s="192"/>
      <c r="AM56" s="197" t="str">
        <f t="shared" si="59"/>
        <v xml:space="preserve"> - </v>
      </c>
      <c r="AN56" s="197" t="str">
        <f t="shared" si="60"/>
        <v xml:space="preserve"> - </v>
      </c>
      <c r="AO56" s="197" t="str">
        <f t="shared" si="61"/>
        <v xml:space="preserve"> - </v>
      </c>
      <c r="AP56" s="192"/>
      <c r="AQ56" s="197" t="str">
        <f t="shared" si="62"/>
        <v xml:space="preserve"> - </v>
      </c>
      <c r="AR56" s="192"/>
      <c r="AS56" s="212" t="str">
        <f t="shared" si="83"/>
        <v xml:space="preserve"> - </v>
      </c>
      <c r="AT56" s="212" t="str">
        <f t="shared" si="84"/>
        <v xml:space="preserve"> - </v>
      </c>
      <c r="AU56" s="212" t="str">
        <f t="shared" si="85"/>
        <v xml:space="preserve"> - </v>
      </c>
      <c r="AV56" s="212" t="str">
        <f t="shared" si="86"/>
        <v xml:space="preserve"> - </v>
      </c>
      <c r="AW56" s="247"/>
      <c r="AX56" s="212" t="str">
        <f t="shared" si="87"/>
        <v xml:space="preserve"> - </v>
      </c>
      <c r="AY56" s="212" t="str">
        <f t="shared" si="88"/>
        <v xml:space="preserve"> - </v>
      </c>
      <c r="AZ56" s="212" t="str">
        <f t="shared" si="89"/>
        <v xml:space="preserve"> - </v>
      </c>
      <c r="BA56" s="212" t="str">
        <f t="shared" si="90"/>
        <v xml:space="preserve"> - </v>
      </c>
      <c r="BB56" s="247"/>
      <c r="BC56" s="247"/>
      <c r="BD56" s="247"/>
      <c r="BE56" s="247"/>
      <c r="BF56" s="247"/>
      <c r="BG56" s="247"/>
      <c r="BH56" s="212" t="str">
        <f t="shared" si="50"/>
        <v xml:space="preserve"> - </v>
      </c>
      <c r="BI56" s="212" t="str">
        <f t="shared" si="51"/>
        <v xml:space="preserve"> - </v>
      </c>
      <c r="BJ56" s="212" t="str">
        <f t="shared" si="52"/>
        <v xml:space="preserve"> - </v>
      </c>
      <c r="BK56" s="212" t="str">
        <f t="shared" si="53"/>
        <v xml:space="preserve"> - </v>
      </c>
      <c r="BL56" s="192"/>
      <c r="BM56" s="135">
        <v>56</v>
      </c>
    </row>
    <row r="57" spans="1:65" x14ac:dyDescent="0.3">
      <c r="A57" s="366"/>
      <c r="B57" s="181" t="s">
        <v>271</v>
      </c>
      <c r="C57" s="135">
        <v>55</v>
      </c>
      <c r="D57" s="192"/>
      <c r="E57" s="214" t="s">
        <v>298</v>
      </c>
      <c r="F57" s="214" t="s">
        <v>298</v>
      </c>
      <c r="G57" s="214" t="s">
        <v>298</v>
      </c>
      <c r="H57" s="214" t="s">
        <v>299</v>
      </c>
      <c r="I57" s="214" t="s">
        <v>299</v>
      </c>
      <c r="J57" s="192"/>
      <c r="K57" s="214" t="s">
        <v>299</v>
      </c>
      <c r="L57" s="214" t="s">
        <v>299</v>
      </c>
      <c r="M57" s="214" t="s">
        <v>299</v>
      </c>
      <c r="N57" s="214" t="s">
        <v>299</v>
      </c>
      <c r="O57" s="214" t="s">
        <v>299</v>
      </c>
      <c r="P57" s="192"/>
      <c r="Q57" s="214" t="s">
        <v>299</v>
      </c>
      <c r="R57" s="214" t="s">
        <v>299</v>
      </c>
      <c r="S57" s="214" t="s">
        <v>299</v>
      </c>
      <c r="T57" s="214" t="s">
        <v>299</v>
      </c>
      <c r="U57" s="214" t="s">
        <v>299</v>
      </c>
      <c r="V57" s="192"/>
      <c r="W57" s="212" t="str">
        <f t="shared" si="54"/>
        <v xml:space="preserve"> - </v>
      </c>
      <c r="X57" s="212" t="str">
        <f t="shared" si="55"/>
        <v xml:space="preserve"> - </v>
      </c>
      <c r="Y57" s="212" t="str">
        <f t="shared" si="56"/>
        <v xml:space="preserve"> - </v>
      </c>
      <c r="Z57" s="212" t="str">
        <f t="shared" si="57"/>
        <v xml:space="preserve"> - </v>
      </c>
      <c r="AA57" s="212" t="str">
        <f t="shared" si="58"/>
        <v xml:space="preserve"> - </v>
      </c>
      <c r="AB57" s="192"/>
      <c r="AC57" s="197" t="str">
        <f t="shared" si="75"/>
        <v xml:space="preserve"> +</v>
      </c>
      <c r="AD57" s="197" t="str">
        <f t="shared" si="76"/>
        <v xml:space="preserve"> +</v>
      </c>
      <c r="AE57" s="197" t="str">
        <f t="shared" si="77"/>
        <v xml:space="preserve"> +</v>
      </c>
      <c r="AF57" s="197" t="str">
        <f t="shared" si="78"/>
        <v xml:space="preserve"> - </v>
      </c>
      <c r="AG57" s="192"/>
      <c r="AH57" s="197" t="str">
        <f t="shared" si="79"/>
        <v xml:space="preserve"> - </v>
      </c>
      <c r="AI57" s="197" t="str">
        <f t="shared" si="80"/>
        <v xml:space="preserve"> - </v>
      </c>
      <c r="AJ57" s="197" t="str">
        <f t="shared" si="81"/>
        <v xml:space="preserve"> - </v>
      </c>
      <c r="AK57" s="197" t="str">
        <f t="shared" si="82"/>
        <v xml:space="preserve"> - </v>
      </c>
      <c r="AL57" s="192"/>
      <c r="AM57" s="197" t="str">
        <f t="shared" si="59"/>
        <v xml:space="preserve"> - </v>
      </c>
      <c r="AN57" s="197" t="str">
        <f t="shared" si="60"/>
        <v xml:space="preserve"> - </v>
      </c>
      <c r="AO57" s="197" t="str">
        <f t="shared" si="61"/>
        <v xml:space="preserve"> - </v>
      </c>
      <c r="AP57" s="192"/>
      <c r="AQ57" s="197" t="str">
        <f t="shared" si="62"/>
        <v xml:space="preserve"> - </v>
      </c>
      <c r="AR57" s="192"/>
      <c r="AS57" s="212" t="str">
        <f t="shared" si="83"/>
        <v xml:space="preserve"> - </v>
      </c>
      <c r="AT57" s="212" t="str">
        <f t="shared" si="84"/>
        <v xml:space="preserve"> - </v>
      </c>
      <c r="AU57" s="212" t="str">
        <f t="shared" si="85"/>
        <v xml:space="preserve"> - </v>
      </c>
      <c r="AV57" s="212" t="str">
        <f t="shared" si="86"/>
        <v xml:space="preserve"> - </v>
      </c>
      <c r="AW57" s="247"/>
      <c r="AX57" s="212" t="str">
        <f t="shared" si="87"/>
        <v xml:space="preserve"> - </v>
      </c>
      <c r="AY57" s="212" t="str">
        <f t="shared" si="88"/>
        <v xml:space="preserve"> - </v>
      </c>
      <c r="AZ57" s="212" t="str">
        <f t="shared" si="89"/>
        <v xml:space="preserve"> - </v>
      </c>
      <c r="BA57" s="212" t="str">
        <f t="shared" si="90"/>
        <v xml:space="preserve"> - </v>
      </c>
      <c r="BB57" s="247"/>
      <c r="BC57" s="247"/>
      <c r="BD57" s="247"/>
      <c r="BE57" s="247"/>
      <c r="BF57" s="247"/>
      <c r="BG57" s="247"/>
      <c r="BH57" s="212" t="str">
        <f t="shared" si="50"/>
        <v xml:space="preserve"> - </v>
      </c>
      <c r="BI57" s="212" t="str">
        <f t="shared" si="51"/>
        <v xml:space="preserve"> - </v>
      </c>
      <c r="BJ57" s="212" t="str">
        <f t="shared" si="52"/>
        <v xml:space="preserve"> - </v>
      </c>
      <c r="BK57" s="212" t="str">
        <f t="shared" si="53"/>
        <v xml:space="preserve"> - </v>
      </c>
      <c r="BL57" s="192"/>
      <c r="BM57" s="135">
        <v>57</v>
      </c>
    </row>
    <row r="58" spans="1:65" x14ac:dyDescent="0.3">
      <c r="A58" s="366"/>
      <c r="B58" s="181" t="s">
        <v>43</v>
      </c>
      <c r="C58" s="135">
        <v>56</v>
      </c>
      <c r="D58" s="192"/>
      <c r="E58" s="214" t="s">
        <v>298</v>
      </c>
      <c r="F58" s="214" t="s">
        <v>298</v>
      </c>
      <c r="G58" s="214" t="s">
        <v>298</v>
      </c>
      <c r="H58" s="214" t="s">
        <v>299</v>
      </c>
      <c r="I58" s="214" t="s">
        <v>299</v>
      </c>
      <c r="J58" s="192"/>
      <c r="K58" s="214" t="s">
        <v>299</v>
      </c>
      <c r="L58" s="214" t="s">
        <v>299</v>
      </c>
      <c r="M58" s="214" t="s">
        <v>299</v>
      </c>
      <c r="N58" s="214" t="s">
        <v>299</v>
      </c>
      <c r="O58" s="214" t="s">
        <v>299</v>
      </c>
      <c r="P58" s="192"/>
      <c r="Q58" s="214" t="s">
        <v>299</v>
      </c>
      <c r="R58" s="214" t="s">
        <v>299</v>
      </c>
      <c r="S58" s="214" t="s">
        <v>299</v>
      </c>
      <c r="T58" s="214" t="s">
        <v>299</v>
      </c>
      <c r="U58" s="214" t="s">
        <v>299</v>
      </c>
      <c r="V58" s="192"/>
      <c r="W58" s="212" t="str">
        <f t="shared" si="54"/>
        <v xml:space="preserve"> - </v>
      </c>
      <c r="X58" s="212" t="str">
        <f t="shared" si="55"/>
        <v xml:space="preserve"> - </v>
      </c>
      <c r="Y58" s="212" t="str">
        <f t="shared" si="56"/>
        <v xml:space="preserve"> - </v>
      </c>
      <c r="Z58" s="212" t="str">
        <f t="shared" si="57"/>
        <v xml:space="preserve"> - </v>
      </c>
      <c r="AA58" s="212" t="str">
        <f t="shared" si="58"/>
        <v xml:space="preserve"> - </v>
      </c>
      <c r="AB58" s="192"/>
      <c r="AC58" s="197" t="str">
        <f t="shared" si="75"/>
        <v xml:space="preserve"> +</v>
      </c>
      <c r="AD58" s="197" t="str">
        <f t="shared" si="76"/>
        <v xml:space="preserve"> +</v>
      </c>
      <c r="AE58" s="197" t="str">
        <f t="shared" si="77"/>
        <v xml:space="preserve"> +</v>
      </c>
      <c r="AF58" s="197" t="str">
        <f t="shared" si="78"/>
        <v xml:space="preserve"> - </v>
      </c>
      <c r="AG58" s="192"/>
      <c r="AH58" s="197" t="str">
        <f t="shared" si="79"/>
        <v xml:space="preserve"> - </v>
      </c>
      <c r="AI58" s="197" t="str">
        <f t="shared" si="80"/>
        <v xml:space="preserve"> - </v>
      </c>
      <c r="AJ58" s="197" t="str">
        <f t="shared" si="81"/>
        <v xml:space="preserve"> - </v>
      </c>
      <c r="AK58" s="197" t="str">
        <f t="shared" si="82"/>
        <v xml:space="preserve"> - </v>
      </c>
      <c r="AL58" s="192"/>
      <c r="AM58" s="197" t="str">
        <f t="shared" si="59"/>
        <v xml:space="preserve"> - </v>
      </c>
      <c r="AN58" s="197" t="str">
        <f t="shared" si="60"/>
        <v xml:space="preserve"> - </v>
      </c>
      <c r="AO58" s="197" t="str">
        <f t="shared" si="61"/>
        <v xml:space="preserve"> - </v>
      </c>
      <c r="AP58" s="192"/>
      <c r="AQ58" s="197" t="str">
        <f t="shared" si="62"/>
        <v xml:space="preserve"> - </v>
      </c>
      <c r="AR58" s="192"/>
      <c r="AS58" s="212" t="str">
        <f t="shared" si="83"/>
        <v xml:space="preserve"> - </v>
      </c>
      <c r="AT58" s="212" t="str">
        <f t="shared" si="84"/>
        <v xml:space="preserve"> - </v>
      </c>
      <c r="AU58" s="212" t="str">
        <f t="shared" si="85"/>
        <v xml:space="preserve"> - </v>
      </c>
      <c r="AV58" s="212" t="str">
        <f t="shared" si="86"/>
        <v xml:space="preserve"> - </v>
      </c>
      <c r="AW58" s="247"/>
      <c r="AX58" s="212" t="str">
        <f t="shared" si="87"/>
        <v xml:space="preserve"> - </v>
      </c>
      <c r="AY58" s="212" t="str">
        <f t="shared" si="88"/>
        <v xml:space="preserve"> - </v>
      </c>
      <c r="AZ58" s="212" t="str">
        <f t="shared" si="89"/>
        <v xml:space="preserve"> - </v>
      </c>
      <c r="BA58" s="212" t="str">
        <f t="shared" si="90"/>
        <v xml:space="preserve"> - </v>
      </c>
      <c r="BB58" s="247"/>
      <c r="BC58" s="247"/>
      <c r="BD58" s="247"/>
      <c r="BE58" s="247"/>
      <c r="BF58" s="247"/>
      <c r="BG58" s="247"/>
      <c r="BH58" s="212" t="str">
        <f t="shared" si="50"/>
        <v xml:space="preserve"> - </v>
      </c>
      <c r="BI58" s="212" t="str">
        <f t="shared" si="51"/>
        <v xml:space="preserve"> - </v>
      </c>
      <c r="BJ58" s="212" t="str">
        <f t="shared" si="52"/>
        <v xml:space="preserve"> - </v>
      </c>
      <c r="BK58" s="212" t="str">
        <f t="shared" si="53"/>
        <v xml:space="preserve"> - </v>
      </c>
      <c r="BL58" s="192"/>
      <c r="BM58" s="135">
        <v>58</v>
      </c>
    </row>
    <row r="59" spans="1:65" x14ac:dyDescent="0.3">
      <c r="A59" s="366"/>
      <c r="B59" s="181" t="s">
        <v>174</v>
      </c>
      <c r="C59" s="135">
        <v>57</v>
      </c>
      <c r="D59" s="192"/>
      <c r="E59" s="214" t="s">
        <v>298</v>
      </c>
      <c r="F59" s="214" t="s">
        <v>298</v>
      </c>
      <c r="G59" s="214" t="s">
        <v>298</v>
      </c>
      <c r="H59" s="214" t="s">
        <v>299</v>
      </c>
      <c r="I59" s="214" t="s">
        <v>299</v>
      </c>
      <c r="J59" s="192"/>
      <c r="K59" s="214" t="s">
        <v>299</v>
      </c>
      <c r="L59" s="214" t="s">
        <v>299</v>
      </c>
      <c r="M59" s="214" t="s">
        <v>299</v>
      </c>
      <c r="N59" s="214" t="s">
        <v>299</v>
      </c>
      <c r="O59" s="214" t="s">
        <v>299</v>
      </c>
      <c r="P59" s="192"/>
      <c r="Q59" s="214" t="s">
        <v>299</v>
      </c>
      <c r="R59" s="214" t="s">
        <v>299</v>
      </c>
      <c r="S59" s="214" t="s">
        <v>299</v>
      </c>
      <c r="T59" s="214" t="s">
        <v>299</v>
      </c>
      <c r="U59" s="214" t="s">
        <v>299</v>
      </c>
      <c r="V59" s="192"/>
      <c r="W59" s="212" t="str">
        <f t="shared" si="54"/>
        <v xml:space="preserve"> - </v>
      </c>
      <c r="X59" s="212" t="str">
        <f t="shared" si="55"/>
        <v xml:space="preserve"> - </v>
      </c>
      <c r="Y59" s="212" t="str">
        <f t="shared" si="56"/>
        <v xml:space="preserve"> - </v>
      </c>
      <c r="Z59" s="212" t="str">
        <f t="shared" si="57"/>
        <v xml:space="preserve"> - </v>
      </c>
      <c r="AA59" s="212" t="str">
        <f t="shared" si="58"/>
        <v xml:space="preserve"> - </v>
      </c>
      <c r="AB59" s="192"/>
      <c r="AC59" s="197" t="str">
        <f t="shared" si="75"/>
        <v xml:space="preserve"> +</v>
      </c>
      <c r="AD59" s="197" t="str">
        <f t="shared" si="76"/>
        <v xml:space="preserve"> +</v>
      </c>
      <c r="AE59" s="197" t="str">
        <f t="shared" si="77"/>
        <v xml:space="preserve"> +</v>
      </c>
      <c r="AF59" s="197" t="str">
        <f t="shared" si="78"/>
        <v xml:space="preserve"> - </v>
      </c>
      <c r="AG59" s="192"/>
      <c r="AH59" s="197" t="str">
        <f t="shared" si="79"/>
        <v xml:space="preserve"> - </v>
      </c>
      <c r="AI59" s="197" t="str">
        <f t="shared" si="80"/>
        <v xml:space="preserve"> - </v>
      </c>
      <c r="AJ59" s="197" t="str">
        <f t="shared" si="81"/>
        <v xml:space="preserve"> - </v>
      </c>
      <c r="AK59" s="197" t="str">
        <f t="shared" si="82"/>
        <v xml:space="preserve"> - </v>
      </c>
      <c r="AL59" s="192"/>
      <c r="AM59" s="197" t="str">
        <f t="shared" si="59"/>
        <v xml:space="preserve"> - </v>
      </c>
      <c r="AN59" s="197" t="str">
        <f t="shared" si="60"/>
        <v xml:space="preserve"> - </v>
      </c>
      <c r="AO59" s="197" t="str">
        <f t="shared" si="61"/>
        <v xml:space="preserve"> - </v>
      </c>
      <c r="AP59" s="192"/>
      <c r="AQ59" s="197" t="str">
        <f t="shared" si="62"/>
        <v xml:space="preserve"> - </v>
      </c>
      <c r="AR59" s="192"/>
      <c r="AS59" s="212" t="str">
        <f t="shared" si="83"/>
        <v xml:space="preserve"> - </v>
      </c>
      <c r="AT59" s="212" t="str">
        <f t="shared" si="84"/>
        <v xml:space="preserve"> - </v>
      </c>
      <c r="AU59" s="212" t="str">
        <f t="shared" si="85"/>
        <v xml:space="preserve"> - </v>
      </c>
      <c r="AV59" s="212" t="str">
        <f t="shared" si="86"/>
        <v xml:space="preserve"> - </v>
      </c>
      <c r="AW59" s="247"/>
      <c r="AX59" s="212" t="str">
        <f t="shared" si="87"/>
        <v xml:space="preserve"> - </v>
      </c>
      <c r="AY59" s="212" t="str">
        <f t="shared" si="88"/>
        <v xml:space="preserve"> - </v>
      </c>
      <c r="AZ59" s="212" t="str">
        <f t="shared" si="89"/>
        <v xml:space="preserve"> - </v>
      </c>
      <c r="BA59" s="212" t="str">
        <f t="shared" si="90"/>
        <v xml:space="preserve"> - </v>
      </c>
      <c r="BB59" s="247"/>
      <c r="BC59" s="247"/>
      <c r="BD59" s="247"/>
      <c r="BE59" s="247"/>
      <c r="BF59" s="247"/>
      <c r="BG59" s="247"/>
      <c r="BH59" s="212" t="str">
        <f t="shared" si="50"/>
        <v xml:space="preserve"> - </v>
      </c>
      <c r="BI59" s="212" t="str">
        <f t="shared" si="51"/>
        <v xml:space="preserve"> - </v>
      </c>
      <c r="BJ59" s="212" t="str">
        <f t="shared" si="52"/>
        <v xml:space="preserve"> - </v>
      </c>
      <c r="BK59" s="212" t="str">
        <f t="shared" si="53"/>
        <v xml:space="preserve"> - </v>
      </c>
      <c r="BL59" s="192"/>
      <c r="BM59" s="135">
        <v>59</v>
      </c>
    </row>
    <row r="60" spans="1:65" x14ac:dyDescent="0.3">
      <c r="A60" s="366"/>
      <c r="B60" s="181" t="s">
        <v>292</v>
      </c>
      <c r="C60" s="135">
        <v>58</v>
      </c>
      <c r="D60" s="192"/>
      <c r="E60" s="214" t="s">
        <v>298</v>
      </c>
      <c r="F60" s="214" t="s">
        <v>298</v>
      </c>
      <c r="G60" s="214" t="s">
        <v>298</v>
      </c>
      <c r="H60" s="214" t="s">
        <v>298</v>
      </c>
      <c r="I60" s="214" t="s">
        <v>298</v>
      </c>
      <c r="J60" s="192"/>
      <c r="K60" s="214" t="s">
        <v>298</v>
      </c>
      <c r="L60" s="214" t="s">
        <v>298</v>
      </c>
      <c r="M60" s="214" t="s">
        <v>298</v>
      </c>
      <c r="N60" s="214" t="s">
        <v>298</v>
      </c>
      <c r="O60" s="214" t="s">
        <v>298</v>
      </c>
      <c r="P60" s="192"/>
      <c r="Q60" s="214" t="s">
        <v>298</v>
      </c>
      <c r="R60" s="214" t="s">
        <v>298</v>
      </c>
      <c r="S60" s="214" t="s">
        <v>298</v>
      </c>
      <c r="T60" s="214" t="s">
        <v>298</v>
      </c>
      <c r="U60" s="214" t="s">
        <v>298</v>
      </c>
      <c r="V60" s="192"/>
      <c r="W60" s="212" t="str">
        <f t="shared" si="54"/>
        <v xml:space="preserve"> +</v>
      </c>
      <c r="X60" s="212" t="str">
        <f t="shared" si="55"/>
        <v xml:space="preserve"> +</v>
      </c>
      <c r="Y60" s="212" t="str">
        <f t="shared" si="56"/>
        <v xml:space="preserve"> +</v>
      </c>
      <c r="Z60" s="212" t="str">
        <f t="shared" si="57"/>
        <v xml:space="preserve"> +</v>
      </c>
      <c r="AA60" s="212" t="str">
        <f t="shared" si="58"/>
        <v xml:space="preserve"> +</v>
      </c>
      <c r="AB60" s="192"/>
      <c r="AC60" s="197" t="str">
        <f t="shared" si="75"/>
        <v xml:space="preserve"> +</v>
      </c>
      <c r="AD60" s="197" t="str">
        <f t="shared" si="76"/>
        <v xml:space="preserve"> +</v>
      </c>
      <c r="AE60" s="197" t="str">
        <f t="shared" si="77"/>
        <v xml:space="preserve"> +</v>
      </c>
      <c r="AF60" s="197" t="str">
        <f t="shared" si="78"/>
        <v xml:space="preserve"> +</v>
      </c>
      <c r="AG60" s="192"/>
      <c r="AH60" s="197" t="str">
        <f t="shared" si="79"/>
        <v xml:space="preserve"> +</v>
      </c>
      <c r="AI60" s="197" t="str">
        <f t="shared" si="80"/>
        <v xml:space="preserve"> +</v>
      </c>
      <c r="AJ60" s="197" t="str">
        <f t="shared" si="81"/>
        <v xml:space="preserve"> +</v>
      </c>
      <c r="AK60" s="197" t="str">
        <f t="shared" si="82"/>
        <v xml:space="preserve"> +</v>
      </c>
      <c r="AL60" s="192"/>
      <c r="AM60" s="197" t="str">
        <f t="shared" si="59"/>
        <v xml:space="preserve"> +</v>
      </c>
      <c r="AN60" s="197" t="str">
        <f t="shared" si="60"/>
        <v xml:space="preserve"> +</v>
      </c>
      <c r="AO60" s="197" t="str">
        <f t="shared" si="61"/>
        <v xml:space="preserve"> +</v>
      </c>
      <c r="AP60" s="192"/>
      <c r="AQ60" s="197" t="str">
        <f t="shared" si="62"/>
        <v xml:space="preserve"> +</v>
      </c>
      <c r="AR60" s="192"/>
      <c r="AS60" s="212" t="str">
        <f t="shared" si="83"/>
        <v xml:space="preserve"> +</v>
      </c>
      <c r="AT60" s="212" t="str">
        <f t="shared" si="84"/>
        <v xml:space="preserve"> +</v>
      </c>
      <c r="AU60" s="212" t="str">
        <f t="shared" si="85"/>
        <v xml:space="preserve"> +</v>
      </c>
      <c r="AV60" s="212" t="str">
        <f t="shared" si="86"/>
        <v xml:space="preserve"> +</v>
      </c>
      <c r="AW60" s="247"/>
      <c r="AX60" s="212" t="str">
        <f t="shared" si="87"/>
        <v xml:space="preserve"> +</v>
      </c>
      <c r="AY60" s="212" t="str">
        <f t="shared" si="88"/>
        <v xml:space="preserve"> +</v>
      </c>
      <c r="AZ60" s="212" t="str">
        <f t="shared" si="89"/>
        <v xml:space="preserve"> +</v>
      </c>
      <c r="BA60" s="212" t="str">
        <f t="shared" si="90"/>
        <v xml:space="preserve"> +</v>
      </c>
      <c r="BB60" s="247"/>
      <c r="BC60" s="247"/>
      <c r="BD60" s="247"/>
      <c r="BE60" s="247"/>
      <c r="BF60" s="247"/>
      <c r="BG60" s="247"/>
      <c r="BH60" s="212" t="str">
        <f t="shared" si="50"/>
        <v xml:space="preserve"> +</v>
      </c>
      <c r="BI60" s="212" t="str">
        <f t="shared" si="51"/>
        <v xml:space="preserve"> +</v>
      </c>
      <c r="BJ60" s="212" t="str">
        <f t="shared" si="52"/>
        <v xml:space="preserve"> +</v>
      </c>
      <c r="BK60" s="212" t="str">
        <f t="shared" si="53"/>
        <v xml:space="preserve"> +</v>
      </c>
      <c r="BL60" s="192"/>
      <c r="BM60" s="135">
        <v>60</v>
      </c>
    </row>
    <row r="61" spans="1:65" x14ac:dyDescent="0.3">
      <c r="A61" s="366"/>
      <c r="B61" s="181" t="s">
        <v>293</v>
      </c>
      <c r="C61" s="135">
        <v>59</v>
      </c>
      <c r="D61" s="192"/>
      <c r="E61" s="214" t="s">
        <v>298</v>
      </c>
      <c r="F61" s="214" t="s">
        <v>298</v>
      </c>
      <c r="G61" s="214" t="s">
        <v>298</v>
      </c>
      <c r="H61" s="214" t="s">
        <v>298</v>
      </c>
      <c r="I61" s="214" t="s">
        <v>298</v>
      </c>
      <c r="J61" s="192"/>
      <c r="K61" s="214" t="s">
        <v>298</v>
      </c>
      <c r="L61" s="214" t="s">
        <v>298</v>
      </c>
      <c r="M61" s="214" t="s">
        <v>298</v>
      </c>
      <c r="N61" s="214" t="s">
        <v>298</v>
      </c>
      <c r="O61" s="214" t="s">
        <v>299</v>
      </c>
      <c r="P61" s="192"/>
      <c r="Q61" s="214" t="s">
        <v>299</v>
      </c>
      <c r="R61" s="214" t="s">
        <v>299</v>
      </c>
      <c r="S61" s="214" t="s">
        <v>299</v>
      </c>
      <c r="T61" s="214" t="s">
        <v>299</v>
      </c>
      <c r="U61" s="214" t="s">
        <v>299</v>
      </c>
      <c r="V61" s="192"/>
      <c r="W61" s="212" t="str">
        <f t="shared" si="54"/>
        <v xml:space="preserve"> - </v>
      </c>
      <c r="X61" s="212" t="str">
        <f t="shared" si="55"/>
        <v xml:space="preserve"> - </v>
      </c>
      <c r="Y61" s="212" t="str">
        <f t="shared" si="56"/>
        <v xml:space="preserve"> - </v>
      </c>
      <c r="Z61" s="212" t="str">
        <f t="shared" si="57"/>
        <v xml:space="preserve"> - </v>
      </c>
      <c r="AA61" s="212" t="str">
        <f t="shared" si="58"/>
        <v xml:space="preserve"> - </v>
      </c>
      <c r="AB61" s="192"/>
      <c r="AC61" s="197" t="str">
        <f t="shared" si="75"/>
        <v xml:space="preserve"> +</v>
      </c>
      <c r="AD61" s="197" t="str">
        <f t="shared" si="76"/>
        <v xml:space="preserve"> +</v>
      </c>
      <c r="AE61" s="197" t="str">
        <f t="shared" si="77"/>
        <v xml:space="preserve"> +</v>
      </c>
      <c r="AF61" s="197" t="str">
        <f t="shared" si="78"/>
        <v xml:space="preserve"> +</v>
      </c>
      <c r="AG61" s="192"/>
      <c r="AH61" s="197" t="str">
        <f t="shared" si="79"/>
        <v xml:space="preserve"> +</v>
      </c>
      <c r="AI61" s="197" t="str">
        <f t="shared" si="80"/>
        <v xml:space="preserve"> +</v>
      </c>
      <c r="AJ61" s="197" t="str">
        <f t="shared" si="81"/>
        <v xml:space="preserve"> +</v>
      </c>
      <c r="AK61" s="197" t="str">
        <f t="shared" si="82"/>
        <v xml:space="preserve"> +</v>
      </c>
      <c r="AL61" s="192"/>
      <c r="AM61" s="197" t="str">
        <f t="shared" si="59"/>
        <v xml:space="preserve"> - </v>
      </c>
      <c r="AN61" s="197" t="str">
        <f t="shared" si="60"/>
        <v xml:space="preserve"> - </v>
      </c>
      <c r="AO61" s="197" t="str">
        <f t="shared" si="61"/>
        <v xml:space="preserve"> - </v>
      </c>
      <c r="AP61" s="192"/>
      <c r="AQ61" s="197" t="str">
        <f t="shared" si="62"/>
        <v xml:space="preserve"> - </v>
      </c>
      <c r="AR61" s="192"/>
      <c r="AS61" s="212" t="str">
        <f t="shared" si="83"/>
        <v xml:space="preserve"> +</v>
      </c>
      <c r="AT61" s="212" t="str">
        <f t="shared" si="84"/>
        <v xml:space="preserve"> +</v>
      </c>
      <c r="AU61" s="212" t="str">
        <f t="shared" si="85"/>
        <v xml:space="preserve"> +</v>
      </c>
      <c r="AV61" s="212" t="str">
        <f t="shared" si="86"/>
        <v xml:space="preserve"> +</v>
      </c>
      <c r="AW61" s="247"/>
      <c r="AX61" s="212" t="str">
        <f t="shared" si="87"/>
        <v xml:space="preserve"> +</v>
      </c>
      <c r="AY61" s="212" t="str">
        <f t="shared" si="88"/>
        <v xml:space="preserve"> +</v>
      </c>
      <c r="AZ61" s="212" t="str">
        <f t="shared" si="89"/>
        <v xml:space="preserve"> - </v>
      </c>
      <c r="BA61" s="212" t="str">
        <f t="shared" si="90"/>
        <v xml:space="preserve"> - </v>
      </c>
      <c r="BB61" s="247"/>
      <c r="BC61" s="247"/>
      <c r="BD61" s="247"/>
      <c r="BE61" s="247"/>
      <c r="BF61" s="247"/>
      <c r="BG61" s="247"/>
      <c r="BH61" s="212" t="str">
        <f t="shared" si="50"/>
        <v xml:space="preserve"> - </v>
      </c>
      <c r="BI61" s="212" t="str">
        <f t="shared" si="51"/>
        <v xml:space="preserve"> - </v>
      </c>
      <c r="BJ61" s="212" t="str">
        <f t="shared" si="52"/>
        <v xml:space="preserve"> - </v>
      </c>
      <c r="BK61" s="212" t="str">
        <f t="shared" si="53"/>
        <v xml:space="preserve"> - </v>
      </c>
      <c r="BL61" s="192"/>
      <c r="BM61" s="135">
        <v>61</v>
      </c>
    </row>
    <row r="62" spans="1:65" x14ac:dyDescent="0.3">
      <c r="A62" s="366"/>
      <c r="B62" s="181" t="s">
        <v>294</v>
      </c>
      <c r="C62" s="135">
        <v>60</v>
      </c>
      <c r="D62" s="192"/>
      <c r="E62" s="214" t="s">
        <v>298</v>
      </c>
      <c r="F62" s="214" t="s">
        <v>298</v>
      </c>
      <c r="G62" s="214" t="s">
        <v>298</v>
      </c>
      <c r="H62" s="214" t="s">
        <v>298</v>
      </c>
      <c r="I62" s="214" t="s">
        <v>298</v>
      </c>
      <c r="J62" s="192"/>
      <c r="K62" s="214" t="s">
        <v>298</v>
      </c>
      <c r="L62" s="214" t="s">
        <v>298</v>
      </c>
      <c r="M62" s="214" t="s">
        <v>298</v>
      </c>
      <c r="N62" s="214" t="s">
        <v>299</v>
      </c>
      <c r="O62" s="214" t="s">
        <v>299</v>
      </c>
      <c r="P62" s="192"/>
      <c r="Q62" s="214" t="s">
        <v>299</v>
      </c>
      <c r="R62" s="214" t="s">
        <v>299</v>
      </c>
      <c r="S62" s="214" t="s">
        <v>299</v>
      </c>
      <c r="T62" s="214" t="s">
        <v>299</v>
      </c>
      <c r="U62" s="214" t="s">
        <v>299</v>
      </c>
      <c r="V62" s="192"/>
      <c r="W62" s="212" t="str">
        <f t="shared" si="54"/>
        <v xml:space="preserve"> - </v>
      </c>
      <c r="X62" s="212" t="str">
        <f t="shared" si="55"/>
        <v xml:space="preserve"> - </v>
      </c>
      <c r="Y62" s="212" t="str">
        <f t="shared" si="56"/>
        <v xml:space="preserve"> - </v>
      </c>
      <c r="Z62" s="212" t="str">
        <f t="shared" si="57"/>
        <v xml:space="preserve"> - </v>
      </c>
      <c r="AA62" s="212" t="str">
        <f t="shared" si="58"/>
        <v xml:space="preserve"> - </v>
      </c>
      <c r="AB62" s="192"/>
      <c r="AC62" s="197" t="str">
        <f t="shared" si="75"/>
        <v xml:space="preserve"> +</v>
      </c>
      <c r="AD62" s="197" t="str">
        <f t="shared" si="76"/>
        <v xml:space="preserve"> +</v>
      </c>
      <c r="AE62" s="197" t="str">
        <f t="shared" si="77"/>
        <v xml:space="preserve"> +</v>
      </c>
      <c r="AF62" s="197" t="str">
        <f t="shared" si="78"/>
        <v xml:space="preserve"> +</v>
      </c>
      <c r="AG62" s="192"/>
      <c r="AH62" s="197" t="str">
        <f t="shared" si="79"/>
        <v xml:space="preserve"> +</v>
      </c>
      <c r="AI62" s="197" t="str">
        <f t="shared" si="80"/>
        <v xml:space="preserve"> +</v>
      </c>
      <c r="AJ62" s="197" t="str">
        <f t="shared" si="81"/>
        <v xml:space="preserve"> +</v>
      </c>
      <c r="AK62" s="197" t="str">
        <f t="shared" si="82"/>
        <v xml:space="preserve"> - </v>
      </c>
      <c r="AL62" s="192"/>
      <c r="AM62" s="197" t="str">
        <f t="shared" si="59"/>
        <v xml:space="preserve"> - </v>
      </c>
      <c r="AN62" s="197" t="str">
        <f t="shared" si="60"/>
        <v xml:space="preserve"> - </v>
      </c>
      <c r="AO62" s="197" t="str">
        <f t="shared" si="61"/>
        <v xml:space="preserve"> - </v>
      </c>
      <c r="AP62" s="192"/>
      <c r="AQ62" s="197" t="str">
        <f t="shared" si="62"/>
        <v xml:space="preserve"> - </v>
      </c>
      <c r="AR62" s="192"/>
      <c r="AS62" s="212" t="str">
        <f t="shared" si="83"/>
        <v xml:space="preserve"> +</v>
      </c>
      <c r="AT62" s="212" t="str">
        <f t="shared" si="84"/>
        <v xml:space="preserve"> +</v>
      </c>
      <c r="AU62" s="212" t="str">
        <f t="shared" si="85"/>
        <v xml:space="preserve"> +</v>
      </c>
      <c r="AV62" s="212" t="str">
        <f t="shared" si="86"/>
        <v xml:space="preserve"> +</v>
      </c>
      <c r="AW62" s="247"/>
      <c r="AX62" s="212" t="str">
        <f t="shared" si="87"/>
        <v xml:space="preserve"> - </v>
      </c>
      <c r="AY62" s="212" t="str">
        <f t="shared" si="88"/>
        <v xml:space="preserve"> - </v>
      </c>
      <c r="AZ62" s="212" t="str">
        <f t="shared" si="89"/>
        <v xml:space="preserve"> - </v>
      </c>
      <c r="BA62" s="212" t="str">
        <f t="shared" si="90"/>
        <v xml:space="preserve"> - </v>
      </c>
      <c r="BB62" s="247"/>
      <c r="BC62" s="247"/>
      <c r="BD62" s="247"/>
      <c r="BE62" s="247"/>
      <c r="BF62" s="247"/>
      <c r="BG62" s="247"/>
      <c r="BH62" s="212" t="str">
        <f t="shared" si="50"/>
        <v xml:space="preserve"> - </v>
      </c>
      <c r="BI62" s="212" t="str">
        <f t="shared" si="51"/>
        <v xml:space="preserve"> - </v>
      </c>
      <c r="BJ62" s="212" t="str">
        <f t="shared" si="52"/>
        <v xml:space="preserve"> - </v>
      </c>
      <c r="BK62" s="212" t="str">
        <f t="shared" si="53"/>
        <v xml:space="preserve"> - </v>
      </c>
      <c r="BL62" s="192"/>
      <c r="BM62" s="135">
        <v>62</v>
      </c>
    </row>
    <row r="63" spans="1:65" x14ac:dyDescent="0.3">
      <c r="A63" s="366"/>
      <c r="B63" s="181" t="s">
        <v>42</v>
      </c>
      <c r="C63" s="135">
        <v>61</v>
      </c>
      <c r="D63" s="192"/>
      <c r="E63" s="214" t="s">
        <v>298</v>
      </c>
      <c r="F63" s="214" t="s">
        <v>298</v>
      </c>
      <c r="G63" s="214" t="s">
        <v>298</v>
      </c>
      <c r="H63" s="214" t="s">
        <v>298</v>
      </c>
      <c r="I63" s="214" t="s">
        <v>299</v>
      </c>
      <c r="J63" s="192"/>
      <c r="K63" s="214" t="s">
        <v>299</v>
      </c>
      <c r="L63" s="214" t="s">
        <v>299</v>
      </c>
      <c r="M63" s="214" t="s">
        <v>299</v>
      </c>
      <c r="N63" s="214" t="s">
        <v>299</v>
      </c>
      <c r="O63" s="214" t="s">
        <v>299</v>
      </c>
      <c r="P63" s="192"/>
      <c r="Q63" s="214" t="s">
        <v>299</v>
      </c>
      <c r="R63" s="214" t="s">
        <v>299</v>
      </c>
      <c r="S63" s="214" t="s">
        <v>299</v>
      </c>
      <c r="T63" s="214" t="s">
        <v>299</v>
      </c>
      <c r="U63" s="214" t="s">
        <v>299</v>
      </c>
      <c r="V63" s="192"/>
      <c r="W63" s="212" t="str">
        <f t="shared" si="54"/>
        <v xml:space="preserve"> - </v>
      </c>
      <c r="X63" s="212" t="str">
        <f t="shared" si="55"/>
        <v xml:space="preserve"> - </v>
      </c>
      <c r="Y63" s="212" t="str">
        <f t="shared" si="56"/>
        <v xml:space="preserve"> - </v>
      </c>
      <c r="Z63" s="212" t="str">
        <f t="shared" si="57"/>
        <v xml:space="preserve"> - </v>
      </c>
      <c r="AA63" s="212" t="str">
        <f t="shared" si="58"/>
        <v xml:space="preserve"> - </v>
      </c>
      <c r="AB63" s="192"/>
      <c r="AC63" s="197" t="str">
        <f t="shared" si="75"/>
        <v xml:space="preserve"> +</v>
      </c>
      <c r="AD63" s="197" t="str">
        <f t="shared" si="76"/>
        <v xml:space="preserve"> +</v>
      </c>
      <c r="AE63" s="197" t="str">
        <f t="shared" si="77"/>
        <v xml:space="preserve"> +</v>
      </c>
      <c r="AF63" s="197" t="str">
        <f t="shared" si="78"/>
        <v xml:space="preserve"> +</v>
      </c>
      <c r="AG63" s="192"/>
      <c r="AH63" s="197" t="str">
        <f t="shared" si="79"/>
        <v xml:space="preserve"> - </v>
      </c>
      <c r="AI63" s="197" t="str">
        <f t="shared" si="80"/>
        <v xml:space="preserve"> - </v>
      </c>
      <c r="AJ63" s="197" t="str">
        <f t="shared" si="81"/>
        <v xml:space="preserve"> - </v>
      </c>
      <c r="AK63" s="197" t="str">
        <f t="shared" si="82"/>
        <v xml:space="preserve"> - </v>
      </c>
      <c r="AL63" s="192"/>
      <c r="AM63" s="197" t="str">
        <f t="shared" si="59"/>
        <v xml:space="preserve"> - </v>
      </c>
      <c r="AN63" s="197" t="str">
        <f t="shared" si="60"/>
        <v xml:space="preserve"> - </v>
      </c>
      <c r="AO63" s="197" t="str">
        <f t="shared" si="61"/>
        <v xml:space="preserve"> - </v>
      </c>
      <c r="AP63" s="192"/>
      <c r="AQ63" s="197" t="str">
        <f t="shared" si="62"/>
        <v xml:space="preserve"> - </v>
      </c>
      <c r="AR63" s="192"/>
      <c r="AS63" s="212" t="str">
        <f t="shared" si="83"/>
        <v xml:space="preserve"> +</v>
      </c>
      <c r="AT63" s="212" t="str">
        <f t="shared" si="84"/>
        <v xml:space="preserve"> +</v>
      </c>
      <c r="AU63" s="212" t="str">
        <f t="shared" si="85"/>
        <v xml:space="preserve"> - </v>
      </c>
      <c r="AV63" s="212" t="str">
        <f t="shared" si="86"/>
        <v xml:space="preserve"> - </v>
      </c>
      <c r="AW63" s="247"/>
      <c r="AX63" s="212" t="str">
        <f t="shared" si="87"/>
        <v xml:space="preserve"> - </v>
      </c>
      <c r="AY63" s="212" t="str">
        <f t="shared" si="88"/>
        <v xml:space="preserve"> - </v>
      </c>
      <c r="AZ63" s="212" t="str">
        <f t="shared" si="89"/>
        <v xml:space="preserve"> - </v>
      </c>
      <c r="BA63" s="212" t="str">
        <f t="shared" si="90"/>
        <v xml:space="preserve"> - </v>
      </c>
      <c r="BB63" s="247"/>
      <c r="BC63" s="247"/>
      <c r="BD63" s="247"/>
      <c r="BE63" s="247"/>
      <c r="BF63" s="247"/>
      <c r="BG63" s="247"/>
      <c r="BH63" s="212" t="str">
        <f t="shared" si="50"/>
        <v xml:space="preserve"> - </v>
      </c>
      <c r="BI63" s="212" t="str">
        <f t="shared" si="51"/>
        <v xml:space="preserve"> - </v>
      </c>
      <c r="BJ63" s="212" t="str">
        <f t="shared" si="52"/>
        <v xml:space="preserve"> - </v>
      </c>
      <c r="BK63" s="212" t="str">
        <f t="shared" si="53"/>
        <v xml:space="preserve"> - </v>
      </c>
      <c r="BL63" s="192"/>
      <c r="BM63" s="135">
        <v>63</v>
      </c>
    </row>
    <row r="64" spans="1:65" x14ac:dyDescent="0.3">
      <c r="A64" s="366"/>
      <c r="B64" s="181" t="s">
        <v>176</v>
      </c>
      <c r="C64" s="135">
        <v>62</v>
      </c>
      <c r="D64" s="192"/>
      <c r="E64" s="214" t="s">
        <v>298</v>
      </c>
      <c r="F64" s="214" t="s">
        <v>298</v>
      </c>
      <c r="G64" s="214" t="s">
        <v>298</v>
      </c>
      <c r="H64" s="214" t="s">
        <v>299</v>
      </c>
      <c r="I64" s="214" t="s">
        <v>299</v>
      </c>
      <c r="J64" s="192"/>
      <c r="K64" s="214" t="s">
        <v>299</v>
      </c>
      <c r="L64" s="214" t="s">
        <v>299</v>
      </c>
      <c r="M64" s="214" t="s">
        <v>299</v>
      </c>
      <c r="N64" s="214" t="s">
        <v>299</v>
      </c>
      <c r="O64" s="214" t="s">
        <v>299</v>
      </c>
      <c r="P64" s="192"/>
      <c r="Q64" s="214" t="s">
        <v>299</v>
      </c>
      <c r="R64" s="214" t="s">
        <v>299</v>
      </c>
      <c r="S64" s="214" t="s">
        <v>299</v>
      </c>
      <c r="T64" s="214" t="s">
        <v>299</v>
      </c>
      <c r="U64" s="214" t="s">
        <v>299</v>
      </c>
      <c r="V64" s="192"/>
      <c r="W64" s="212" t="str">
        <f t="shared" si="54"/>
        <v xml:space="preserve"> - </v>
      </c>
      <c r="X64" s="212" t="str">
        <f t="shared" si="55"/>
        <v xml:space="preserve"> - </v>
      </c>
      <c r="Y64" s="212" t="str">
        <f t="shared" si="56"/>
        <v xml:space="preserve"> - </v>
      </c>
      <c r="Z64" s="212" t="str">
        <f t="shared" si="57"/>
        <v xml:space="preserve"> - </v>
      </c>
      <c r="AA64" s="212" t="str">
        <f t="shared" si="58"/>
        <v xml:space="preserve"> - </v>
      </c>
      <c r="AB64" s="192"/>
      <c r="AC64" s="197" t="str">
        <f t="shared" si="75"/>
        <v xml:space="preserve"> +</v>
      </c>
      <c r="AD64" s="197" t="str">
        <f t="shared" si="76"/>
        <v xml:space="preserve"> +</v>
      </c>
      <c r="AE64" s="197" t="str">
        <f t="shared" si="77"/>
        <v xml:space="preserve"> +</v>
      </c>
      <c r="AF64" s="197" t="str">
        <f t="shared" si="78"/>
        <v xml:space="preserve"> - </v>
      </c>
      <c r="AG64" s="192"/>
      <c r="AH64" s="197" t="str">
        <f t="shared" si="79"/>
        <v xml:space="preserve"> - </v>
      </c>
      <c r="AI64" s="197" t="str">
        <f t="shared" si="80"/>
        <v xml:space="preserve"> - </v>
      </c>
      <c r="AJ64" s="197" t="str">
        <f t="shared" si="81"/>
        <v xml:space="preserve"> - </v>
      </c>
      <c r="AK64" s="197" t="str">
        <f t="shared" si="82"/>
        <v xml:space="preserve"> - </v>
      </c>
      <c r="AL64" s="192"/>
      <c r="AM64" s="197" t="str">
        <f t="shared" si="59"/>
        <v xml:space="preserve"> - </v>
      </c>
      <c r="AN64" s="197" t="str">
        <f t="shared" si="60"/>
        <v xml:space="preserve"> - </v>
      </c>
      <c r="AO64" s="197" t="str">
        <f t="shared" si="61"/>
        <v xml:space="preserve"> - </v>
      </c>
      <c r="AP64" s="192"/>
      <c r="AQ64" s="197" t="str">
        <f t="shared" si="62"/>
        <v xml:space="preserve"> - </v>
      </c>
      <c r="AR64" s="192"/>
      <c r="AS64" s="212" t="str">
        <f t="shared" si="83"/>
        <v xml:space="preserve"> - </v>
      </c>
      <c r="AT64" s="212" t="str">
        <f t="shared" si="84"/>
        <v xml:space="preserve"> - </v>
      </c>
      <c r="AU64" s="212" t="str">
        <f t="shared" si="85"/>
        <v xml:space="preserve"> - </v>
      </c>
      <c r="AV64" s="212" t="str">
        <f t="shared" si="86"/>
        <v xml:space="preserve"> - </v>
      </c>
      <c r="AW64" s="247"/>
      <c r="AX64" s="212" t="str">
        <f t="shared" si="87"/>
        <v xml:space="preserve"> - </v>
      </c>
      <c r="AY64" s="212" t="str">
        <f t="shared" si="88"/>
        <v xml:space="preserve"> - </v>
      </c>
      <c r="AZ64" s="212" t="str">
        <f t="shared" si="89"/>
        <v xml:space="preserve"> - </v>
      </c>
      <c r="BA64" s="212" t="str">
        <f t="shared" si="90"/>
        <v xml:space="preserve"> - </v>
      </c>
      <c r="BB64" s="247"/>
      <c r="BC64" s="247"/>
      <c r="BD64" s="247"/>
      <c r="BE64" s="247"/>
      <c r="BF64" s="247"/>
      <c r="BG64" s="247"/>
      <c r="BH64" s="212" t="str">
        <f t="shared" si="50"/>
        <v xml:space="preserve"> - </v>
      </c>
      <c r="BI64" s="212" t="str">
        <f t="shared" si="51"/>
        <v xml:space="preserve"> - </v>
      </c>
      <c r="BJ64" s="212" t="str">
        <f t="shared" si="52"/>
        <v xml:space="preserve"> - </v>
      </c>
      <c r="BK64" s="212" t="str">
        <f t="shared" si="53"/>
        <v xml:space="preserve"> - </v>
      </c>
      <c r="BL64" s="192"/>
      <c r="BM64" s="135">
        <v>64</v>
      </c>
    </row>
    <row r="65" spans="1:65" x14ac:dyDescent="0.3">
      <c r="A65" s="366"/>
      <c r="B65" s="181" t="s">
        <v>295</v>
      </c>
      <c r="C65" s="135">
        <v>63</v>
      </c>
      <c r="D65" s="192"/>
      <c r="E65" s="214" t="s">
        <v>298</v>
      </c>
      <c r="F65" s="214" t="s">
        <v>298</v>
      </c>
      <c r="G65" s="214" t="s">
        <v>298</v>
      </c>
      <c r="H65" s="214" t="s">
        <v>299</v>
      </c>
      <c r="I65" s="214" t="s">
        <v>299</v>
      </c>
      <c r="J65" s="192"/>
      <c r="K65" s="214" t="s">
        <v>299</v>
      </c>
      <c r="L65" s="214" t="s">
        <v>299</v>
      </c>
      <c r="M65" s="214" t="s">
        <v>299</v>
      </c>
      <c r="N65" s="214" t="s">
        <v>299</v>
      </c>
      <c r="O65" s="214" t="s">
        <v>299</v>
      </c>
      <c r="P65" s="192"/>
      <c r="Q65" s="214" t="s">
        <v>299</v>
      </c>
      <c r="R65" s="214" t="s">
        <v>299</v>
      </c>
      <c r="S65" s="214" t="s">
        <v>299</v>
      </c>
      <c r="T65" s="214" t="s">
        <v>299</v>
      </c>
      <c r="U65" s="214" t="s">
        <v>299</v>
      </c>
      <c r="V65" s="192"/>
      <c r="W65" s="212" t="str">
        <f t="shared" si="54"/>
        <v xml:space="preserve"> - </v>
      </c>
      <c r="X65" s="212" t="str">
        <f t="shared" si="55"/>
        <v xml:space="preserve"> - </v>
      </c>
      <c r="Y65" s="212" t="str">
        <f t="shared" si="56"/>
        <v xml:space="preserve"> - </v>
      </c>
      <c r="Z65" s="212" t="str">
        <f t="shared" si="57"/>
        <v xml:space="preserve"> - </v>
      </c>
      <c r="AA65" s="212" t="str">
        <f t="shared" si="58"/>
        <v xml:space="preserve"> - </v>
      </c>
      <c r="AB65" s="192"/>
      <c r="AC65" s="197" t="str">
        <f t="shared" si="75"/>
        <v xml:space="preserve"> +</v>
      </c>
      <c r="AD65" s="197" t="str">
        <f t="shared" si="76"/>
        <v xml:space="preserve"> +</v>
      </c>
      <c r="AE65" s="197" t="str">
        <f t="shared" si="77"/>
        <v xml:space="preserve"> +</v>
      </c>
      <c r="AF65" s="197" t="str">
        <f t="shared" si="78"/>
        <v xml:space="preserve"> - </v>
      </c>
      <c r="AG65" s="192"/>
      <c r="AH65" s="197" t="str">
        <f t="shared" si="79"/>
        <v xml:space="preserve"> - </v>
      </c>
      <c r="AI65" s="197" t="str">
        <f t="shared" si="80"/>
        <v xml:space="preserve"> - </v>
      </c>
      <c r="AJ65" s="197" t="str">
        <f t="shared" si="81"/>
        <v xml:space="preserve"> - </v>
      </c>
      <c r="AK65" s="197" t="str">
        <f t="shared" si="82"/>
        <v xml:space="preserve"> - </v>
      </c>
      <c r="AL65" s="192"/>
      <c r="AM65" s="197" t="str">
        <f t="shared" si="59"/>
        <v xml:space="preserve"> - </v>
      </c>
      <c r="AN65" s="197" t="str">
        <f t="shared" si="60"/>
        <v xml:space="preserve"> - </v>
      </c>
      <c r="AO65" s="197" t="str">
        <f t="shared" si="61"/>
        <v xml:space="preserve"> - </v>
      </c>
      <c r="AP65" s="192"/>
      <c r="AQ65" s="197" t="str">
        <f t="shared" si="62"/>
        <v xml:space="preserve"> - </v>
      </c>
      <c r="AR65" s="192"/>
      <c r="AS65" s="212" t="str">
        <f t="shared" si="83"/>
        <v xml:space="preserve"> - </v>
      </c>
      <c r="AT65" s="212" t="str">
        <f t="shared" si="84"/>
        <v xml:space="preserve"> - </v>
      </c>
      <c r="AU65" s="212" t="str">
        <f t="shared" si="85"/>
        <v xml:space="preserve"> - </v>
      </c>
      <c r="AV65" s="212" t="str">
        <f t="shared" si="86"/>
        <v xml:space="preserve"> - </v>
      </c>
      <c r="AW65" s="247"/>
      <c r="AX65" s="212" t="str">
        <f t="shared" si="87"/>
        <v xml:space="preserve"> - </v>
      </c>
      <c r="AY65" s="212" t="str">
        <f t="shared" si="88"/>
        <v xml:space="preserve"> - </v>
      </c>
      <c r="AZ65" s="212" t="str">
        <f t="shared" si="89"/>
        <v xml:space="preserve"> - </v>
      </c>
      <c r="BA65" s="212" t="str">
        <f t="shared" si="90"/>
        <v xml:space="preserve"> - </v>
      </c>
      <c r="BB65" s="247"/>
      <c r="BC65" s="247"/>
      <c r="BD65" s="247"/>
      <c r="BE65" s="247"/>
      <c r="BF65" s="247"/>
      <c r="BG65" s="247"/>
      <c r="BH65" s="212" t="str">
        <f t="shared" si="50"/>
        <v xml:space="preserve"> - </v>
      </c>
      <c r="BI65" s="212" t="str">
        <f t="shared" si="51"/>
        <v xml:space="preserve"> - </v>
      </c>
      <c r="BJ65" s="212" t="str">
        <f t="shared" si="52"/>
        <v xml:space="preserve"> - </v>
      </c>
      <c r="BK65" s="212" t="str">
        <f t="shared" si="53"/>
        <v xml:space="preserve"> - </v>
      </c>
      <c r="BL65" s="192"/>
      <c r="BM65" s="135">
        <v>65</v>
      </c>
    </row>
    <row r="66" spans="1:65" x14ac:dyDescent="0.3">
      <c r="A66" s="366"/>
      <c r="B66" s="181" t="s">
        <v>222</v>
      </c>
      <c r="C66" s="135">
        <v>64</v>
      </c>
      <c r="D66" s="192"/>
      <c r="E66" s="214" t="s">
        <v>298</v>
      </c>
      <c r="F66" s="214" t="s">
        <v>298</v>
      </c>
      <c r="G66" s="214" t="s">
        <v>298</v>
      </c>
      <c r="H66" s="214" t="s">
        <v>299</v>
      </c>
      <c r="I66" s="214" t="s">
        <v>299</v>
      </c>
      <c r="J66" s="192"/>
      <c r="K66" s="214" t="s">
        <v>299</v>
      </c>
      <c r="L66" s="214" t="s">
        <v>299</v>
      </c>
      <c r="M66" s="214" t="s">
        <v>299</v>
      </c>
      <c r="N66" s="214" t="s">
        <v>299</v>
      </c>
      <c r="O66" s="214" t="s">
        <v>299</v>
      </c>
      <c r="P66" s="192"/>
      <c r="Q66" s="214" t="s">
        <v>299</v>
      </c>
      <c r="R66" s="214" t="s">
        <v>299</v>
      </c>
      <c r="S66" s="214" t="s">
        <v>299</v>
      </c>
      <c r="T66" s="214" t="s">
        <v>299</v>
      </c>
      <c r="U66" s="214" t="s">
        <v>299</v>
      </c>
      <c r="V66" s="192"/>
      <c r="W66" s="212" t="str">
        <f t="shared" si="54"/>
        <v xml:space="preserve"> - </v>
      </c>
      <c r="X66" s="212" t="str">
        <f t="shared" si="55"/>
        <v xml:space="preserve"> - </v>
      </c>
      <c r="Y66" s="212" t="str">
        <f t="shared" si="56"/>
        <v xml:space="preserve"> - </v>
      </c>
      <c r="Z66" s="212" t="str">
        <f t="shared" si="57"/>
        <v xml:space="preserve"> - </v>
      </c>
      <c r="AA66" s="212" t="str">
        <f t="shared" si="58"/>
        <v xml:space="preserve"> - </v>
      </c>
      <c r="AB66" s="192"/>
      <c r="AC66" s="197" t="str">
        <f t="shared" si="75"/>
        <v xml:space="preserve"> +</v>
      </c>
      <c r="AD66" s="197" t="str">
        <f t="shared" si="76"/>
        <v xml:space="preserve"> +</v>
      </c>
      <c r="AE66" s="197" t="str">
        <f t="shared" si="77"/>
        <v xml:space="preserve"> +</v>
      </c>
      <c r="AF66" s="197" t="str">
        <f t="shared" si="78"/>
        <v xml:space="preserve"> - </v>
      </c>
      <c r="AG66" s="192"/>
      <c r="AH66" s="197" t="str">
        <f t="shared" si="79"/>
        <v xml:space="preserve"> - </v>
      </c>
      <c r="AI66" s="197" t="str">
        <f t="shared" si="80"/>
        <v xml:space="preserve"> - </v>
      </c>
      <c r="AJ66" s="197" t="str">
        <f t="shared" si="81"/>
        <v xml:space="preserve"> - </v>
      </c>
      <c r="AK66" s="197" t="str">
        <f t="shared" si="82"/>
        <v xml:space="preserve"> - </v>
      </c>
      <c r="AL66" s="192"/>
      <c r="AM66" s="197" t="str">
        <f t="shared" si="59"/>
        <v xml:space="preserve"> - </v>
      </c>
      <c r="AN66" s="197" t="str">
        <f t="shared" si="60"/>
        <v xml:space="preserve"> - </v>
      </c>
      <c r="AO66" s="197" t="str">
        <f t="shared" si="61"/>
        <v xml:space="preserve"> - </v>
      </c>
      <c r="AP66" s="192"/>
      <c r="AQ66" s="197" t="str">
        <f t="shared" si="62"/>
        <v xml:space="preserve"> - </v>
      </c>
      <c r="AR66" s="192"/>
      <c r="AS66" s="212" t="str">
        <f t="shared" si="83"/>
        <v xml:space="preserve"> - </v>
      </c>
      <c r="AT66" s="212" t="str">
        <f t="shared" si="84"/>
        <v xml:space="preserve"> - </v>
      </c>
      <c r="AU66" s="212" t="str">
        <f t="shared" si="85"/>
        <v xml:space="preserve"> - </v>
      </c>
      <c r="AV66" s="212" t="str">
        <f t="shared" si="86"/>
        <v xml:space="preserve"> - </v>
      </c>
      <c r="AW66" s="247"/>
      <c r="AX66" s="212" t="str">
        <f t="shared" si="87"/>
        <v xml:space="preserve"> - </v>
      </c>
      <c r="AY66" s="212" t="str">
        <f t="shared" si="88"/>
        <v xml:space="preserve"> - </v>
      </c>
      <c r="AZ66" s="212" t="str">
        <f t="shared" si="89"/>
        <v xml:space="preserve"> - </v>
      </c>
      <c r="BA66" s="212" t="str">
        <f t="shared" si="90"/>
        <v xml:space="preserve"> - </v>
      </c>
      <c r="BB66" s="247"/>
      <c r="BC66" s="247"/>
      <c r="BD66" s="247"/>
      <c r="BE66" s="247"/>
      <c r="BF66" s="247"/>
      <c r="BG66" s="247"/>
      <c r="BH66" s="212" t="str">
        <f t="shared" si="50"/>
        <v xml:space="preserve"> - </v>
      </c>
      <c r="BI66" s="212" t="str">
        <f t="shared" si="51"/>
        <v xml:space="preserve"> - </v>
      </c>
      <c r="BJ66" s="212" t="str">
        <f t="shared" si="52"/>
        <v xml:space="preserve"> - </v>
      </c>
      <c r="BK66" s="212" t="str">
        <f t="shared" si="53"/>
        <v xml:space="preserve"> - </v>
      </c>
      <c r="BL66" s="192"/>
      <c r="BM66" s="135">
        <v>66</v>
      </c>
    </row>
    <row r="67" spans="1:65" ht="14.4" thickBot="1" x14ac:dyDescent="0.35">
      <c r="A67" s="367"/>
      <c r="B67" s="182" t="s">
        <v>296</v>
      </c>
      <c r="C67" s="135">
        <v>65</v>
      </c>
      <c r="D67" s="194"/>
      <c r="E67" s="216" t="s">
        <v>298</v>
      </c>
      <c r="F67" s="216" t="s">
        <v>298</v>
      </c>
      <c r="G67" s="216" t="s">
        <v>298</v>
      </c>
      <c r="H67" s="216" t="s">
        <v>299</v>
      </c>
      <c r="I67" s="216" t="s">
        <v>299</v>
      </c>
      <c r="J67" s="194"/>
      <c r="K67" s="216" t="s">
        <v>299</v>
      </c>
      <c r="L67" s="216" t="s">
        <v>299</v>
      </c>
      <c r="M67" s="216" t="s">
        <v>299</v>
      </c>
      <c r="N67" s="216" t="s">
        <v>299</v>
      </c>
      <c r="O67" s="216" t="s">
        <v>299</v>
      </c>
      <c r="P67" s="194"/>
      <c r="Q67" s="177" t="s">
        <v>299</v>
      </c>
      <c r="R67" s="177" t="s">
        <v>299</v>
      </c>
      <c r="S67" s="177" t="s">
        <v>299</v>
      </c>
      <c r="T67" s="177" t="s">
        <v>299</v>
      </c>
      <c r="U67" s="177" t="s">
        <v>299</v>
      </c>
      <c r="V67" s="194"/>
      <c r="W67" s="217" t="str">
        <f t="shared" si="54"/>
        <v xml:space="preserve"> - </v>
      </c>
      <c r="X67" s="217" t="str">
        <f t="shared" si="55"/>
        <v xml:space="preserve"> - </v>
      </c>
      <c r="Y67" s="217" t="str">
        <f t="shared" si="56"/>
        <v xml:space="preserve"> - </v>
      </c>
      <c r="Z67" s="217" t="str">
        <f t="shared" si="57"/>
        <v xml:space="preserve"> - </v>
      </c>
      <c r="AA67" s="217" t="str">
        <f t="shared" si="58"/>
        <v xml:space="preserve"> - </v>
      </c>
      <c r="AB67" s="194"/>
      <c r="AC67" s="199" t="str">
        <f t="shared" si="75"/>
        <v xml:space="preserve"> +</v>
      </c>
      <c r="AD67" s="199" t="str">
        <f t="shared" si="76"/>
        <v xml:space="preserve"> +</v>
      </c>
      <c r="AE67" s="199" t="str">
        <f t="shared" si="77"/>
        <v xml:space="preserve"> +</v>
      </c>
      <c r="AF67" s="199" t="str">
        <f t="shared" si="78"/>
        <v xml:space="preserve"> - </v>
      </c>
      <c r="AG67" s="194"/>
      <c r="AH67" s="199" t="str">
        <f t="shared" si="79"/>
        <v xml:space="preserve"> - </v>
      </c>
      <c r="AI67" s="199" t="str">
        <f t="shared" si="80"/>
        <v xml:space="preserve"> - </v>
      </c>
      <c r="AJ67" s="199" t="str">
        <f t="shared" si="81"/>
        <v xml:space="preserve"> - </v>
      </c>
      <c r="AK67" s="199" t="str">
        <f t="shared" si="82"/>
        <v xml:space="preserve"> - </v>
      </c>
      <c r="AL67" s="194"/>
      <c r="AM67" s="199" t="str">
        <f t="shared" si="59"/>
        <v xml:space="preserve"> - </v>
      </c>
      <c r="AN67" s="199" t="str">
        <f t="shared" si="60"/>
        <v xml:space="preserve"> - </v>
      </c>
      <c r="AO67" s="199" t="str">
        <f t="shared" si="61"/>
        <v xml:space="preserve"> - </v>
      </c>
      <c r="AP67" s="194"/>
      <c r="AQ67" s="199" t="str">
        <f t="shared" si="62"/>
        <v xml:space="preserve"> - </v>
      </c>
      <c r="AR67" s="194"/>
      <c r="AS67" s="217" t="str">
        <f t="shared" si="83"/>
        <v xml:space="preserve"> - </v>
      </c>
      <c r="AT67" s="217" t="str">
        <f t="shared" si="84"/>
        <v xml:space="preserve"> - </v>
      </c>
      <c r="AU67" s="217" t="str">
        <f t="shared" si="85"/>
        <v xml:space="preserve"> - </v>
      </c>
      <c r="AV67" s="217" t="str">
        <f t="shared" si="86"/>
        <v xml:space="preserve"> - </v>
      </c>
      <c r="AW67" s="248"/>
      <c r="AX67" s="217" t="str">
        <f t="shared" si="87"/>
        <v xml:space="preserve"> - </v>
      </c>
      <c r="AY67" s="217" t="str">
        <f t="shared" si="88"/>
        <v xml:space="preserve"> - </v>
      </c>
      <c r="AZ67" s="217" t="str">
        <f t="shared" si="89"/>
        <v xml:space="preserve"> - </v>
      </c>
      <c r="BA67" s="217" t="str">
        <f t="shared" si="90"/>
        <v xml:space="preserve"> - </v>
      </c>
      <c r="BB67" s="248"/>
      <c r="BC67" s="248"/>
      <c r="BD67" s="248"/>
      <c r="BE67" s="248"/>
      <c r="BF67" s="248"/>
      <c r="BG67" s="248"/>
      <c r="BH67" s="217" t="str">
        <f t="shared" si="50"/>
        <v xml:space="preserve"> - </v>
      </c>
      <c r="BI67" s="217" t="str">
        <f t="shared" si="51"/>
        <v xml:space="preserve"> - </v>
      </c>
      <c r="BJ67" s="217" t="str">
        <f t="shared" si="52"/>
        <v xml:space="preserve"> - </v>
      </c>
      <c r="BK67" s="217" t="str">
        <f t="shared" si="53"/>
        <v xml:space="preserve"> - </v>
      </c>
      <c r="BL67" s="194"/>
      <c r="BM67" s="135">
        <v>67</v>
      </c>
    </row>
    <row r="68" spans="1:65" s="147" customFormat="1" ht="13.95" customHeight="1" x14ac:dyDescent="0.3">
      <c r="A68" s="364" t="s">
        <v>45</v>
      </c>
      <c r="B68" s="137" t="s">
        <v>255</v>
      </c>
      <c r="C68" s="135">
        <v>66</v>
      </c>
      <c r="D68" s="195"/>
      <c r="E68" s="228" t="s">
        <v>54</v>
      </c>
      <c r="F68" s="228" t="s">
        <v>54</v>
      </c>
      <c r="G68" s="228" t="s">
        <v>54</v>
      </c>
      <c r="H68" s="228" t="s">
        <v>54</v>
      </c>
      <c r="I68" s="228" t="s">
        <v>54</v>
      </c>
      <c r="J68" s="195"/>
      <c r="K68" s="228" t="s">
        <v>54</v>
      </c>
      <c r="L68" s="228" t="s">
        <v>54</v>
      </c>
      <c r="M68" s="228" t="s">
        <v>54</v>
      </c>
      <c r="N68" s="228" t="s">
        <v>54</v>
      </c>
      <c r="O68" s="228" t="s">
        <v>54</v>
      </c>
      <c r="P68" s="195"/>
      <c r="Q68" s="228" t="s">
        <v>54</v>
      </c>
      <c r="R68" s="228" t="s">
        <v>54</v>
      </c>
      <c r="S68" s="228" t="s">
        <v>54</v>
      </c>
      <c r="T68" s="228" t="s">
        <v>54</v>
      </c>
      <c r="U68" s="228" t="s">
        <v>54</v>
      </c>
      <c r="V68" s="195"/>
      <c r="W68" s="213" t="str">
        <f>Q68</f>
        <v>+</v>
      </c>
      <c r="X68" s="213" t="str">
        <f t="shared" si="55"/>
        <v>+</v>
      </c>
      <c r="Y68" s="213" t="str">
        <f t="shared" si="56"/>
        <v>+</v>
      </c>
      <c r="Z68" s="213" t="str">
        <f t="shared" si="57"/>
        <v>+</v>
      </c>
      <c r="AA68" s="213" t="str">
        <f t="shared" si="58"/>
        <v>+</v>
      </c>
      <c r="AB68" s="195"/>
      <c r="AC68" s="197" t="str">
        <f t="shared" si="75"/>
        <v>+</v>
      </c>
      <c r="AD68" s="197" t="str">
        <f t="shared" si="76"/>
        <v>+</v>
      </c>
      <c r="AE68" s="197" t="str">
        <f t="shared" si="77"/>
        <v>+</v>
      </c>
      <c r="AF68" s="197" t="str">
        <f t="shared" si="78"/>
        <v>+</v>
      </c>
      <c r="AG68" s="195"/>
      <c r="AH68" s="197" t="str">
        <f t="shared" si="79"/>
        <v>+</v>
      </c>
      <c r="AI68" s="197" t="str">
        <f t="shared" si="80"/>
        <v>+</v>
      </c>
      <c r="AJ68" s="197" t="str">
        <f t="shared" si="81"/>
        <v>+</v>
      </c>
      <c r="AK68" s="197" t="str">
        <f t="shared" si="82"/>
        <v>+</v>
      </c>
      <c r="AL68" s="195"/>
      <c r="AM68" s="197" t="str">
        <f t="shared" ref="AM68:AM83" si="113">Q68</f>
        <v>+</v>
      </c>
      <c r="AN68" s="197" t="str">
        <f t="shared" ref="AN68:AN83" si="114">R68</f>
        <v>+</v>
      </c>
      <c r="AO68" s="197" t="str">
        <f t="shared" ref="AO68:AO83" si="115">S68</f>
        <v>+</v>
      </c>
      <c r="AP68" s="192"/>
      <c r="AQ68" s="197" t="str">
        <f t="shared" ref="AQ68:AQ83" si="116">Z68</f>
        <v>+</v>
      </c>
      <c r="AR68" s="195"/>
      <c r="AS68" s="212" t="str">
        <f t="shared" si="83"/>
        <v>+</v>
      </c>
      <c r="AT68" s="212" t="str">
        <f t="shared" si="84"/>
        <v>+</v>
      </c>
      <c r="AU68" s="212" t="str">
        <f t="shared" si="85"/>
        <v>+</v>
      </c>
      <c r="AV68" s="212" t="str">
        <f t="shared" si="86"/>
        <v>+</v>
      </c>
      <c r="AW68" s="249"/>
      <c r="AX68" s="212" t="str">
        <f t="shared" si="87"/>
        <v>+</v>
      </c>
      <c r="AY68" s="212" t="str">
        <f t="shared" si="88"/>
        <v>+</v>
      </c>
      <c r="AZ68" s="212" t="str">
        <f t="shared" si="89"/>
        <v>+</v>
      </c>
      <c r="BA68" s="212" t="str">
        <f t="shared" si="90"/>
        <v>+</v>
      </c>
      <c r="BB68" s="249"/>
      <c r="BC68" s="250" t="str">
        <f>H68</f>
        <v>+</v>
      </c>
      <c r="BD68" s="250" t="str">
        <f>H68</f>
        <v>+</v>
      </c>
      <c r="BE68" s="250" t="str">
        <f>I68</f>
        <v>+</v>
      </c>
      <c r="BF68" s="250" t="str">
        <f>I68</f>
        <v>+</v>
      </c>
      <c r="BG68" s="249"/>
      <c r="BH68" s="212" t="str">
        <f t="shared" si="50"/>
        <v>+</v>
      </c>
      <c r="BI68" s="212" t="str">
        <f t="shared" si="51"/>
        <v>+</v>
      </c>
      <c r="BJ68" s="212" t="str">
        <f t="shared" si="52"/>
        <v>+</v>
      </c>
      <c r="BK68" s="212" t="str">
        <f t="shared" si="53"/>
        <v>+</v>
      </c>
      <c r="BL68" s="195"/>
      <c r="BM68" s="135">
        <v>68</v>
      </c>
    </row>
    <row r="69" spans="1:65" s="147" customFormat="1" ht="13.95" customHeight="1" x14ac:dyDescent="0.3">
      <c r="A69" s="364"/>
      <c r="B69" s="137" t="s">
        <v>265</v>
      </c>
      <c r="C69" s="135">
        <v>67</v>
      </c>
      <c r="D69" s="195"/>
      <c r="E69" s="228" t="s">
        <v>55</v>
      </c>
      <c r="F69" s="228" t="s">
        <v>55</v>
      </c>
      <c r="G69" s="228" t="s">
        <v>55</v>
      </c>
      <c r="H69" s="228" t="s">
        <v>55</v>
      </c>
      <c r="I69" s="228" t="s">
        <v>55</v>
      </c>
      <c r="J69" s="195"/>
      <c r="K69" s="228" t="s">
        <v>55</v>
      </c>
      <c r="L69" s="228" t="s">
        <v>55</v>
      </c>
      <c r="M69" s="228" t="s">
        <v>55</v>
      </c>
      <c r="N69" s="228" t="s">
        <v>55</v>
      </c>
      <c r="O69" s="228" t="s">
        <v>55</v>
      </c>
      <c r="P69" s="195"/>
      <c r="Q69" s="228" t="s">
        <v>55</v>
      </c>
      <c r="R69" s="228" t="s">
        <v>55</v>
      </c>
      <c r="S69" s="228" t="s">
        <v>55</v>
      </c>
      <c r="T69" s="228" t="s">
        <v>55</v>
      </c>
      <c r="U69" s="228" t="s">
        <v>55</v>
      </c>
      <c r="V69" s="195"/>
      <c r="W69" s="213" t="str">
        <f>Q69</f>
        <v>-</v>
      </c>
      <c r="X69" s="213" t="str">
        <f t="shared" si="55"/>
        <v>-</v>
      </c>
      <c r="Y69" s="213" t="str">
        <f t="shared" si="56"/>
        <v>-</v>
      </c>
      <c r="Z69" s="213" t="str">
        <f t="shared" si="57"/>
        <v>-</v>
      </c>
      <c r="AA69" s="213" t="str">
        <f t="shared" si="58"/>
        <v>-</v>
      </c>
      <c r="AB69" s="195"/>
      <c r="AC69" s="246" t="s">
        <v>54</v>
      </c>
      <c r="AD69" s="246" t="s">
        <v>54</v>
      </c>
      <c r="AE69" s="246" t="s">
        <v>54</v>
      </c>
      <c r="AF69" s="246" t="s">
        <v>54</v>
      </c>
      <c r="AG69" s="195"/>
      <c r="AH69" s="246" t="s">
        <v>54</v>
      </c>
      <c r="AI69" s="246" t="s">
        <v>54</v>
      </c>
      <c r="AJ69" s="246" t="s">
        <v>54</v>
      </c>
      <c r="AK69" s="246" t="s">
        <v>54</v>
      </c>
      <c r="AL69" s="195"/>
      <c r="AM69" s="246" t="s">
        <v>54</v>
      </c>
      <c r="AN69" s="246" t="s">
        <v>54</v>
      </c>
      <c r="AO69" s="246" t="s">
        <v>54</v>
      </c>
      <c r="AP69" s="192"/>
      <c r="AQ69" s="246" t="s">
        <v>54</v>
      </c>
      <c r="AR69" s="195"/>
      <c r="AS69" s="246" t="s">
        <v>55</v>
      </c>
      <c r="AT69" s="246" t="s">
        <v>54</v>
      </c>
      <c r="AU69" s="246" t="s">
        <v>55</v>
      </c>
      <c r="AV69" s="246" t="s">
        <v>54</v>
      </c>
      <c r="AW69" s="195"/>
      <c r="AX69" s="246" t="s">
        <v>55</v>
      </c>
      <c r="AY69" s="246" t="s">
        <v>54</v>
      </c>
      <c r="AZ69" s="246" t="s">
        <v>55</v>
      </c>
      <c r="BA69" s="246" t="s">
        <v>54</v>
      </c>
      <c r="BB69" s="195"/>
      <c r="BC69" s="246" t="s">
        <v>55</v>
      </c>
      <c r="BD69" s="246" t="s">
        <v>54</v>
      </c>
      <c r="BE69" s="246" t="s">
        <v>55</v>
      </c>
      <c r="BF69" s="246" t="s">
        <v>54</v>
      </c>
      <c r="BG69" s="195"/>
      <c r="BH69" s="246" t="s">
        <v>55</v>
      </c>
      <c r="BI69" s="246" t="s">
        <v>54</v>
      </c>
      <c r="BJ69" s="246" t="s">
        <v>55</v>
      </c>
      <c r="BK69" s="246" t="s">
        <v>54</v>
      </c>
      <c r="BL69" s="195"/>
      <c r="BM69" s="135">
        <v>69</v>
      </c>
    </row>
    <row r="70" spans="1:65" s="147" customFormat="1" ht="13.95" customHeight="1" x14ac:dyDescent="0.3">
      <c r="A70" s="364"/>
      <c r="B70" s="147" t="s">
        <v>52</v>
      </c>
      <c r="C70" s="135">
        <v>68</v>
      </c>
      <c r="D70" s="196"/>
      <c r="E70" s="228" t="s">
        <v>54</v>
      </c>
      <c r="F70" s="228" t="s">
        <v>54</v>
      </c>
      <c r="G70" s="228" t="s">
        <v>54</v>
      </c>
      <c r="H70" s="228" t="s">
        <v>54</v>
      </c>
      <c r="I70" s="228" t="s">
        <v>54</v>
      </c>
      <c r="J70" s="195"/>
      <c r="K70" s="228" t="s">
        <v>54</v>
      </c>
      <c r="L70" s="228" t="s">
        <v>54</v>
      </c>
      <c r="M70" s="228" t="s">
        <v>54</v>
      </c>
      <c r="N70" s="228" t="s">
        <v>54</v>
      </c>
      <c r="O70" s="228" t="s">
        <v>54</v>
      </c>
      <c r="P70" s="195"/>
      <c r="Q70" s="228" t="s">
        <v>54</v>
      </c>
      <c r="R70" s="228" t="s">
        <v>54</v>
      </c>
      <c r="S70" s="228" t="s">
        <v>54</v>
      </c>
      <c r="T70" s="228" t="s">
        <v>54</v>
      </c>
      <c r="U70" s="228" t="s">
        <v>54</v>
      </c>
      <c r="V70" s="195"/>
      <c r="W70" s="213" t="str">
        <f t="shared" ref="W70:W82" si="117">Q70</f>
        <v>+</v>
      </c>
      <c r="X70" s="213" t="str">
        <f t="shared" si="55"/>
        <v>+</v>
      </c>
      <c r="Y70" s="213" t="str">
        <f t="shared" si="56"/>
        <v>+</v>
      </c>
      <c r="Z70" s="213" t="str">
        <f t="shared" si="57"/>
        <v>+</v>
      </c>
      <c r="AA70" s="213" t="str">
        <f t="shared" si="58"/>
        <v>+</v>
      </c>
      <c r="AB70" s="196"/>
      <c r="AC70" s="197" t="str">
        <f t="shared" ref="AC70:AC83" si="118">E70</f>
        <v>+</v>
      </c>
      <c r="AD70" s="197" t="str">
        <f t="shared" ref="AD70:AD83" si="119">F70</f>
        <v>+</v>
      </c>
      <c r="AE70" s="197" t="str">
        <f t="shared" ref="AE70:AE83" si="120">G70</f>
        <v>+</v>
      </c>
      <c r="AF70" s="197" t="str">
        <f t="shared" ref="AF70:AF83" si="121">H70</f>
        <v>+</v>
      </c>
      <c r="AG70" s="195"/>
      <c r="AH70" s="197" t="str">
        <f t="shared" ref="AH70:AH83" si="122">K70</f>
        <v>+</v>
      </c>
      <c r="AI70" s="197" t="str">
        <f t="shared" ref="AI70:AI83" si="123">L70</f>
        <v>+</v>
      </c>
      <c r="AJ70" s="197" t="str">
        <f t="shared" ref="AJ70:AJ83" si="124">M70</f>
        <v>+</v>
      </c>
      <c r="AK70" s="197" t="str">
        <f t="shared" ref="AK70:AK83" si="125">N70</f>
        <v>+</v>
      </c>
      <c r="AL70" s="195"/>
      <c r="AM70" s="197" t="str">
        <f t="shared" si="113"/>
        <v>+</v>
      </c>
      <c r="AN70" s="197" t="str">
        <f t="shared" si="114"/>
        <v>+</v>
      </c>
      <c r="AO70" s="197" t="str">
        <f t="shared" si="115"/>
        <v>+</v>
      </c>
      <c r="AP70" s="192"/>
      <c r="AQ70" s="197" t="str">
        <f t="shared" si="116"/>
        <v>+</v>
      </c>
      <c r="AR70" s="196"/>
      <c r="AS70" s="212" t="str">
        <f t="shared" ref="AS70:AS83" si="126">H70</f>
        <v>+</v>
      </c>
      <c r="AT70" s="212" t="str">
        <f t="shared" ref="AT70:AT83" si="127">H70</f>
        <v>+</v>
      </c>
      <c r="AU70" s="212" t="str">
        <f t="shared" ref="AU70:AU83" si="128">I70</f>
        <v>+</v>
      </c>
      <c r="AV70" s="212" t="str">
        <f t="shared" ref="AV70:AV83" si="129">I70</f>
        <v>+</v>
      </c>
      <c r="AW70" s="249"/>
      <c r="AX70" s="212" t="str">
        <f t="shared" ref="AX70:AX83" si="130">N70</f>
        <v>+</v>
      </c>
      <c r="AY70" s="212" t="str">
        <f t="shared" ref="AY70:AY83" si="131">N70</f>
        <v>+</v>
      </c>
      <c r="AZ70" s="212" t="str">
        <f t="shared" ref="AZ70:AZ83" si="132">O70</f>
        <v>+</v>
      </c>
      <c r="BA70" s="212" t="str">
        <f t="shared" ref="BA70:BA83" si="133">O70</f>
        <v>+</v>
      </c>
      <c r="BB70" s="249"/>
      <c r="BC70" s="250" t="str">
        <f t="shared" ref="BC70:BC83" si="134">H70</f>
        <v>+</v>
      </c>
      <c r="BD70" s="250" t="str">
        <f t="shared" ref="BD70:BD83" si="135">H70</f>
        <v>+</v>
      </c>
      <c r="BE70" s="250" t="str">
        <f t="shared" ref="BE70:BE83" si="136">I70</f>
        <v>+</v>
      </c>
      <c r="BF70" s="250" t="str">
        <f t="shared" ref="BF70:BF83" si="137">I70</f>
        <v>+</v>
      </c>
      <c r="BG70" s="249"/>
      <c r="BH70" s="212" t="str">
        <f t="shared" si="50"/>
        <v>+</v>
      </c>
      <c r="BI70" s="212" t="str">
        <f t="shared" si="51"/>
        <v>+</v>
      </c>
      <c r="BJ70" s="212" t="str">
        <f t="shared" si="52"/>
        <v>+</v>
      </c>
      <c r="BK70" s="212" t="str">
        <f t="shared" si="53"/>
        <v>+</v>
      </c>
      <c r="BL70" s="196"/>
      <c r="BM70" s="135">
        <v>70</v>
      </c>
    </row>
    <row r="71" spans="1:65" x14ac:dyDescent="0.3">
      <c r="A71" s="364"/>
      <c r="B71" s="137" t="s">
        <v>254</v>
      </c>
      <c r="C71" s="135">
        <v>69</v>
      </c>
      <c r="D71" s="196"/>
      <c r="E71" s="228" t="s">
        <v>54</v>
      </c>
      <c r="F71" s="228" t="s">
        <v>54</v>
      </c>
      <c r="G71" s="228" t="s">
        <v>54</v>
      </c>
      <c r="H71" s="228" t="s">
        <v>54</v>
      </c>
      <c r="I71" s="228" t="s">
        <v>54</v>
      </c>
      <c r="J71" s="195"/>
      <c r="K71" s="228" t="s">
        <v>54</v>
      </c>
      <c r="L71" s="228" t="s">
        <v>54</v>
      </c>
      <c r="M71" s="228" t="s">
        <v>54</v>
      </c>
      <c r="N71" s="228" t="s">
        <v>54</v>
      </c>
      <c r="O71" s="228" t="s">
        <v>54</v>
      </c>
      <c r="P71" s="195"/>
      <c r="Q71" s="228" t="s">
        <v>54</v>
      </c>
      <c r="R71" s="228" t="s">
        <v>54</v>
      </c>
      <c r="S71" s="228" t="s">
        <v>54</v>
      </c>
      <c r="T71" s="228" t="s">
        <v>54</v>
      </c>
      <c r="U71" s="228" t="s">
        <v>54</v>
      </c>
      <c r="V71" s="195"/>
      <c r="W71" s="213" t="str">
        <f t="shared" si="117"/>
        <v>+</v>
      </c>
      <c r="X71" s="213" t="str">
        <f t="shared" si="55"/>
        <v>+</v>
      </c>
      <c r="Y71" s="213" t="str">
        <f t="shared" si="56"/>
        <v>+</v>
      </c>
      <c r="Z71" s="213" t="str">
        <f t="shared" si="57"/>
        <v>+</v>
      </c>
      <c r="AA71" s="213" t="str">
        <f t="shared" si="58"/>
        <v>+</v>
      </c>
      <c r="AB71" s="196"/>
      <c r="AC71" s="197" t="str">
        <f t="shared" si="118"/>
        <v>+</v>
      </c>
      <c r="AD71" s="197" t="str">
        <f t="shared" si="119"/>
        <v>+</v>
      </c>
      <c r="AE71" s="197" t="str">
        <f t="shared" si="120"/>
        <v>+</v>
      </c>
      <c r="AF71" s="197" t="str">
        <f t="shared" si="121"/>
        <v>+</v>
      </c>
      <c r="AG71" s="195"/>
      <c r="AH71" s="197" t="str">
        <f t="shared" si="122"/>
        <v>+</v>
      </c>
      <c r="AI71" s="197" t="str">
        <f t="shared" si="123"/>
        <v>+</v>
      </c>
      <c r="AJ71" s="197" t="str">
        <f t="shared" si="124"/>
        <v>+</v>
      </c>
      <c r="AK71" s="197" t="str">
        <f t="shared" si="125"/>
        <v>+</v>
      </c>
      <c r="AL71" s="195"/>
      <c r="AM71" s="197" t="str">
        <f t="shared" si="113"/>
        <v>+</v>
      </c>
      <c r="AN71" s="197" t="str">
        <f t="shared" si="114"/>
        <v>+</v>
      </c>
      <c r="AO71" s="197" t="str">
        <f t="shared" si="115"/>
        <v>+</v>
      </c>
      <c r="AP71" s="192"/>
      <c r="AQ71" s="197" t="str">
        <f t="shared" si="116"/>
        <v>+</v>
      </c>
      <c r="AR71" s="196"/>
      <c r="AS71" s="212" t="str">
        <f t="shared" si="126"/>
        <v>+</v>
      </c>
      <c r="AT71" s="212" t="str">
        <f t="shared" si="127"/>
        <v>+</v>
      </c>
      <c r="AU71" s="212" t="str">
        <f t="shared" si="128"/>
        <v>+</v>
      </c>
      <c r="AV71" s="212" t="str">
        <f t="shared" si="129"/>
        <v>+</v>
      </c>
      <c r="AW71" s="249"/>
      <c r="AX71" s="212" t="str">
        <f t="shared" si="130"/>
        <v>+</v>
      </c>
      <c r="AY71" s="212" t="str">
        <f t="shared" si="131"/>
        <v>+</v>
      </c>
      <c r="AZ71" s="212" t="str">
        <f t="shared" si="132"/>
        <v>+</v>
      </c>
      <c r="BA71" s="212" t="str">
        <f t="shared" si="133"/>
        <v>+</v>
      </c>
      <c r="BB71" s="249"/>
      <c r="BC71" s="250" t="str">
        <f t="shared" si="134"/>
        <v>+</v>
      </c>
      <c r="BD71" s="250" t="str">
        <f t="shared" si="135"/>
        <v>+</v>
      </c>
      <c r="BE71" s="250" t="str">
        <f t="shared" si="136"/>
        <v>+</v>
      </c>
      <c r="BF71" s="250" t="str">
        <f t="shared" si="137"/>
        <v>+</v>
      </c>
      <c r="BG71" s="249"/>
      <c r="BH71" s="212" t="str">
        <f t="shared" ref="BH71:BH83" si="138">T71</f>
        <v>+</v>
      </c>
      <c r="BI71" s="212" t="str">
        <f t="shared" ref="BI71:BI83" si="139">T71</f>
        <v>+</v>
      </c>
      <c r="BJ71" s="212" t="str">
        <f t="shared" ref="BJ71:BJ83" si="140">U71</f>
        <v>+</v>
      </c>
      <c r="BK71" s="212" t="str">
        <f t="shared" ref="BK71:BK83" si="141">U71</f>
        <v>+</v>
      </c>
      <c r="BL71" s="196"/>
      <c r="BM71" s="135">
        <v>71</v>
      </c>
    </row>
    <row r="72" spans="1:65" x14ac:dyDescent="0.3">
      <c r="A72" s="364"/>
      <c r="B72" s="137" t="s">
        <v>177</v>
      </c>
      <c r="C72" s="135">
        <v>70</v>
      </c>
      <c r="D72" s="196"/>
      <c r="E72" s="228" t="s">
        <v>54</v>
      </c>
      <c r="F72" s="228" t="s">
        <v>54</v>
      </c>
      <c r="G72" s="228" t="s">
        <v>54</v>
      </c>
      <c r="H72" s="228" t="s">
        <v>55</v>
      </c>
      <c r="I72" s="228" t="s">
        <v>55</v>
      </c>
      <c r="J72" s="195"/>
      <c r="K72" s="228" t="s">
        <v>54</v>
      </c>
      <c r="L72" s="228" t="s">
        <v>54</v>
      </c>
      <c r="M72" s="228" t="s">
        <v>54</v>
      </c>
      <c r="N72" s="228" t="s">
        <v>55</v>
      </c>
      <c r="O72" s="228" t="s">
        <v>55</v>
      </c>
      <c r="P72" s="195"/>
      <c r="Q72" s="228" t="s">
        <v>54</v>
      </c>
      <c r="R72" s="228" t="s">
        <v>54</v>
      </c>
      <c r="S72" s="228" t="s">
        <v>54</v>
      </c>
      <c r="T72" s="228" t="s">
        <v>55</v>
      </c>
      <c r="U72" s="228" t="s">
        <v>55</v>
      </c>
      <c r="V72" s="195"/>
      <c r="W72" s="213" t="str">
        <f t="shared" si="117"/>
        <v>+</v>
      </c>
      <c r="X72" s="213" t="str">
        <f t="shared" si="55"/>
        <v>+</v>
      </c>
      <c r="Y72" s="213" t="str">
        <f t="shared" si="56"/>
        <v>+</v>
      </c>
      <c r="Z72" s="213" t="str">
        <f t="shared" si="57"/>
        <v>-</v>
      </c>
      <c r="AA72" s="213" t="str">
        <f t="shared" si="58"/>
        <v>-</v>
      </c>
      <c r="AB72" s="196"/>
      <c r="AC72" s="197" t="str">
        <f t="shared" si="118"/>
        <v>+</v>
      </c>
      <c r="AD72" s="197" t="str">
        <f t="shared" si="119"/>
        <v>+</v>
      </c>
      <c r="AE72" s="197" t="str">
        <f t="shared" si="120"/>
        <v>+</v>
      </c>
      <c r="AF72" s="197" t="str">
        <f t="shared" si="121"/>
        <v>-</v>
      </c>
      <c r="AG72" s="195"/>
      <c r="AH72" s="197" t="str">
        <f t="shared" si="122"/>
        <v>+</v>
      </c>
      <c r="AI72" s="197" t="str">
        <f t="shared" si="123"/>
        <v>+</v>
      </c>
      <c r="AJ72" s="197" t="str">
        <f t="shared" si="124"/>
        <v>+</v>
      </c>
      <c r="AK72" s="197" t="str">
        <f t="shared" si="125"/>
        <v>-</v>
      </c>
      <c r="AL72" s="195"/>
      <c r="AM72" s="197" t="str">
        <f t="shared" si="113"/>
        <v>+</v>
      </c>
      <c r="AN72" s="197" t="str">
        <f t="shared" si="114"/>
        <v>+</v>
      </c>
      <c r="AO72" s="197" t="str">
        <f t="shared" si="115"/>
        <v>+</v>
      </c>
      <c r="AP72" s="192"/>
      <c r="AQ72" s="197" t="str">
        <f t="shared" si="116"/>
        <v>-</v>
      </c>
      <c r="AR72" s="196"/>
      <c r="AS72" s="212" t="str">
        <f t="shared" si="126"/>
        <v>-</v>
      </c>
      <c r="AT72" s="212" t="str">
        <f t="shared" si="127"/>
        <v>-</v>
      </c>
      <c r="AU72" s="212" t="str">
        <f t="shared" si="128"/>
        <v>-</v>
      </c>
      <c r="AV72" s="212" t="str">
        <f t="shared" si="129"/>
        <v>-</v>
      </c>
      <c r="AW72" s="249"/>
      <c r="AX72" s="212" t="str">
        <f t="shared" si="130"/>
        <v>-</v>
      </c>
      <c r="AY72" s="212" t="str">
        <f t="shared" si="131"/>
        <v>-</v>
      </c>
      <c r="AZ72" s="212" t="str">
        <f t="shared" si="132"/>
        <v>-</v>
      </c>
      <c r="BA72" s="212" t="str">
        <f t="shared" si="133"/>
        <v>-</v>
      </c>
      <c r="BB72" s="249"/>
      <c r="BC72" s="250" t="str">
        <f t="shared" si="134"/>
        <v>-</v>
      </c>
      <c r="BD72" s="250" t="str">
        <f t="shared" si="135"/>
        <v>-</v>
      </c>
      <c r="BE72" s="250" t="str">
        <f t="shared" si="136"/>
        <v>-</v>
      </c>
      <c r="BF72" s="250" t="str">
        <f t="shared" si="137"/>
        <v>-</v>
      </c>
      <c r="BG72" s="249"/>
      <c r="BH72" s="212" t="str">
        <f t="shared" si="138"/>
        <v>-</v>
      </c>
      <c r="BI72" s="212" t="str">
        <f t="shared" si="139"/>
        <v>-</v>
      </c>
      <c r="BJ72" s="212" t="str">
        <f t="shared" si="140"/>
        <v>-</v>
      </c>
      <c r="BK72" s="212" t="str">
        <f t="shared" si="141"/>
        <v>-</v>
      </c>
      <c r="BL72" s="196"/>
      <c r="BM72" s="135">
        <v>72</v>
      </c>
    </row>
    <row r="73" spans="1:65" x14ac:dyDescent="0.3">
      <c r="A73" s="364"/>
      <c r="B73" s="137" t="s">
        <v>178</v>
      </c>
      <c r="C73" s="135">
        <v>71</v>
      </c>
      <c r="D73" s="196"/>
      <c r="E73" s="228" t="s">
        <v>54</v>
      </c>
      <c r="F73" s="228" t="s">
        <v>54</v>
      </c>
      <c r="G73" s="228" t="s">
        <v>55</v>
      </c>
      <c r="H73" s="228" t="s">
        <v>55</v>
      </c>
      <c r="I73" s="228" t="s">
        <v>55</v>
      </c>
      <c r="J73" s="195"/>
      <c r="K73" s="228" t="s">
        <v>54</v>
      </c>
      <c r="L73" s="228" t="s">
        <v>54</v>
      </c>
      <c r="M73" s="228" t="s">
        <v>55</v>
      </c>
      <c r="N73" s="228" t="s">
        <v>55</v>
      </c>
      <c r="O73" s="228" t="s">
        <v>55</v>
      </c>
      <c r="P73" s="195"/>
      <c r="Q73" s="228" t="s">
        <v>54</v>
      </c>
      <c r="R73" s="228" t="s">
        <v>54</v>
      </c>
      <c r="S73" s="228" t="s">
        <v>55</v>
      </c>
      <c r="T73" s="228" t="s">
        <v>55</v>
      </c>
      <c r="U73" s="228" t="s">
        <v>55</v>
      </c>
      <c r="V73" s="195"/>
      <c r="W73" s="213" t="str">
        <f t="shared" si="117"/>
        <v>+</v>
      </c>
      <c r="X73" s="213" t="str">
        <f t="shared" si="55"/>
        <v>+</v>
      </c>
      <c r="Y73" s="213" t="str">
        <f t="shared" si="56"/>
        <v>-</v>
      </c>
      <c r="Z73" s="213" t="str">
        <f t="shared" si="57"/>
        <v>-</v>
      </c>
      <c r="AA73" s="213" t="str">
        <f t="shared" si="58"/>
        <v>-</v>
      </c>
      <c r="AB73" s="196"/>
      <c r="AC73" s="197" t="str">
        <f t="shared" si="118"/>
        <v>+</v>
      </c>
      <c r="AD73" s="197" t="str">
        <f t="shared" si="119"/>
        <v>+</v>
      </c>
      <c r="AE73" s="197" t="str">
        <f t="shared" si="120"/>
        <v>-</v>
      </c>
      <c r="AF73" s="197" t="str">
        <f t="shared" si="121"/>
        <v>-</v>
      </c>
      <c r="AG73" s="195"/>
      <c r="AH73" s="197" t="str">
        <f t="shared" si="122"/>
        <v>+</v>
      </c>
      <c r="AI73" s="197" t="str">
        <f t="shared" si="123"/>
        <v>+</v>
      </c>
      <c r="AJ73" s="197" t="str">
        <f t="shared" si="124"/>
        <v>-</v>
      </c>
      <c r="AK73" s="197" t="str">
        <f t="shared" si="125"/>
        <v>-</v>
      </c>
      <c r="AL73" s="195"/>
      <c r="AM73" s="197" t="str">
        <f t="shared" si="113"/>
        <v>+</v>
      </c>
      <c r="AN73" s="197" t="str">
        <f t="shared" si="114"/>
        <v>+</v>
      </c>
      <c r="AO73" s="197" t="str">
        <f t="shared" si="115"/>
        <v>-</v>
      </c>
      <c r="AP73" s="192"/>
      <c r="AQ73" s="197" t="str">
        <f t="shared" si="116"/>
        <v>-</v>
      </c>
      <c r="AR73" s="196"/>
      <c r="AS73" s="212" t="str">
        <f t="shared" si="126"/>
        <v>-</v>
      </c>
      <c r="AT73" s="212" t="str">
        <f t="shared" si="127"/>
        <v>-</v>
      </c>
      <c r="AU73" s="212" t="str">
        <f t="shared" si="128"/>
        <v>-</v>
      </c>
      <c r="AV73" s="212" t="str">
        <f t="shared" si="129"/>
        <v>-</v>
      </c>
      <c r="AW73" s="249"/>
      <c r="AX73" s="212" t="str">
        <f t="shared" si="130"/>
        <v>-</v>
      </c>
      <c r="AY73" s="212" t="str">
        <f t="shared" si="131"/>
        <v>-</v>
      </c>
      <c r="AZ73" s="212" t="str">
        <f t="shared" si="132"/>
        <v>-</v>
      </c>
      <c r="BA73" s="212" t="str">
        <f t="shared" si="133"/>
        <v>-</v>
      </c>
      <c r="BB73" s="249"/>
      <c r="BC73" s="250" t="str">
        <f t="shared" si="134"/>
        <v>-</v>
      </c>
      <c r="BD73" s="250" t="str">
        <f t="shared" si="135"/>
        <v>-</v>
      </c>
      <c r="BE73" s="250" t="str">
        <f t="shared" si="136"/>
        <v>-</v>
      </c>
      <c r="BF73" s="250" t="str">
        <f t="shared" si="137"/>
        <v>-</v>
      </c>
      <c r="BG73" s="249"/>
      <c r="BH73" s="212" t="str">
        <f t="shared" si="138"/>
        <v>-</v>
      </c>
      <c r="BI73" s="212" t="str">
        <f t="shared" si="139"/>
        <v>-</v>
      </c>
      <c r="BJ73" s="212" t="str">
        <f t="shared" si="140"/>
        <v>-</v>
      </c>
      <c r="BK73" s="212" t="str">
        <f t="shared" si="141"/>
        <v>-</v>
      </c>
      <c r="BL73" s="196"/>
      <c r="BM73" s="135">
        <v>73</v>
      </c>
    </row>
    <row r="74" spans="1:65" x14ac:dyDescent="0.3">
      <c r="A74" s="364"/>
      <c r="B74" s="137" t="s">
        <v>179</v>
      </c>
      <c r="C74" s="135">
        <v>72</v>
      </c>
      <c r="D74" s="196"/>
      <c r="E74" s="228" t="s">
        <v>54</v>
      </c>
      <c r="F74" s="228" t="s">
        <v>54</v>
      </c>
      <c r="G74" s="228" t="s">
        <v>54</v>
      </c>
      <c r="H74" s="228" t="s">
        <v>54</v>
      </c>
      <c r="I74" s="228" t="s">
        <v>54</v>
      </c>
      <c r="J74" s="195"/>
      <c r="K74" s="228" t="s">
        <v>54</v>
      </c>
      <c r="L74" s="228" t="s">
        <v>54</v>
      </c>
      <c r="M74" s="228" t="s">
        <v>54</v>
      </c>
      <c r="N74" s="228" t="s">
        <v>54</v>
      </c>
      <c r="O74" s="228" t="s">
        <v>54</v>
      </c>
      <c r="P74" s="195"/>
      <c r="Q74" s="228" t="s">
        <v>55</v>
      </c>
      <c r="R74" s="228" t="s">
        <v>55</v>
      </c>
      <c r="S74" s="228" t="s">
        <v>55</v>
      </c>
      <c r="T74" s="228" t="s">
        <v>55</v>
      </c>
      <c r="U74" s="228" t="s">
        <v>55</v>
      </c>
      <c r="V74" s="195"/>
      <c r="W74" s="213" t="str">
        <f t="shared" si="117"/>
        <v>-</v>
      </c>
      <c r="X74" s="213" t="str">
        <f t="shared" ref="X74:X83" si="142">R74</f>
        <v>-</v>
      </c>
      <c r="Y74" s="213" t="str">
        <f t="shared" ref="Y74:Y83" si="143">S74</f>
        <v>-</v>
      </c>
      <c r="Z74" s="213" t="str">
        <f t="shared" ref="Z74:Z83" si="144">T74</f>
        <v>-</v>
      </c>
      <c r="AA74" s="213" t="str">
        <f t="shared" ref="AA74:AA83" si="145">U74</f>
        <v>-</v>
      </c>
      <c r="AB74" s="196"/>
      <c r="AC74" s="197" t="str">
        <f t="shared" si="118"/>
        <v>+</v>
      </c>
      <c r="AD74" s="197" t="str">
        <f t="shared" si="119"/>
        <v>+</v>
      </c>
      <c r="AE74" s="197" t="str">
        <f t="shared" si="120"/>
        <v>+</v>
      </c>
      <c r="AF74" s="197" t="str">
        <f t="shared" si="121"/>
        <v>+</v>
      </c>
      <c r="AG74" s="195"/>
      <c r="AH74" s="197" t="str">
        <f t="shared" si="122"/>
        <v>+</v>
      </c>
      <c r="AI74" s="197" t="str">
        <f t="shared" si="123"/>
        <v>+</v>
      </c>
      <c r="AJ74" s="197" t="str">
        <f t="shared" si="124"/>
        <v>+</v>
      </c>
      <c r="AK74" s="197" t="str">
        <f t="shared" si="125"/>
        <v>+</v>
      </c>
      <c r="AL74" s="195"/>
      <c r="AM74" s="197" t="str">
        <f t="shared" si="113"/>
        <v>-</v>
      </c>
      <c r="AN74" s="197" t="str">
        <f t="shared" si="114"/>
        <v>-</v>
      </c>
      <c r="AO74" s="197" t="str">
        <f t="shared" si="115"/>
        <v>-</v>
      </c>
      <c r="AP74" s="192"/>
      <c r="AQ74" s="197" t="str">
        <f t="shared" si="116"/>
        <v>-</v>
      </c>
      <c r="AR74" s="196"/>
      <c r="AS74" s="212" t="str">
        <f t="shared" si="126"/>
        <v>+</v>
      </c>
      <c r="AT74" s="212" t="str">
        <f t="shared" si="127"/>
        <v>+</v>
      </c>
      <c r="AU74" s="212" t="str">
        <f t="shared" si="128"/>
        <v>+</v>
      </c>
      <c r="AV74" s="212" t="str">
        <f t="shared" si="129"/>
        <v>+</v>
      </c>
      <c r="AW74" s="249"/>
      <c r="AX74" s="212" t="str">
        <f t="shared" si="130"/>
        <v>+</v>
      </c>
      <c r="AY74" s="212" t="str">
        <f t="shared" si="131"/>
        <v>+</v>
      </c>
      <c r="AZ74" s="212" t="str">
        <f t="shared" si="132"/>
        <v>+</v>
      </c>
      <c r="BA74" s="212" t="str">
        <f t="shared" si="133"/>
        <v>+</v>
      </c>
      <c r="BB74" s="249"/>
      <c r="BC74" s="250" t="str">
        <f t="shared" si="134"/>
        <v>+</v>
      </c>
      <c r="BD74" s="250" t="str">
        <f t="shared" si="135"/>
        <v>+</v>
      </c>
      <c r="BE74" s="250" t="str">
        <f t="shared" si="136"/>
        <v>+</v>
      </c>
      <c r="BF74" s="250" t="str">
        <f t="shared" si="137"/>
        <v>+</v>
      </c>
      <c r="BG74" s="249"/>
      <c r="BH74" s="212" t="str">
        <f t="shared" si="138"/>
        <v>-</v>
      </c>
      <c r="BI74" s="212" t="str">
        <f t="shared" si="139"/>
        <v>-</v>
      </c>
      <c r="BJ74" s="212" t="str">
        <f t="shared" si="140"/>
        <v>-</v>
      </c>
      <c r="BK74" s="212" t="str">
        <f t="shared" si="141"/>
        <v>-</v>
      </c>
      <c r="BL74" s="196"/>
      <c r="BM74" s="135">
        <v>74</v>
      </c>
    </row>
    <row r="75" spans="1:65" x14ac:dyDescent="0.3">
      <c r="A75" s="364"/>
      <c r="B75" s="137" t="s">
        <v>53</v>
      </c>
      <c r="C75" s="135">
        <v>73</v>
      </c>
      <c r="D75" s="196"/>
      <c r="E75" s="228" t="s">
        <v>54</v>
      </c>
      <c r="F75" s="228" t="s">
        <v>54</v>
      </c>
      <c r="G75" s="228" t="s">
        <v>54</v>
      </c>
      <c r="H75" s="228" t="s">
        <v>54</v>
      </c>
      <c r="I75" s="228" t="s">
        <v>54</v>
      </c>
      <c r="J75" s="195"/>
      <c r="K75" s="228" t="s">
        <v>54</v>
      </c>
      <c r="L75" s="228" t="s">
        <v>54</v>
      </c>
      <c r="M75" s="228" t="s">
        <v>54</v>
      </c>
      <c r="N75" s="228" t="s">
        <v>54</v>
      </c>
      <c r="O75" s="228" t="s">
        <v>54</v>
      </c>
      <c r="P75" s="195"/>
      <c r="Q75" s="228" t="s">
        <v>55</v>
      </c>
      <c r="R75" s="228" t="s">
        <v>55</v>
      </c>
      <c r="S75" s="228" t="s">
        <v>55</v>
      </c>
      <c r="T75" s="228" t="s">
        <v>55</v>
      </c>
      <c r="U75" s="228" t="s">
        <v>55</v>
      </c>
      <c r="V75" s="195"/>
      <c r="W75" s="213" t="str">
        <f t="shared" si="117"/>
        <v>-</v>
      </c>
      <c r="X75" s="213" t="str">
        <f t="shared" si="142"/>
        <v>-</v>
      </c>
      <c r="Y75" s="213" t="str">
        <f t="shared" si="143"/>
        <v>-</v>
      </c>
      <c r="Z75" s="213" t="str">
        <f t="shared" si="144"/>
        <v>-</v>
      </c>
      <c r="AA75" s="213" t="str">
        <f t="shared" si="145"/>
        <v>-</v>
      </c>
      <c r="AB75" s="196"/>
      <c r="AC75" s="197" t="str">
        <f t="shared" si="118"/>
        <v>+</v>
      </c>
      <c r="AD75" s="197" t="str">
        <f t="shared" si="119"/>
        <v>+</v>
      </c>
      <c r="AE75" s="197" t="str">
        <f t="shared" si="120"/>
        <v>+</v>
      </c>
      <c r="AF75" s="197" t="str">
        <f t="shared" si="121"/>
        <v>+</v>
      </c>
      <c r="AG75" s="195"/>
      <c r="AH75" s="197" t="str">
        <f t="shared" si="122"/>
        <v>+</v>
      </c>
      <c r="AI75" s="197" t="str">
        <f t="shared" si="123"/>
        <v>+</v>
      </c>
      <c r="AJ75" s="197" t="str">
        <f t="shared" si="124"/>
        <v>+</v>
      </c>
      <c r="AK75" s="197" t="str">
        <f t="shared" si="125"/>
        <v>+</v>
      </c>
      <c r="AL75" s="195"/>
      <c r="AM75" s="197" t="str">
        <f t="shared" si="113"/>
        <v>-</v>
      </c>
      <c r="AN75" s="197" t="str">
        <f t="shared" si="114"/>
        <v>-</v>
      </c>
      <c r="AO75" s="197" t="str">
        <f t="shared" si="115"/>
        <v>-</v>
      </c>
      <c r="AP75" s="192"/>
      <c r="AQ75" s="197" t="str">
        <f t="shared" si="116"/>
        <v>-</v>
      </c>
      <c r="AR75" s="196"/>
      <c r="AS75" s="212" t="str">
        <f t="shared" si="126"/>
        <v>+</v>
      </c>
      <c r="AT75" s="212" t="str">
        <f t="shared" si="127"/>
        <v>+</v>
      </c>
      <c r="AU75" s="212" t="str">
        <f t="shared" si="128"/>
        <v>+</v>
      </c>
      <c r="AV75" s="212" t="str">
        <f t="shared" si="129"/>
        <v>+</v>
      </c>
      <c r="AW75" s="249"/>
      <c r="AX75" s="212" t="str">
        <f t="shared" si="130"/>
        <v>+</v>
      </c>
      <c r="AY75" s="212" t="str">
        <f t="shared" si="131"/>
        <v>+</v>
      </c>
      <c r="AZ75" s="212" t="str">
        <f t="shared" si="132"/>
        <v>+</v>
      </c>
      <c r="BA75" s="212" t="str">
        <f t="shared" si="133"/>
        <v>+</v>
      </c>
      <c r="BB75" s="249"/>
      <c r="BC75" s="250" t="str">
        <f t="shared" si="134"/>
        <v>+</v>
      </c>
      <c r="BD75" s="250" t="str">
        <f t="shared" si="135"/>
        <v>+</v>
      </c>
      <c r="BE75" s="250" t="str">
        <f t="shared" si="136"/>
        <v>+</v>
      </c>
      <c r="BF75" s="250" t="str">
        <f t="shared" si="137"/>
        <v>+</v>
      </c>
      <c r="BG75" s="249"/>
      <c r="BH75" s="212" t="str">
        <f t="shared" si="138"/>
        <v>-</v>
      </c>
      <c r="BI75" s="212" t="str">
        <f t="shared" si="139"/>
        <v>-</v>
      </c>
      <c r="BJ75" s="212" t="str">
        <f t="shared" si="140"/>
        <v>-</v>
      </c>
      <c r="BK75" s="212" t="str">
        <f t="shared" si="141"/>
        <v>-</v>
      </c>
      <c r="BL75" s="196"/>
      <c r="BM75" s="135">
        <v>75</v>
      </c>
    </row>
    <row r="76" spans="1:65" x14ac:dyDescent="0.3">
      <c r="A76" s="364"/>
      <c r="B76" s="137" t="s">
        <v>180</v>
      </c>
      <c r="C76" s="135">
        <v>74</v>
      </c>
      <c r="D76" s="196"/>
      <c r="E76" s="228" t="s">
        <v>54</v>
      </c>
      <c r="F76" s="228" t="s">
        <v>54</v>
      </c>
      <c r="G76" s="228" t="s">
        <v>55</v>
      </c>
      <c r="H76" s="228" t="s">
        <v>55</v>
      </c>
      <c r="I76" s="228" t="s">
        <v>55</v>
      </c>
      <c r="J76" s="195"/>
      <c r="K76" s="228" t="s">
        <v>54</v>
      </c>
      <c r="L76" s="228" t="s">
        <v>54</v>
      </c>
      <c r="M76" s="228" t="s">
        <v>55</v>
      </c>
      <c r="N76" s="228" t="s">
        <v>55</v>
      </c>
      <c r="O76" s="228" t="s">
        <v>55</v>
      </c>
      <c r="P76" s="195"/>
      <c r="Q76" s="228" t="s">
        <v>55</v>
      </c>
      <c r="R76" s="228" t="s">
        <v>55</v>
      </c>
      <c r="S76" s="228" t="s">
        <v>55</v>
      </c>
      <c r="T76" s="228" t="s">
        <v>55</v>
      </c>
      <c r="U76" s="228" t="s">
        <v>55</v>
      </c>
      <c r="V76" s="195"/>
      <c r="W76" s="213" t="str">
        <f t="shared" si="117"/>
        <v>-</v>
      </c>
      <c r="X76" s="213" t="str">
        <f t="shared" si="142"/>
        <v>-</v>
      </c>
      <c r="Y76" s="213" t="str">
        <f t="shared" si="143"/>
        <v>-</v>
      </c>
      <c r="Z76" s="213" t="str">
        <f t="shared" si="144"/>
        <v>-</v>
      </c>
      <c r="AA76" s="213" t="str">
        <f t="shared" si="145"/>
        <v>-</v>
      </c>
      <c r="AB76" s="196"/>
      <c r="AC76" s="197" t="str">
        <f t="shared" si="118"/>
        <v>+</v>
      </c>
      <c r="AD76" s="197" t="str">
        <f t="shared" si="119"/>
        <v>+</v>
      </c>
      <c r="AE76" s="197" t="str">
        <f t="shared" si="120"/>
        <v>-</v>
      </c>
      <c r="AF76" s="197" t="str">
        <f t="shared" si="121"/>
        <v>-</v>
      </c>
      <c r="AG76" s="195"/>
      <c r="AH76" s="197" t="str">
        <f t="shared" si="122"/>
        <v>+</v>
      </c>
      <c r="AI76" s="197" t="str">
        <f t="shared" si="123"/>
        <v>+</v>
      </c>
      <c r="AJ76" s="197" t="str">
        <f t="shared" si="124"/>
        <v>-</v>
      </c>
      <c r="AK76" s="197" t="str">
        <f t="shared" si="125"/>
        <v>-</v>
      </c>
      <c r="AL76" s="195"/>
      <c r="AM76" s="197" t="str">
        <f t="shared" si="113"/>
        <v>-</v>
      </c>
      <c r="AN76" s="197" t="str">
        <f t="shared" si="114"/>
        <v>-</v>
      </c>
      <c r="AO76" s="197" t="str">
        <f t="shared" si="115"/>
        <v>-</v>
      </c>
      <c r="AP76" s="192"/>
      <c r="AQ76" s="197" t="str">
        <f t="shared" si="116"/>
        <v>-</v>
      </c>
      <c r="AR76" s="196"/>
      <c r="AS76" s="212" t="str">
        <f t="shared" si="126"/>
        <v>-</v>
      </c>
      <c r="AT76" s="212" t="str">
        <f t="shared" si="127"/>
        <v>-</v>
      </c>
      <c r="AU76" s="212" t="str">
        <f t="shared" si="128"/>
        <v>-</v>
      </c>
      <c r="AV76" s="212" t="str">
        <f t="shared" si="129"/>
        <v>-</v>
      </c>
      <c r="AW76" s="249"/>
      <c r="AX76" s="212" t="str">
        <f t="shared" si="130"/>
        <v>-</v>
      </c>
      <c r="AY76" s="212" t="str">
        <f t="shared" si="131"/>
        <v>-</v>
      </c>
      <c r="AZ76" s="212" t="str">
        <f t="shared" si="132"/>
        <v>-</v>
      </c>
      <c r="BA76" s="212" t="str">
        <f t="shared" si="133"/>
        <v>-</v>
      </c>
      <c r="BB76" s="249"/>
      <c r="BC76" s="250" t="str">
        <f t="shared" si="134"/>
        <v>-</v>
      </c>
      <c r="BD76" s="250" t="str">
        <f t="shared" si="135"/>
        <v>-</v>
      </c>
      <c r="BE76" s="250" t="str">
        <f t="shared" si="136"/>
        <v>-</v>
      </c>
      <c r="BF76" s="250" t="str">
        <f t="shared" si="137"/>
        <v>-</v>
      </c>
      <c r="BG76" s="249"/>
      <c r="BH76" s="212" t="str">
        <f t="shared" si="138"/>
        <v>-</v>
      </c>
      <c r="BI76" s="212" t="str">
        <f t="shared" si="139"/>
        <v>-</v>
      </c>
      <c r="BJ76" s="212" t="str">
        <f t="shared" si="140"/>
        <v>-</v>
      </c>
      <c r="BK76" s="212" t="str">
        <f t="shared" si="141"/>
        <v>-</v>
      </c>
      <c r="BL76" s="196"/>
      <c r="BM76" s="135">
        <v>76</v>
      </c>
    </row>
    <row r="77" spans="1:65" x14ac:dyDescent="0.3">
      <c r="A77" s="364"/>
      <c r="B77" s="137" t="s">
        <v>181</v>
      </c>
      <c r="C77" s="135">
        <v>75</v>
      </c>
      <c r="D77" s="196"/>
      <c r="E77" s="228" t="s">
        <v>54</v>
      </c>
      <c r="F77" s="228" t="s">
        <v>54</v>
      </c>
      <c r="G77" s="228" t="s">
        <v>54</v>
      </c>
      <c r="H77" s="228" t="s">
        <v>54</v>
      </c>
      <c r="I77" s="228" t="s">
        <v>54</v>
      </c>
      <c r="J77" s="195"/>
      <c r="K77" s="228" t="s">
        <v>54</v>
      </c>
      <c r="L77" s="228" t="s">
        <v>54</v>
      </c>
      <c r="M77" s="228" t="s">
        <v>54</v>
      </c>
      <c r="N77" s="228" t="s">
        <v>54</v>
      </c>
      <c r="O77" s="228" t="s">
        <v>54</v>
      </c>
      <c r="P77" s="195"/>
      <c r="Q77" s="228" t="s">
        <v>54</v>
      </c>
      <c r="R77" s="228" t="s">
        <v>54</v>
      </c>
      <c r="S77" s="228" t="s">
        <v>54</v>
      </c>
      <c r="T77" s="228" t="s">
        <v>54</v>
      </c>
      <c r="U77" s="228" t="s">
        <v>54</v>
      </c>
      <c r="V77" s="195"/>
      <c r="W77" s="213" t="str">
        <f t="shared" si="117"/>
        <v>+</v>
      </c>
      <c r="X77" s="213" t="str">
        <f t="shared" si="142"/>
        <v>+</v>
      </c>
      <c r="Y77" s="213" t="str">
        <f t="shared" si="143"/>
        <v>+</v>
      </c>
      <c r="Z77" s="213" t="str">
        <f t="shared" si="144"/>
        <v>+</v>
      </c>
      <c r="AA77" s="213" t="str">
        <f t="shared" si="145"/>
        <v>+</v>
      </c>
      <c r="AB77" s="196"/>
      <c r="AC77" s="197" t="str">
        <f t="shared" si="118"/>
        <v>+</v>
      </c>
      <c r="AD77" s="197" t="str">
        <f t="shared" si="119"/>
        <v>+</v>
      </c>
      <c r="AE77" s="197" t="str">
        <f t="shared" si="120"/>
        <v>+</v>
      </c>
      <c r="AF77" s="197" t="str">
        <f t="shared" si="121"/>
        <v>+</v>
      </c>
      <c r="AG77" s="195"/>
      <c r="AH77" s="197" t="str">
        <f t="shared" si="122"/>
        <v>+</v>
      </c>
      <c r="AI77" s="197" t="str">
        <f t="shared" si="123"/>
        <v>+</v>
      </c>
      <c r="AJ77" s="197" t="str">
        <f t="shared" si="124"/>
        <v>+</v>
      </c>
      <c r="AK77" s="197" t="str">
        <f t="shared" si="125"/>
        <v>+</v>
      </c>
      <c r="AL77" s="195"/>
      <c r="AM77" s="197" t="str">
        <f t="shared" si="113"/>
        <v>+</v>
      </c>
      <c r="AN77" s="197" t="str">
        <f t="shared" si="114"/>
        <v>+</v>
      </c>
      <c r="AO77" s="197" t="str">
        <f t="shared" si="115"/>
        <v>+</v>
      </c>
      <c r="AP77" s="192"/>
      <c r="AQ77" s="197" t="str">
        <f t="shared" si="116"/>
        <v>+</v>
      </c>
      <c r="AR77" s="196"/>
      <c r="AS77" s="212" t="str">
        <f t="shared" si="126"/>
        <v>+</v>
      </c>
      <c r="AT77" s="212" t="str">
        <f t="shared" si="127"/>
        <v>+</v>
      </c>
      <c r="AU77" s="212" t="str">
        <f t="shared" si="128"/>
        <v>+</v>
      </c>
      <c r="AV77" s="212" t="str">
        <f t="shared" si="129"/>
        <v>+</v>
      </c>
      <c r="AW77" s="249"/>
      <c r="AX77" s="212" t="str">
        <f t="shared" si="130"/>
        <v>+</v>
      </c>
      <c r="AY77" s="212" t="str">
        <f t="shared" si="131"/>
        <v>+</v>
      </c>
      <c r="AZ77" s="212" t="str">
        <f t="shared" si="132"/>
        <v>+</v>
      </c>
      <c r="BA77" s="212" t="str">
        <f t="shared" si="133"/>
        <v>+</v>
      </c>
      <c r="BB77" s="249"/>
      <c r="BC77" s="250" t="str">
        <f t="shared" si="134"/>
        <v>+</v>
      </c>
      <c r="BD77" s="250" t="str">
        <f t="shared" si="135"/>
        <v>+</v>
      </c>
      <c r="BE77" s="250" t="str">
        <f t="shared" si="136"/>
        <v>+</v>
      </c>
      <c r="BF77" s="250" t="str">
        <f t="shared" si="137"/>
        <v>+</v>
      </c>
      <c r="BG77" s="249"/>
      <c r="BH77" s="212" t="str">
        <f t="shared" si="138"/>
        <v>+</v>
      </c>
      <c r="BI77" s="212" t="str">
        <f t="shared" si="139"/>
        <v>+</v>
      </c>
      <c r="BJ77" s="212" t="str">
        <f t="shared" si="140"/>
        <v>+</v>
      </c>
      <c r="BK77" s="212" t="str">
        <f t="shared" si="141"/>
        <v>+</v>
      </c>
      <c r="BL77" s="196"/>
      <c r="BM77" s="135">
        <v>77</v>
      </c>
    </row>
    <row r="78" spans="1:65" x14ac:dyDescent="0.3">
      <c r="A78" s="364"/>
      <c r="B78" s="137" t="s">
        <v>182</v>
      </c>
      <c r="C78" s="135">
        <v>76</v>
      </c>
      <c r="D78" s="196"/>
      <c r="E78" s="228" t="s">
        <v>54</v>
      </c>
      <c r="F78" s="228" t="s">
        <v>54</v>
      </c>
      <c r="G78" s="228" t="s">
        <v>54</v>
      </c>
      <c r="H78" s="228" t="s">
        <v>54</v>
      </c>
      <c r="I78" s="228" t="s">
        <v>54</v>
      </c>
      <c r="J78" s="195"/>
      <c r="K78" s="228" t="s">
        <v>54</v>
      </c>
      <c r="L78" s="228" t="s">
        <v>54</v>
      </c>
      <c r="M78" s="228" t="s">
        <v>54</v>
      </c>
      <c r="N78" s="228" t="s">
        <v>54</v>
      </c>
      <c r="O78" s="228" t="s">
        <v>54</v>
      </c>
      <c r="P78" s="195"/>
      <c r="Q78" s="228" t="s">
        <v>54</v>
      </c>
      <c r="R78" s="228" t="s">
        <v>54</v>
      </c>
      <c r="S78" s="228" t="s">
        <v>54</v>
      </c>
      <c r="T78" s="228" t="s">
        <v>54</v>
      </c>
      <c r="U78" s="228" t="s">
        <v>54</v>
      </c>
      <c r="V78" s="195"/>
      <c r="W78" s="213" t="str">
        <f t="shared" si="117"/>
        <v>+</v>
      </c>
      <c r="X78" s="213" t="str">
        <f t="shared" si="142"/>
        <v>+</v>
      </c>
      <c r="Y78" s="213" t="str">
        <f t="shared" si="143"/>
        <v>+</v>
      </c>
      <c r="Z78" s="213" t="str">
        <f t="shared" si="144"/>
        <v>+</v>
      </c>
      <c r="AA78" s="213" t="str">
        <f t="shared" si="145"/>
        <v>+</v>
      </c>
      <c r="AB78" s="196"/>
      <c r="AC78" s="197" t="str">
        <f t="shared" si="118"/>
        <v>+</v>
      </c>
      <c r="AD78" s="197" t="str">
        <f t="shared" si="119"/>
        <v>+</v>
      </c>
      <c r="AE78" s="197" t="str">
        <f t="shared" si="120"/>
        <v>+</v>
      </c>
      <c r="AF78" s="197" t="str">
        <f t="shared" si="121"/>
        <v>+</v>
      </c>
      <c r="AG78" s="195"/>
      <c r="AH78" s="197" t="str">
        <f t="shared" si="122"/>
        <v>+</v>
      </c>
      <c r="AI78" s="197" t="str">
        <f t="shared" si="123"/>
        <v>+</v>
      </c>
      <c r="AJ78" s="197" t="str">
        <f t="shared" si="124"/>
        <v>+</v>
      </c>
      <c r="AK78" s="197" t="str">
        <f t="shared" si="125"/>
        <v>+</v>
      </c>
      <c r="AL78" s="195"/>
      <c r="AM78" s="197" t="str">
        <f t="shared" si="113"/>
        <v>+</v>
      </c>
      <c r="AN78" s="197" t="str">
        <f t="shared" si="114"/>
        <v>+</v>
      </c>
      <c r="AO78" s="197" t="str">
        <f t="shared" si="115"/>
        <v>+</v>
      </c>
      <c r="AP78" s="192"/>
      <c r="AQ78" s="197" t="str">
        <f t="shared" si="116"/>
        <v>+</v>
      </c>
      <c r="AR78" s="196"/>
      <c r="AS78" s="212" t="str">
        <f t="shared" si="126"/>
        <v>+</v>
      </c>
      <c r="AT78" s="212" t="str">
        <f t="shared" si="127"/>
        <v>+</v>
      </c>
      <c r="AU78" s="212" t="str">
        <f t="shared" si="128"/>
        <v>+</v>
      </c>
      <c r="AV78" s="212" t="str">
        <f t="shared" si="129"/>
        <v>+</v>
      </c>
      <c r="AW78" s="249"/>
      <c r="AX78" s="212" t="str">
        <f t="shared" si="130"/>
        <v>+</v>
      </c>
      <c r="AY78" s="212" t="str">
        <f t="shared" si="131"/>
        <v>+</v>
      </c>
      <c r="AZ78" s="212" t="str">
        <f t="shared" si="132"/>
        <v>+</v>
      </c>
      <c r="BA78" s="212" t="str">
        <f t="shared" si="133"/>
        <v>+</v>
      </c>
      <c r="BB78" s="249"/>
      <c r="BC78" s="250" t="str">
        <f t="shared" si="134"/>
        <v>+</v>
      </c>
      <c r="BD78" s="250" t="str">
        <f t="shared" si="135"/>
        <v>+</v>
      </c>
      <c r="BE78" s="250" t="str">
        <f t="shared" si="136"/>
        <v>+</v>
      </c>
      <c r="BF78" s="250" t="str">
        <f t="shared" si="137"/>
        <v>+</v>
      </c>
      <c r="BG78" s="249"/>
      <c r="BH78" s="212" t="str">
        <f t="shared" si="138"/>
        <v>+</v>
      </c>
      <c r="BI78" s="212" t="str">
        <f t="shared" si="139"/>
        <v>+</v>
      </c>
      <c r="BJ78" s="212" t="str">
        <f t="shared" si="140"/>
        <v>+</v>
      </c>
      <c r="BK78" s="212" t="str">
        <f t="shared" si="141"/>
        <v>+</v>
      </c>
      <c r="BL78" s="196"/>
      <c r="BM78" s="135">
        <v>78</v>
      </c>
    </row>
    <row r="79" spans="1:65" x14ac:dyDescent="0.3">
      <c r="A79" s="364"/>
      <c r="B79" s="137" t="s">
        <v>48</v>
      </c>
      <c r="C79" s="135">
        <v>77</v>
      </c>
      <c r="D79" s="196"/>
      <c r="E79" s="228" t="s">
        <v>54</v>
      </c>
      <c r="F79" s="228" t="s">
        <v>54</v>
      </c>
      <c r="G79" s="228" t="s">
        <v>55</v>
      </c>
      <c r="H79" s="228" t="s">
        <v>55</v>
      </c>
      <c r="I79" s="228" t="s">
        <v>55</v>
      </c>
      <c r="J79" s="195"/>
      <c r="K79" s="228" t="s">
        <v>54</v>
      </c>
      <c r="L79" s="228" t="s">
        <v>54</v>
      </c>
      <c r="M79" s="228" t="s">
        <v>55</v>
      </c>
      <c r="N79" s="228" t="s">
        <v>55</v>
      </c>
      <c r="O79" s="228" t="s">
        <v>55</v>
      </c>
      <c r="P79" s="195"/>
      <c r="Q79" s="228" t="s">
        <v>54</v>
      </c>
      <c r="R79" s="228" t="s">
        <v>54</v>
      </c>
      <c r="S79" s="228" t="s">
        <v>55</v>
      </c>
      <c r="T79" s="228" t="s">
        <v>55</v>
      </c>
      <c r="U79" s="228" t="s">
        <v>55</v>
      </c>
      <c r="V79" s="195"/>
      <c r="W79" s="213" t="str">
        <f t="shared" si="117"/>
        <v>+</v>
      </c>
      <c r="X79" s="213" t="str">
        <f t="shared" si="142"/>
        <v>+</v>
      </c>
      <c r="Y79" s="213" t="str">
        <f t="shared" si="143"/>
        <v>-</v>
      </c>
      <c r="Z79" s="213" t="str">
        <f t="shared" si="144"/>
        <v>-</v>
      </c>
      <c r="AA79" s="213" t="str">
        <f t="shared" si="145"/>
        <v>-</v>
      </c>
      <c r="AB79" s="196"/>
      <c r="AC79" s="197" t="str">
        <f t="shared" si="118"/>
        <v>+</v>
      </c>
      <c r="AD79" s="197" t="str">
        <f t="shared" si="119"/>
        <v>+</v>
      </c>
      <c r="AE79" s="197" t="str">
        <f t="shared" si="120"/>
        <v>-</v>
      </c>
      <c r="AF79" s="197" t="str">
        <f t="shared" si="121"/>
        <v>-</v>
      </c>
      <c r="AG79" s="195"/>
      <c r="AH79" s="197" t="str">
        <f t="shared" si="122"/>
        <v>+</v>
      </c>
      <c r="AI79" s="197" t="str">
        <f t="shared" si="123"/>
        <v>+</v>
      </c>
      <c r="AJ79" s="197" t="str">
        <f t="shared" si="124"/>
        <v>-</v>
      </c>
      <c r="AK79" s="197" t="str">
        <f t="shared" si="125"/>
        <v>-</v>
      </c>
      <c r="AL79" s="195"/>
      <c r="AM79" s="197" t="str">
        <f t="shared" si="113"/>
        <v>+</v>
      </c>
      <c r="AN79" s="197" t="str">
        <f t="shared" si="114"/>
        <v>+</v>
      </c>
      <c r="AO79" s="197" t="str">
        <f t="shared" si="115"/>
        <v>-</v>
      </c>
      <c r="AP79" s="192"/>
      <c r="AQ79" s="197" t="str">
        <f t="shared" si="116"/>
        <v>-</v>
      </c>
      <c r="AR79" s="196"/>
      <c r="AS79" s="212" t="str">
        <f t="shared" si="126"/>
        <v>-</v>
      </c>
      <c r="AT79" s="212" t="str">
        <f t="shared" si="127"/>
        <v>-</v>
      </c>
      <c r="AU79" s="212" t="str">
        <f t="shared" si="128"/>
        <v>-</v>
      </c>
      <c r="AV79" s="212" t="str">
        <f t="shared" si="129"/>
        <v>-</v>
      </c>
      <c r="AW79" s="249"/>
      <c r="AX79" s="212" t="str">
        <f t="shared" si="130"/>
        <v>-</v>
      </c>
      <c r="AY79" s="212" t="str">
        <f t="shared" si="131"/>
        <v>-</v>
      </c>
      <c r="AZ79" s="212" t="str">
        <f t="shared" si="132"/>
        <v>-</v>
      </c>
      <c r="BA79" s="212" t="str">
        <f t="shared" si="133"/>
        <v>-</v>
      </c>
      <c r="BB79" s="249"/>
      <c r="BC79" s="250" t="str">
        <f t="shared" si="134"/>
        <v>-</v>
      </c>
      <c r="BD79" s="250" t="str">
        <f t="shared" si="135"/>
        <v>-</v>
      </c>
      <c r="BE79" s="250" t="str">
        <f t="shared" si="136"/>
        <v>-</v>
      </c>
      <c r="BF79" s="250" t="str">
        <f t="shared" si="137"/>
        <v>-</v>
      </c>
      <c r="BG79" s="249"/>
      <c r="BH79" s="212" t="str">
        <f t="shared" si="138"/>
        <v>-</v>
      </c>
      <c r="BI79" s="212" t="str">
        <f t="shared" si="139"/>
        <v>-</v>
      </c>
      <c r="BJ79" s="212" t="str">
        <f t="shared" si="140"/>
        <v>-</v>
      </c>
      <c r="BK79" s="212" t="str">
        <f t="shared" si="141"/>
        <v>-</v>
      </c>
      <c r="BL79" s="196"/>
      <c r="BM79" s="135">
        <v>79</v>
      </c>
    </row>
    <row r="80" spans="1:65" x14ac:dyDescent="0.3">
      <c r="A80" s="364"/>
      <c r="B80" s="137" t="s">
        <v>75</v>
      </c>
      <c r="C80" s="135">
        <v>78</v>
      </c>
      <c r="D80" s="196"/>
      <c r="E80" s="228" t="s">
        <v>54</v>
      </c>
      <c r="F80" s="228" t="s">
        <v>54</v>
      </c>
      <c r="G80" s="228" t="s">
        <v>54</v>
      </c>
      <c r="H80" s="228" t="s">
        <v>54</v>
      </c>
      <c r="I80" s="228" t="s">
        <v>54</v>
      </c>
      <c r="J80" s="195"/>
      <c r="K80" s="228" t="s">
        <v>55</v>
      </c>
      <c r="L80" s="228" t="s">
        <v>55</v>
      </c>
      <c r="M80" s="228" t="s">
        <v>55</v>
      </c>
      <c r="N80" s="228" t="s">
        <v>55</v>
      </c>
      <c r="O80" s="228" t="s">
        <v>55</v>
      </c>
      <c r="P80" s="195"/>
      <c r="Q80" s="228" t="s">
        <v>55</v>
      </c>
      <c r="R80" s="228" t="s">
        <v>55</v>
      </c>
      <c r="S80" s="228" t="s">
        <v>55</v>
      </c>
      <c r="T80" s="228" t="s">
        <v>55</v>
      </c>
      <c r="U80" s="228" t="s">
        <v>55</v>
      </c>
      <c r="V80" s="195"/>
      <c r="W80" s="213" t="str">
        <f t="shared" si="117"/>
        <v>-</v>
      </c>
      <c r="X80" s="213" t="str">
        <f t="shared" si="142"/>
        <v>-</v>
      </c>
      <c r="Y80" s="213" t="str">
        <f t="shared" si="143"/>
        <v>-</v>
      </c>
      <c r="Z80" s="213" t="str">
        <f t="shared" si="144"/>
        <v>-</v>
      </c>
      <c r="AA80" s="213" t="str">
        <f t="shared" si="145"/>
        <v>-</v>
      </c>
      <c r="AB80" s="196"/>
      <c r="AC80" s="197" t="str">
        <f t="shared" si="118"/>
        <v>+</v>
      </c>
      <c r="AD80" s="197" t="str">
        <f t="shared" si="119"/>
        <v>+</v>
      </c>
      <c r="AE80" s="197" t="str">
        <f t="shared" si="120"/>
        <v>+</v>
      </c>
      <c r="AF80" s="197" t="str">
        <f t="shared" si="121"/>
        <v>+</v>
      </c>
      <c r="AG80" s="195"/>
      <c r="AH80" s="197" t="str">
        <f t="shared" si="122"/>
        <v>-</v>
      </c>
      <c r="AI80" s="197" t="str">
        <f t="shared" si="123"/>
        <v>-</v>
      </c>
      <c r="AJ80" s="197" t="str">
        <f t="shared" si="124"/>
        <v>-</v>
      </c>
      <c r="AK80" s="197" t="str">
        <f t="shared" si="125"/>
        <v>-</v>
      </c>
      <c r="AL80" s="195"/>
      <c r="AM80" s="197" t="str">
        <f t="shared" si="113"/>
        <v>-</v>
      </c>
      <c r="AN80" s="197" t="str">
        <f t="shared" si="114"/>
        <v>-</v>
      </c>
      <c r="AO80" s="197" t="str">
        <f t="shared" si="115"/>
        <v>-</v>
      </c>
      <c r="AP80" s="192"/>
      <c r="AQ80" s="197" t="str">
        <f t="shared" si="116"/>
        <v>-</v>
      </c>
      <c r="AR80" s="196"/>
      <c r="AS80" s="212" t="str">
        <f t="shared" si="126"/>
        <v>+</v>
      </c>
      <c r="AT80" s="212" t="str">
        <f t="shared" si="127"/>
        <v>+</v>
      </c>
      <c r="AU80" s="212" t="str">
        <f t="shared" si="128"/>
        <v>+</v>
      </c>
      <c r="AV80" s="212" t="str">
        <f t="shared" si="129"/>
        <v>+</v>
      </c>
      <c r="AW80" s="249"/>
      <c r="AX80" s="212" t="str">
        <f t="shared" si="130"/>
        <v>-</v>
      </c>
      <c r="AY80" s="212" t="str">
        <f t="shared" si="131"/>
        <v>-</v>
      </c>
      <c r="AZ80" s="212" t="str">
        <f t="shared" si="132"/>
        <v>-</v>
      </c>
      <c r="BA80" s="212" t="str">
        <f t="shared" si="133"/>
        <v>-</v>
      </c>
      <c r="BB80" s="249"/>
      <c r="BC80" s="250" t="str">
        <f t="shared" si="134"/>
        <v>+</v>
      </c>
      <c r="BD80" s="250" t="str">
        <f t="shared" si="135"/>
        <v>+</v>
      </c>
      <c r="BE80" s="250" t="str">
        <f t="shared" si="136"/>
        <v>+</v>
      </c>
      <c r="BF80" s="250" t="str">
        <f t="shared" si="137"/>
        <v>+</v>
      </c>
      <c r="BG80" s="249"/>
      <c r="BH80" s="212" t="str">
        <f t="shared" si="138"/>
        <v>-</v>
      </c>
      <c r="BI80" s="212" t="str">
        <f t="shared" si="139"/>
        <v>-</v>
      </c>
      <c r="BJ80" s="212" t="str">
        <f t="shared" si="140"/>
        <v>-</v>
      </c>
      <c r="BK80" s="212" t="str">
        <f t="shared" si="141"/>
        <v>-</v>
      </c>
      <c r="BL80" s="196"/>
      <c r="BM80" s="135">
        <v>80</v>
      </c>
    </row>
    <row r="81" spans="1:65" x14ac:dyDescent="0.3">
      <c r="A81" s="364"/>
      <c r="B81" s="137" t="s">
        <v>47</v>
      </c>
      <c r="C81" s="135">
        <v>79</v>
      </c>
      <c r="D81" s="196"/>
      <c r="E81" s="228" t="s">
        <v>54</v>
      </c>
      <c r="F81" s="228" t="s">
        <v>54</v>
      </c>
      <c r="G81" s="228" t="s">
        <v>54</v>
      </c>
      <c r="H81" s="228" t="s">
        <v>54</v>
      </c>
      <c r="I81" s="228" t="s">
        <v>54</v>
      </c>
      <c r="J81" s="195"/>
      <c r="K81" s="228" t="s">
        <v>54</v>
      </c>
      <c r="L81" s="228" t="s">
        <v>54</v>
      </c>
      <c r="M81" s="228" t="s">
        <v>54</v>
      </c>
      <c r="N81" s="228" t="s">
        <v>54</v>
      </c>
      <c r="O81" s="228" t="s">
        <v>54</v>
      </c>
      <c r="P81" s="195"/>
      <c r="Q81" s="228" t="s">
        <v>55</v>
      </c>
      <c r="R81" s="228" t="s">
        <v>55</v>
      </c>
      <c r="S81" s="228" t="s">
        <v>55</v>
      </c>
      <c r="T81" s="228" t="s">
        <v>55</v>
      </c>
      <c r="U81" s="228" t="s">
        <v>55</v>
      </c>
      <c r="V81" s="195"/>
      <c r="W81" s="213" t="str">
        <f t="shared" si="117"/>
        <v>-</v>
      </c>
      <c r="X81" s="213" t="str">
        <f t="shared" si="142"/>
        <v>-</v>
      </c>
      <c r="Y81" s="213" t="str">
        <f t="shared" si="143"/>
        <v>-</v>
      </c>
      <c r="Z81" s="213" t="str">
        <f t="shared" si="144"/>
        <v>-</v>
      </c>
      <c r="AA81" s="213" t="str">
        <f t="shared" si="145"/>
        <v>-</v>
      </c>
      <c r="AB81" s="196"/>
      <c r="AC81" s="197" t="str">
        <f t="shared" si="118"/>
        <v>+</v>
      </c>
      <c r="AD81" s="197" t="str">
        <f t="shared" si="119"/>
        <v>+</v>
      </c>
      <c r="AE81" s="197" t="str">
        <f t="shared" si="120"/>
        <v>+</v>
      </c>
      <c r="AF81" s="197" t="str">
        <f t="shared" si="121"/>
        <v>+</v>
      </c>
      <c r="AG81" s="195"/>
      <c r="AH81" s="197" t="str">
        <f t="shared" si="122"/>
        <v>+</v>
      </c>
      <c r="AI81" s="197" t="str">
        <f t="shared" si="123"/>
        <v>+</v>
      </c>
      <c r="AJ81" s="197" t="str">
        <f t="shared" si="124"/>
        <v>+</v>
      </c>
      <c r="AK81" s="197" t="str">
        <f t="shared" si="125"/>
        <v>+</v>
      </c>
      <c r="AL81" s="195"/>
      <c r="AM81" s="197" t="str">
        <f t="shared" si="113"/>
        <v>-</v>
      </c>
      <c r="AN81" s="197" t="str">
        <f t="shared" si="114"/>
        <v>-</v>
      </c>
      <c r="AO81" s="197" t="str">
        <f t="shared" si="115"/>
        <v>-</v>
      </c>
      <c r="AP81" s="192"/>
      <c r="AQ81" s="197" t="str">
        <f t="shared" si="116"/>
        <v>-</v>
      </c>
      <c r="AR81" s="196"/>
      <c r="AS81" s="212" t="str">
        <f t="shared" si="126"/>
        <v>+</v>
      </c>
      <c r="AT81" s="212" t="str">
        <f t="shared" si="127"/>
        <v>+</v>
      </c>
      <c r="AU81" s="212" t="str">
        <f t="shared" si="128"/>
        <v>+</v>
      </c>
      <c r="AV81" s="212" t="str">
        <f t="shared" si="129"/>
        <v>+</v>
      </c>
      <c r="AW81" s="249"/>
      <c r="AX81" s="212" t="str">
        <f t="shared" si="130"/>
        <v>+</v>
      </c>
      <c r="AY81" s="212" t="str">
        <f t="shared" si="131"/>
        <v>+</v>
      </c>
      <c r="AZ81" s="212" t="str">
        <f t="shared" si="132"/>
        <v>+</v>
      </c>
      <c r="BA81" s="212" t="str">
        <f t="shared" si="133"/>
        <v>+</v>
      </c>
      <c r="BB81" s="249"/>
      <c r="BC81" s="250" t="str">
        <f t="shared" si="134"/>
        <v>+</v>
      </c>
      <c r="BD81" s="250" t="str">
        <f t="shared" si="135"/>
        <v>+</v>
      </c>
      <c r="BE81" s="250" t="str">
        <f t="shared" si="136"/>
        <v>+</v>
      </c>
      <c r="BF81" s="250" t="str">
        <f t="shared" si="137"/>
        <v>+</v>
      </c>
      <c r="BG81" s="249"/>
      <c r="BH81" s="212" t="str">
        <f t="shared" si="138"/>
        <v>-</v>
      </c>
      <c r="BI81" s="212" t="str">
        <f t="shared" si="139"/>
        <v>-</v>
      </c>
      <c r="BJ81" s="212" t="str">
        <f t="shared" si="140"/>
        <v>-</v>
      </c>
      <c r="BK81" s="212" t="str">
        <f t="shared" si="141"/>
        <v>-</v>
      </c>
      <c r="BL81" s="196"/>
      <c r="BM81" s="135">
        <v>81</v>
      </c>
    </row>
    <row r="82" spans="1:65" x14ac:dyDescent="0.3">
      <c r="A82" s="364"/>
      <c r="B82" s="137" t="s">
        <v>46</v>
      </c>
      <c r="C82" s="135">
        <v>80</v>
      </c>
      <c r="D82" s="196"/>
      <c r="E82" s="228" t="s">
        <v>54</v>
      </c>
      <c r="F82" s="228" t="s">
        <v>54</v>
      </c>
      <c r="G82" s="228" t="s">
        <v>54</v>
      </c>
      <c r="H82" s="228" t="s">
        <v>54</v>
      </c>
      <c r="I82" s="228" t="s">
        <v>54</v>
      </c>
      <c r="J82" s="195"/>
      <c r="K82" s="228" t="s">
        <v>54</v>
      </c>
      <c r="L82" s="228" t="s">
        <v>54</v>
      </c>
      <c r="M82" s="228" t="s">
        <v>54</v>
      </c>
      <c r="N82" s="228" t="s">
        <v>54</v>
      </c>
      <c r="O82" s="228" t="s">
        <v>54</v>
      </c>
      <c r="P82" s="195"/>
      <c r="Q82" s="228" t="s">
        <v>55</v>
      </c>
      <c r="R82" s="228" t="s">
        <v>55</v>
      </c>
      <c r="S82" s="228" t="s">
        <v>55</v>
      </c>
      <c r="T82" s="228" t="s">
        <v>55</v>
      </c>
      <c r="U82" s="228" t="s">
        <v>55</v>
      </c>
      <c r="V82" s="195"/>
      <c r="W82" s="213" t="str">
        <f t="shared" si="117"/>
        <v>-</v>
      </c>
      <c r="X82" s="213" t="str">
        <f t="shared" si="142"/>
        <v>-</v>
      </c>
      <c r="Y82" s="213" t="str">
        <f t="shared" si="143"/>
        <v>-</v>
      </c>
      <c r="Z82" s="213" t="str">
        <f t="shared" si="144"/>
        <v>-</v>
      </c>
      <c r="AA82" s="213" t="str">
        <f t="shared" si="145"/>
        <v>-</v>
      </c>
      <c r="AB82" s="196"/>
      <c r="AC82" s="197" t="str">
        <f t="shared" si="118"/>
        <v>+</v>
      </c>
      <c r="AD82" s="197" t="str">
        <f t="shared" si="119"/>
        <v>+</v>
      </c>
      <c r="AE82" s="197" t="str">
        <f t="shared" si="120"/>
        <v>+</v>
      </c>
      <c r="AF82" s="197" t="str">
        <f t="shared" si="121"/>
        <v>+</v>
      </c>
      <c r="AG82" s="195"/>
      <c r="AH82" s="197" t="str">
        <f t="shared" si="122"/>
        <v>+</v>
      </c>
      <c r="AI82" s="197" t="str">
        <f t="shared" si="123"/>
        <v>+</v>
      </c>
      <c r="AJ82" s="197" t="str">
        <f t="shared" si="124"/>
        <v>+</v>
      </c>
      <c r="AK82" s="197" t="str">
        <f t="shared" si="125"/>
        <v>+</v>
      </c>
      <c r="AL82" s="195"/>
      <c r="AM82" s="197" t="str">
        <f t="shared" si="113"/>
        <v>-</v>
      </c>
      <c r="AN82" s="197" t="str">
        <f t="shared" si="114"/>
        <v>-</v>
      </c>
      <c r="AO82" s="197" t="str">
        <f t="shared" si="115"/>
        <v>-</v>
      </c>
      <c r="AP82" s="192"/>
      <c r="AQ82" s="197" t="str">
        <f t="shared" si="116"/>
        <v>-</v>
      </c>
      <c r="AR82" s="196"/>
      <c r="AS82" s="212" t="str">
        <f t="shared" si="126"/>
        <v>+</v>
      </c>
      <c r="AT82" s="212" t="str">
        <f t="shared" si="127"/>
        <v>+</v>
      </c>
      <c r="AU82" s="212" t="str">
        <f t="shared" si="128"/>
        <v>+</v>
      </c>
      <c r="AV82" s="212" t="str">
        <f t="shared" si="129"/>
        <v>+</v>
      </c>
      <c r="AW82" s="249"/>
      <c r="AX82" s="212" t="str">
        <f t="shared" si="130"/>
        <v>+</v>
      </c>
      <c r="AY82" s="212" t="str">
        <f t="shared" si="131"/>
        <v>+</v>
      </c>
      <c r="AZ82" s="212" t="str">
        <f t="shared" si="132"/>
        <v>+</v>
      </c>
      <c r="BA82" s="212" t="str">
        <f t="shared" si="133"/>
        <v>+</v>
      </c>
      <c r="BB82" s="249"/>
      <c r="BC82" s="250" t="str">
        <f t="shared" si="134"/>
        <v>+</v>
      </c>
      <c r="BD82" s="250" t="str">
        <f t="shared" si="135"/>
        <v>+</v>
      </c>
      <c r="BE82" s="250" t="str">
        <f t="shared" si="136"/>
        <v>+</v>
      </c>
      <c r="BF82" s="250" t="str">
        <f t="shared" si="137"/>
        <v>+</v>
      </c>
      <c r="BG82" s="249"/>
      <c r="BH82" s="212" t="str">
        <f t="shared" si="138"/>
        <v>-</v>
      </c>
      <c r="BI82" s="212" t="str">
        <f t="shared" si="139"/>
        <v>-</v>
      </c>
      <c r="BJ82" s="212" t="str">
        <f t="shared" si="140"/>
        <v>-</v>
      </c>
      <c r="BK82" s="212" t="str">
        <f t="shared" si="141"/>
        <v>-</v>
      </c>
      <c r="BL82" s="196"/>
      <c r="BM82" s="135">
        <v>82</v>
      </c>
    </row>
    <row r="83" spans="1:65" x14ac:dyDescent="0.3">
      <c r="A83" s="364"/>
      <c r="B83" s="181" t="s">
        <v>183</v>
      </c>
      <c r="C83" s="135">
        <v>81</v>
      </c>
      <c r="D83" s="195"/>
      <c r="E83" s="229" t="s">
        <v>184</v>
      </c>
      <c r="F83" s="229" t="s">
        <v>184</v>
      </c>
      <c r="G83" s="229" t="s">
        <v>184</v>
      </c>
      <c r="H83" s="229" t="s">
        <v>184</v>
      </c>
      <c r="I83" s="230" t="s">
        <v>184</v>
      </c>
      <c r="J83" s="195"/>
      <c r="K83" s="229" t="s">
        <v>184</v>
      </c>
      <c r="L83" s="229" t="s">
        <v>184</v>
      </c>
      <c r="M83" s="229" t="s">
        <v>184</v>
      </c>
      <c r="N83" s="229" t="s">
        <v>184</v>
      </c>
      <c r="O83" s="229" t="s">
        <v>184</v>
      </c>
      <c r="P83" s="195"/>
      <c r="Q83" s="229" t="s">
        <v>184</v>
      </c>
      <c r="R83" s="229" t="s">
        <v>184</v>
      </c>
      <c r="S83" s="229" t="s">
        <v>184</v>
      </c>
      <c r="T83" s="229" t="s">
        <v>184</v>
      </c>
      <c r="U83" s="229" t="s">
        <v>184</v>
      </c>
      <c r="V83" s="195"/>
      <c r="W83" s="213" t="str">
        <f>Q83</f>
        <v>по запросу</v>
      </c>
      <c r="X83" s="213" t="str">
        <f t="shared" si="142"/>
        <v>по запросу</v>
      </c>
      <c r="Y83" s="213" t="str">
        <f t="shared" si="143"/>
        <v>по запросу</v>
      </c>
      <c r="Z83" s="213" t="str">
        <f t="shared" si="144"/>
        <v>по запросу</v>
      </c>
      <c r="AA83" s="213" t="str">
        <f t="shared" si="145"/>
        <v>по запросу</v>
      </c>
      <c r="AB83" s="195"/>
      <c r="AC83" s="197" t="str">
        <f t="shared" si="118"/>
        <v>по запросу</v>
      </c>
      <c r="AD83" s="197" t="str">
        <f t="shared" si="119"/>
        <v>по запросу</v>
      </c>
      <c r="AE83" s="197" t="str">
        <f t="shared" si="120"/>
        <v>по запросу</v>
      </c>
      <c r="AF83" s="197" t="str">
        <f t="shared" si="121"/>
        <v>по запросу</v>
      </c>
      <c r="AG83" s="195"/>
      <c r="AH83" s="197" t="str">
        <f t="shared" si="122"/>
        <v>по запросу</v>
      </c>
      <c r="AI83" s="197" t="str">
        <f t="shared" si="123"/>
        <v>по запросу</v>
      </c>
      <c r="AJ83" s="197" t="str">
        <f t="shared" si="124"/>
        <v>по запросу</v>
      </c>
      <c r="AK83" s="197" t="str">
        <f t="shared" si="125"/>
        <v>по запросу</v>
      </c>
      <c r="AL83" s="195"/>
      <c r="AM83" s="197" t="str">
        <f t="shared" si="113"/>
        <v>по запросу</v>
      </c>
      <c r="AN83" s="197" t="str">
        <f t="shared" si="114"/>
        <v>по запросу</v>
      </c>
      <c r="AO83" s="197" t="str">
        <f t="shared" si="115"/>
        <v>по запросу</v>
      </c>
      <c r="AP83" s="192"/>
      <c r="AQ83" s="197" t="str">
        <f t="shared" si="116"/>
        <v>по запросу</v>
      </c>
      <c r="AR83" s="195"/>
      <c r="AS83" s="212" t="str">
        <f t="shared" si="126"/>
        <v>по запросу</v>
      </c>
      <c r="AT83" s="212" t="str">
        <f t="shared" si="127"/>
        <v>по запросу</v>
      </c>
      <c r="AU83" s="212" t="str">
        <f t="shared" si="128"/>
        <v>по запросу</v>
      </c>
      <c r="AV83" s="212" t="str">
        <f t="shared" si="129"/>
        <v>по запросу</v>
      </c>
      <c r="AW83" s="249"/>
      <c r="AX83" s="212" t="str">
        <f t="shared" si="130"/>
        <v>по запросу</v>
      </c>
      <c r="AY83" s="212" t="str">
        <f t="shared" si="131"/>
        <v>по запросу</v>
      </c>
      <c r="AZ83" s="212" t="str">
        <f t="shared" si="132"/>
        <v>по запросу</v>
      </c>
      <c r="BA83" s="212" t="str">
        <f t="shared" si="133"/>
        <v>по запросу</v>
      </c>
      <c r="BB83" s="249"/>
      <c r="BC83" s="250" t="str">
        <f t="shared" si="134"/>
        <v>по запросу</v>
      </c>
      <c r="BD83" s="250" t="str">
        <f t="shared" si="135"/>
        <v>по запросу</v>
      </c>
      <c r="BE83" s="250" t="str">
        <f t="shared" si="136"/>
        <v>по запросу</v>
      </c>
      <c r="BF83" s="250" t="str">
        <f t="shared" si="137"/>
        <v>по запросу</v>
      </c>
      <c r="BG83" s="249"/>
      <c r="BH83" s="212" t="str">
        <f t="shared" si="138"/>
        <v>по запросу</v>
      </c>
      <c r="BI83" s="212" t="str">
        <f t="shared" si="139"/>
        <v>по запросу</v>
      </c>
      <c r="BJ83" s="212" t="str">
        <f t="shared" si="140"/>
        <v>по запросу</v>
      </c>
      <c r="BK83" s="212" t="str">
        <f t="shared" si="141"/>
        <v>по запросу</v>
      </c>
      <c r="BL83" s="195"/>
      <c r="BM83" s="135">
        <v>83</v>
      </c>
    </row>
    <row r="84" spans="1:65" x14ac:dyDescent="0.3">
      <c r="A84" s="111"/>
      <c r="B84" s="136"/>
      <c r="C84" s="136"/>
    </row>
    <row r="85" spans="1:65" x14ac:dyDescent="0.3">
      <c r="A85" s="111"/>
    </row>
    <row r="86" spans="1:65" x14ac:dyDescent="0.3">
      <c r="A86" s="111"/>
    </row>
    <row r="87" spans="1:65" x14ac:dyDescent="0.3">
      <c r="A87" s="111"/>
    </row>
    <row r="88" spans="1:65" x14ac:dyDescent="0.3">
      <c r="A88" s="111"/>
    </row>
    <row r="89" spans="1:65" x14ac:dyDescent="0.3">
      <c r="A89" s="111"/>
    </row>
    <row r="90" spans="1:65" x14ac:dyDescent="0.3">
      <c r="A90" s="111"/>
    </row>
    <row r="91" spans="1:65" x14ac:dyDescent="0.3">
      <c r="A91" s="111"/>
    </row>
    <row r="92" spans="1:65" x14ac:dyDescent="0.3">
      <c r="A92" s="111"/>
    </row>
    <row r="93" spans="1:65" x14ac:dyDescent="0.3">
      <c r="A93" s="111"/>
    </row>
  </sheetData>
  <mergeCells count="13">
    <mergeCell ref="AS2:AV2"/>
    <mergeCell ref="AX2:BA2"/>
    <mergeCell ref="BC2:BF2"/>
    <mergeCell ref="BH2:BK2"/>
    <mergeCell ref="AC2:AF2"/>
    <mergeCell ref="AM2:AO2"/>
    <mergeCell ref="AH2:AK2"/>
    <mergeCell ref="A68:A83"/>
    <mergeCell ref="Q2:U2"/>
    <mergeCell ref="W2:AA2"/>
    <mergeCell ref="A4:A67"/>
    <mergeCell ref="E2:I2"/>
    <mergeCell ref="K2:O2"/>
  </mergeCells>
  <conditionalFormatting sqref="G63:I67 M82:O82 M72:O72 M80:O80 M75:O78 V41 F71:I74 L81:O81 L71:O71 L41:O41 L73:O74 F68:I68 E63:E69 K68:O68 L27:O27 K42:O50 K28:O40 Q25:U40 BB68:BF68 BB27:BB29 BB30:BF49 BB70 BB55:BF56 BB6:BF25 AY70:BA83 BC70:BF83 BH70:BK83 Q42:U68 K53:O66 BB57:BB67 AX6:BA68 AX4:BF5 BH4:BK68 AS4:AV83 W4:AA68 AM4:AO83 AH4:AK83 AC4:AF83 AQ4:AQ83 L4:O4 L6:O25 Q4:U23 E4:I61">
    <cfRule type="cellIs" dxfId="193" priority="1291" operator="equal">
      <formula>"х"</formula>
    </cfRule>
    <cfRule type="cellIs" dxfId="192" priority="1292" operator="equal">
      <formula>"."</formula>
    </cfRule>
  </conditionalFormatting>
  <conditionalFormatting sqref="Q72 G82:I82 S82:U82 G76:I78 S76:U78 S72:U72 Q73:U74">
    <cfRule type="cellIs" dxfId="191" priority="1007" operator="equal">
      <formula>"х"</formula>
    </cfRule>
    <cfRule type="cellIs" dxfId="190" priority="1008" operator="equal">
      <formula>"."</formula>
    </cfRule>
  </conditionalFormatting>
  <conditionalFormatting sqref="G82:H82 G76:I78">
    <cfRule type="cellIs" dxfId="189" priority="1005" operator="equal">
      <formula>"х"</formula>
    </cfRule>
    <cfRule type="cellIs" dxfId="188" priority="1006" operator="equal">
      <formula>"."</formula>
    </cfRule>
  </conditionalFormatting>
  <conditionalFormatting sqref="G78:I78 G82:H82">
    <cfRule type="cellIs" dxfId="187" priority="1003" operator="equal">
      <formula>"х"</formula>
    </cfRule>
    <cfRule type="cellIs" dxfId="186" priority="1004" operator="equal">
      <formula>"."</formula>
    </cfRule>
  </conditionalFormatting>
  <conditionalFormatting sqref="G78:I78 G82:H82">
    <cfRule type="cellIs" dxfId="185" priority="1001" operator="equal">
      <formula>"х"</formula>
    </cfRule>
    <cfRule type="cellIs" dxfId="184" priority="1002" operator="equal">
      <formula>"."</formula>
    </cfRule>
  </conditionalFormatting>
  <conditionalFormatting sqref="H82">
    <cfRule type="cellIs" dxfId="183" priority="999" operator="equal">
      <formula>"х"</formula>
    </cfRule>
    <cfRule type="cellIs" dxfId="182" priority="1000" operator="equal">
      <formula>"."</formula>
    </cfRule>
  </conditionalFormatting>
  <conditionalFormatting sqref="Q82 Q76:Q78">
    <cfRule type="cellIs" dxfId="181" priority="995" operator="equal">
      <formula>"х"</formula>
    </cfRule>
    <cfRule type="cellIs" dxfId="180" priority="996" operator="equal">
      <formula>"."</formula>
    </cfRule>
  </conditionalFormatting>
  <conditionalFormatting sqref="F82 F76:F78">
    <cfRule type="cellIs" dxfId="179" priority="861" operator="equal">
      <formula>"х"</formula>
    </cfRule>
    <cfRule type="cellIs" dxfId="178" priority="862" operator="equal">
      <formula>"."</formula>
    </cfRule>
  </conditionalFormatting>
  <conditionalFormatting sqref="L72">
    <cfRule type="cellIs" dxfId="177" priority="859" operator="equal">
      <formula>"х"</formula>
    </cfRule>
    <cfRule type="cellIs" dxfId="176" priority="860" operator="equal">
      <formula>"."</formula>
    </cfRule>
  </conditionalFormatting>
  <conditionalFormatting sqref="L82 L76:L78">
    <cfRule type="cellIs" dxfId="175" priority="857" operator="equal">
      <formula>"х"</formula>
    </cfRule>
    <cfRule type="cellIs" dxfId="174" priority="858" operator="equal">
      <formula>"."</formula>
    </cfRule>
  </conditionalFormatting>
  <conditionalFormatting sqref="G62:I62">
    <cfRule type="cellIs" dxfId="173" priority="1097" operator="equal">
      <formula>"х"</formula>
    </cfRule>
    <cfRule type="cellIs" dxfId="172" priority="1098" operator="equal">
      <formula>"."</formula>
    </cfRule>
  </conditionalFormatting>
  <conditionalFormatting sqref="M67:O67">
    <cfRule type="cellIs" dxfId="171" priority="1075" operator="equal">
      <formula>"х"</formula>
    </cfRule>
    <cfRule type="cellIs" dxfId="170" priority="1076" operator="equal">
      <formula>"."</formula>
    </cfRule>
  </conditionalFormatting>
  <conditionalFormatting sqref="L79">
    <cfRule type="cellIs" dxfId="169" priority="809" operator="equal">
      <formula>"х"</formula>
    </cfRule>
    <cfRule type="cellIs" dxfId="168" priority="810" operator="equal">
      <formula>"."</formula>
    </cfRule>
  </conditionalFormatting>
  <conditionalFormatting sqref="L79">
    <cfRule type="cellIs" dxfId="167" priority="807" operator="equal">
      <formula>"х"</formula>
    </cfRule>
    <cfRule type="cellIs" dxfId="166" priority="808" operator="equal">
      <formula>"."</formula>
    </cfRule>
  </conditionalFormatting>
  <conditionalFormatting sqref="R79">
    <cfRule type="cellIs" dxfId="165" priority="805" operator="equal">
      <formula>"х"</formula>
    </cfRule>
    <cfRule type="cellIs" dxfId="164" priority="806" operator="equal">
      <formula>"."</formula>
    </cfRule>
  </conditionalFormatting>
  <conditionalFormatting sqref="G80:I80 Q80:U80">
    <cfRule type="cellIs" dxfId="163" priority="801" operator="equal">
      <formula>"х"</formula>
    </cfRule>
    <cfRule type="cellIs" dxfId="162" priority="802" operator="equal">
      <formula>"."</formula>
    </cfRule>
  </conditionalFormatting>
  <conditionalFormatting sqref="G80:I80">
    <cfRule type="cellIs" dxfId="161" priority="799" operator="equal">
      <formula>"х"</formula>
    </cfRule>
    <cfRule type="cellIs" dxfId="160" priority="800" operator="equal">
      <formula>"."</formula>
    </cfRule>
  </conditionalFormatting>
  <conditionalFormatting sqref="M80:O80">
    <cfRule type="cellIs" dxfId="159" priority="795" operator="equal">
      <formula>"х"</formula>
    </cfRule>
    <cfRule type="cellIs" dxfId="158" priority="796" operator="equal">
      <formula>"."</formula>
    </cfRule>
  </conditionalFormatting>
  <conditionalFormatting sqref="F63:F67">
    <cfRule type="cellIs" dxfId="157" priority="1055" operator="equal">
      <formula>"х"</formula>
    </cfRule>
    <cfRule type="cellIs" dxfId="156" priority="1056" operator="equal">
      <formula>"."</formula>
    </cfRule>
  </conditionalFormatting>
  <conditionalFormatting sqref="F62">
    <cfRule type="cellIs" dxfId="155" priority="1053" operator="equal">
      <formula>"х"</formula>
    </cfRule>
    <cfRule type="cellIs" dxfId="154" priority="1054" operator="equal">
      <formula>"."</formula>
    </cfRule>
  </conditionalFormatting>
  <conditionalFormatting sqref="F80">
    <cfRule type="cellIs" dxfId="153" priority="787" operator="equal">
      <formula>"х"</formula>
    </cfRule>
    <cfRule type="cellIs" dxfId="152" priority="788" operator="equal">
      <formula>"."</formula>
    </cfRule>
  </conditionalFormatting>
  <conditionalFormatting sqref="L80">
    <cfRule type="cellIs" dxfId="151" priority="785" operator="equal">
      <formula>"х"</formula>
    </cfRule>
    <cfRule type="cellIs" dxfId="150" priority="786" operator="equal">
      <formula>"."</formula>
    </cfRule>
  </conditionalFormatting>
  <conditionalFormatting sqref="S75:U75 G75:I75">
    <cfRule type="cellIs" dxfId="149" priority="783" operator="equal">
      <formula>"х"</formula>
    </cfRule>
    <cfRule type="cellIs" dxfId="148" priority="784" operator="equal">
      <formula>"."</formula>
    </cfRule>
  </conditionalFormatting>
  <conditionalFormatting sqref="L67">
    <cfRule type="cellIs" dxfId="147" priority="1043" operator="equal">
      <formula>"х"</formula>
    </cfRule>
    <cfRule type="cellIs" dxfId="146" priority="1044" operator="equal">
      <formula>"."</formula>
    </cfRule>
  </conditionalFormatting>
  <conditionalFormatting sqref="Q75">
    <cfRule type="cellIs" dxfId="145" priority="777" operator="equal">
      <formula>"х"</formula>
    </cfRule>
    <cfRule type="cellIs" dxfId="144" priority="778" operator="equal">
      <formula>"."</formula>
    </cfRule>
  </conditionalFormatting>
  <conditionalFormatting sqref="R75">
    <cfRule type="cellIs" dxfId="143" priority="751" operator="equal">
      <formula>"х"</formula>
    </cfRule>
    <cfRule type="cellIs" dxfId="142" priority="752" operator="equal">
      <formula>"."</formula>
    </cfRule>
  </conditionalFormatting>
  <conditionalFormatting sqref="R72">
    <cfRule type="cellIs" dxfId="141" priority="853" operator="equal">
      <formula>"х"</formula>
    </cfRule>
    <cfRule type="cellIs" dxfId="140" priority="854" operator="equal">
      <formula>"."</formula>
    </cfRule>
  </conditionalFormatting>
  <conditionalFormatting sqref="R82 R76:R78">
    <cfRule type="cellIs" dxfId="139" priority="851" operator="equal">
      <formula>"х"</formula>
    </cfRule>
    <cfRule type="cellIs" dxfId="138" priority="852" operator="equal">
      <formula>"."</formula>
    </cfRule>
  </conditionalFormatting>
  <conditionalFormatting sqref="Q81:U81">
    <cfRule type="cellIs" dxfId="137" priority="835" operator="equal">
      <formula>"х"</formula>
    </cfRule>
    <cfRule type="cellIs" dxfId="136" priority="836" operator="equal">
      <formula>"."</formula>
    </cfRule>
  </conditionalFormatting>
  <conditionalFormatting sqref="S81:U81">
    <cfRule type="cellIs" dxfId="135" priority="833" operator="equal">
      <formula>"х"</formula>
    </cfRule>
    <cfRule type="cellIs" dxfId="134" priority="834" operator="equal">
      <formula>"."</formula>
    </cfRule>
  </conditionalFormatting>
  <conditionalFormatting sqref="F81:I81">
    <cfRule type="cellIs" dxfId="133" priority="829" operator="equal">
      <formula>"х"</formula>
    </cfRule>
    <cfRule type="cellIs" dxfId="132" priority="830" operator="equal">
      <formula>"."</formula>
    </cfRule>
  </conditionalFormatting>
  <conditionalFormatting sqref="Q71:U71">
    <cfRule type="cellIs" dxfId="131" priority="839" operator="equal">
      <formula>"х"</formula>
    </cfRule>
    <cfRule type="cellIs" dxfId="130" priority="840" operator="equal">
      <formula>"."</formula>
    </cfRule>
  </conditionalFormatting>
  <conditionalFormatting sqref="S79:U79 G79:I79">
    <cfRule type="cellIs" dxfId="129" priority="825" operator="equal">
      <formula>"х"</formula>
    </cfRule>
    <cfRule type="cellIs" dxfId="128" priority="826" operator="equal">
      <formula>"."</formula>
    </cfRule>
  </conditionalFormatting>
  <conditionalFormatting sqref="G79:I79">
    <cfRule type="cellIs" dxfId="127" priority="823" operator="equal">
      <formula>"х"</formula>
    </cfRule>
    <cfRule type="cellIs" dxfId="126" priority="824" operator="equal">
      <formula>"."</formula>
    </cfRule>
  </conditionalFormatting>
  <conditionalFormatting sqref="Q79">
    <cfRule type="cellIs" dxfId="125" priority="821" operator="equal">
      <formula>"х"</formula>
    </cfRule>
    <cfRule type="cellIs" dxfId="124" priority="822" operator="equal">
      <formula>"."</formula>
    </cfRule>
  </conditionalFormatting>
  <conditionalFormatting sqref="M79:O79">
    <cfRule type="cellIs" dxfId="123" priority="819" operator="equal">
      <formula>"х"</formula>
    </cfRule>
    <cfRule type="cellIs" dxfId="122" priority="820" operator="equal">
      <formula>"."</formula>
    </cfRule>
  </conditionalFormatting>
  <conditionalFormatting sqref="M79:O79">
    <cfRule type="cellIs" dxfId="121" priority="817" operator="equal">
      <formula>"х"</formula>
    </cfRule>
    <cfRule type="cellIs" dxfId="120" priority="818" operator="equal">
      <formula>"."</formula>
    </cfRule>
  </conditionalFormatting>
  <conditionalFormatting sqref="F79">
    <cfRule type="cellIs" dxfId="119" priority="811" operator="equal">
      <formula>"х"</formula>
    </cfRule>
    <cfRule type="cellIs" dxfId="118" priority="812" operator="equal">
      <formula>"."</formula>
    </cfRule>
  </conditionalFormatting>
  <conditionalFormatting sqref="S80:U80">
    <cfRule type="cellIs" dxfId="117" priority="793" operator="equal">
      <formula>"х"</formula>
    </cfRule>
    <cfRule type="cellIs" dxfId="116" priority="794" operator="equal">
      <formula>"."</formula>
    </cfRule>
  </conditionalFormatting>
  <conditionalFormatting sqref="G75:I75">
    <cfRule type="cellIs" dxfId="115" priority="781" operator="equal">
      <formula>"х"</formula>
    </cfRule>
    <cfRule type="cellIs" dxfId="114" priority="782" operator="equal">
      <formula>"."</formula>
    </cfRule>
  </conditionalFormatting>
  <conditionalFormatting sqref="F75">
    <cfRule type="cellIs" dxfId="113" priority="755" operator="equal">
      <formula>"х"</formula>
    </cfRule>
    <cfRule type="cellIs" dxfId="112" priority="756" operator="equal">
      <formula>"."</formula>
    </cfRule>
  </conditionalFormatting>
  <conditionalFormatting sqref="L75">
    <cfRule type="cellIs" dxfId="111" priority="753" operator="equal">
      <formula>"х"</formula>
    </cfRule>
    <cfRule type="cellIs" dxfId="110" priority="754" operator="equal">
      <formula>"."</formula>
    </cfRule>
  </conditionalFormatting>
  <conditionalFormatting sqref="L51">
    <cfRule type="cellIs" dxfId="109" priority="701" operator="equal">
      <formula>"х"</formula>
    </cfRule>
    <cfRule type="cellIs" dxfId="108" priority="702" operator="equal">
      <formula>"."</formula>
    </cfRule>
  </conditionalFormatting>
  <conditionalFormatting sqref="M51">
    <cfRule type="cellIs" dxfId="107" priority="699" operator="equal">
      <formula>"х"</formula>
    </cfRule>
    <cfRule type="cellIs" dxfId="106" priority="700" operator="equal">
      <formula>"."</formula>
    </cfRule>
  </conditionalFormatting>
  <conditionalFormatting sqref="N51">
    <cfRule type="cellIs" dxfId="105" priority="697" operator="equal">
      <formula>"х"</formula>
    </cfRule>
    <cfRule type="cellIs" dxfId="104" priority="698" operator="equal">
      <formula>"."</formula>
    </cfRule>
  </conditionalFormatting>
  <conditionalFormatting sqref="O51">
    <cfRule type="cellIs" dxfId="103" priority="695" operator="equal">
      <formula>"х"</formula>
    </cfRule>
    <cfRule type="cellIs" dxfId="102" priority="696" operator="equal">
      <formula>"."</formula>
    </cfRule>
  </conditionalFormatting>
  <conditionalFormatting sqref="L52">
    <cfRule type="cellIs" dxfId="101" priority="681" operator="equal">
      <formula>"х"</formula>
    </cfRule>
    <cfRule type="cellIs" dxfId="100" priority="682" operator="equal">
      <formula>"."</formula>
    </cfRule>
  </conditionalFormatting>
  <conditionalFormatting sqref="M52">
    <cfRule type="cellIs" dxfId="99" priority="679" operator="equal">
      <formula>"х"</formula>
    </cfRule>
    <cfRule type="cellIs" dxfId="98" priority="680" operator="equal">
      <formula>"."</formula>
    </cfRule>
  </conditionalFormatting>
  <conditionalFormatting sqref="N52">
    <cfRule type="cellIs" dxfId="97" priority="677" operator="equal">
      <formula>"х"</formula>
    </cfRule>
    <cfRule type="cellIs" dxfId="96" priority="678" operator="equal">
      <formula>"."</formula>
    </cfRule>
  </conditionalFormatting>
  <conditionalFormatting sqref="O52">
    <cfRule type="cellIs" dxfId="95" priority="675" operator="equal">
      <formula>"х"</formula>
    </cfRule>
    <cfRule type="cellIs" dxfId="94" priority="676" operator="equal">
      <formula>"."</formula>
    </cfRule>
  </conditionalFormatting>
  <conditionalFormatting sqref="Q24:U24">
    <cfRule type="cellIs" dxfId="93" priority="653" operator="equal">
      <formula>"х"</formula>
    </cfRule>
    <cfRule type="cellIs" dxfId="92" priority="654" operator="equal">
      <formula>"."</formula>
    </cfRule>
  </conditionalFormatting>
  <conditionalFormatting sqref="Q41:R41 T41:U41">
    <cfRule type="cellIs" dxfId="91" priority="561" operator="equal">
      <formula>"х"</formula>
    </cfRule>
    <cfRule type="cellIs" dxfId="90" priority="562" operator="equal">
      <formula>"."</formula>
    </cfRule>
  </conditionalFormatting>
  <conditionalFormatting sqref="S41">
    <cfRule type="cellIs" dxfId="89" priority="559" operator="equal">
      <formula>"х"</formula>
    </cfRule>
    <cfRule type="cellIs" dxfId="88" priority="560" operator="equal">
      <formula>"."</formula>
    </cfRule>
  </conditionalFormatting>
  <conditionalFormatting sqref="R56:U56">
    <cfRule type="cellIs" dxfId="87" priority="545" operator="equal">
      <formula>"х"</formula>
    </cfRule>
    <cfRule type="cellIs" dxfId="86" priority="546" operator="equal">
      <formula>"."</formula>
    </cfRule>
  </conditionalFormatting>
  <conditionalFormatting sqref="Q70">
    <cfRule type="cellIs" dxfId="85" priority="495" operator="equal">
      <formula>"х"</formula>
    </cfRule>
    <cfRule type="cellIs" dxfId="84" priority="496" operator="equal">
      <formula>"."</formula>
    </cfRule>
  </conditionalFormatting>
  <conditionalFormatting sqref="R55:U56">
    <cfRule type="cellIs" dxfId="83" priority="523" operator="equal">
      <formula>"х"</formula>
    </cfRule>
    <cfRule type="cellIs" dxfId="82" priority="524" operator="equal">
      <formula>"."</formula>
    </cfRule>
  </conditionalFormatting>
  <conditionalFormatting sqref="M70:O70">
    <cfRule type="cellIs" dxfId="81" priority="501" operator="equal">
      <formula>"х"</formula>
    </cfRule>
    <cfRule type="cellIs" dxfId="80" priority="502" operator="equal">
      <formula>"."</formula>
    </cfRule>
  </conditionalFormatting>
  <conditionalFormatting sqref="G70:I70 S70:U70">
    <cfRule type="cellIs" dxfId="79" priority="499" operator="equal">
      <formula>"х"</formula>
    </cfRule>
    <cfRule type="cellIs" dxfId="78" priority="500" operator="equal">
      <formula>"."</formula>
    </cfRule>
  </conditionalFormatting>
  <conditionalFormatting sqref="F70">
    <cfRule type="cellIs" dxfId="77" priority="491" operator="equal">
      <formula>"х"</formula>
    </cfRule>
    <cfRule type="cellIs" dxfId="76" priority="492" operator="equal">
      <formula>"."</formula>
    </cfRule>
  </conditionalFormatting>
  <conditionalFormatting sqref="L70">
    <cfRule type="cellIs" dxfId="75" priority="489" operator="equal">
      <formula>"х"</formula>
    </cfRule>
    <cfRule type="cellIs" dxfId="74" priority="490" operator="equal">
      <formula>"."</formula>
    </cfRule>
  </conditionalFormatting>
  <conditionalFormatting sqref="R70">
    <cfRule type="cellIs" dxfId="73" priority="487" operator="equal">
      <formula>"х"</formula>
    </cfRule>
    <cfRule type="cellIs" dxfId="72" priority="488" operator="equal">
      <formula>"."</formula>
    </cfRule>
  </conditionalFormatting>
  <conditionalFormatting sqref="I83">
    <cfRule type="cellIs" dxfId="71" priority="481" operator="equal">
      <formula>"х"</formula>
    </cfRule>
    <cfRule type="cellIs" dxfId="70" priority="482" operator="equal">
      <formula>"."</formula>
    </cfRule>
  </conditionalFormatting>
  <conditionalFormatting sqref="E82 E76:E78 E72:E74">
    <cfRule type="cellIs" dxfId="69" priority="475" operator="equal">
      <formula>"х"</formula>
    </cfRule>
    <cfRule type="cellIs" dxfId="68" priority="476" operator="equal">
      <formula>"."</formula>
    </cfRule>
  </conditionalFormatting>
  <conditionalFormatting sqref="E62">
    <cfRule type="cellIs" dxfId="67" priority="477" operator="equal">
      <formula>"х"</formula>
    </cfRule>
    <cfRule type="cellIs" dxfId="66" priority="478" operator="equal">
      <formula>"."</formula>
    </cfRule>
  </conditionalFormatting>
  <conditionalFormatting sqref="E80">
    <cfRule type="cellIs" dxfId="65" priority="467" operator="equal">
      <formula>"х"</formula>
    </cfRule>
    <cfRule type="cellIs" dxfId="64" priority="468" operator="equal">
      <formula>"."</formula>
    </cfRule>
  </conditionalFormatting>
  <conditionalFormatting sqref="E75">
    <cfRule type="cellIs" dxfId="63" priority="465" operator="equal">
      <formula>"х"</formula>
    </cfRule>
    <cfRule type="cellIs" dxfId="62" priority="466" operator="equal">
      <formula>"."</formula>
    </cfRule>
  </conditionalFormatting>
  <conditionalFormatting sqref="E81">
    <cfRule type="cellIs" dxfId="61" priority="471" operator="equal">
      <formula>"х"</formula>
    </cfRule>
    <cfRule type="cellIs" dxfId="60" priority="472" operator="equal">
      <formula>"."</formula>
    </cfRule>
  </conditionalFormatting>
  <conditionalFormatting sqref="E71">
    <cfRule type="cellIs" dxfId="59" priority="473" operator="equal">
      <formula>"х"</formula>
    </cfRule>
    <cfRule type="cellIs" dxfId="58" priority="474" operator="equal">
      <formula>"."</formula>
    </cfRule>
  </conditionalFormatting>
  <conditionalFormatting sqref="E79">
    <cfRule type="cellIs" dxfId="57" priority="469" operator="equal">
      <formula>"х"</formula>
    </cfRule>
    <cfRule type="cellIs" dxfId="56" priority="470" operator="equal">
      <formula>"."</formula>
    </cfRule>
  </conditionalFormatting>
  <conditionalFormatting sqref="E55:E56">
    <cfRule type="cellIs" dxfId="55" priority="463" operator="equal">
      <formula>"х"</formula>
    </cfRule>
    <cfRule type="cellIs" dxfId="54" priority="464" operator="equal">
      <formula>"."</formula>
    </cfRule>
  </conditionalFormatting>
  <conditionalFormatting sqref="E70">
    <cfRule type="cellIs" dxfId="53" priority="461" operator="equal">
      <formula>"х"</formula>
    </cfRule>
    <cfRule type="cellIs" dxfId="52" priority="462" operator="equal">
      <formula>"."</formula>
    </cfRule>
  </conditionalFormatting>
  <conditionalFormatting sqref="K73 K81 K71 K41 K20:K27 K4 K6:K17">
    <cfRule type="cellIs" dxfId="51" priority="459" operator="equal">
      <formula>"х"</formula>
    </cfRule>
    <cfRule type="cellIs" dxfId="50" priority="460" operator="equal">
      <formula>"."</formula>
    </cfRule>
  </conditionalFormatting>
  <conditionalFormatting sqref="K82 K76:K78">
    <cfRule type="cellIs" dxfId="49" priority="451" operator="equal">
      <formula>"х"</formula>
    </cfRule>
    <cfRule type="cellIs" dxfId="48" priority="452" operator="equal">
      <formula>"."</formula>
    </cfRule>
  </conditionalFormatting>
  <conditionalFormatting sqref="K72">
    <cfRule type="cellIs" dxfId="47" priority="453" operator="equal">
      <formula>"х"</formula>
    </cfRule>
    <cfRule type="cellIs" dxfId="46" priority="454" operator="equal">
      <formula>"."</formula>
    </cfRule>
  </conditionalFormatting>
  <conditionalFormatting sqref="K67">
    <cfRule type="cellIs" dxfId="45" priority="455" operator="equal">
      <formula>"х"</formula>
    </cfRule>
    <cfRule type="cellIs" dxfId="44" priority="456" operator="equal">
      <formula>"."</formula>
    </cfRule>
  </conditionalFormatting>
  <conditionalFormatting sqref="K80">
    <cfRule type="cellIs" dxfId="43" priority="445" operator="equal">
      <formula>"х"</formula>
    </cfRule>
    <cfRule type="cellIs" dxfId="42" priority="446" operator="equal">
      <formula>"."</formula>
    </cfRule>
  </conditionalFormatting>
  <conditionalFormatting sqref="K79">
    <cfRule type="cellIs" dxfId="41" priority="449" operator="equal">
      <formula>"х"</formula>
    </cfRule>
    <cfRule type="cellIs" dxfId="40" priority="450" operator="equal">
      <formula>"."</formula>
    </cfRule>
  </conditionalFormatting>
  <conditionalFormatting sqref="K79">
    <cfRule type="cellIs" dxfId="39" priority="447" operator="equal">
      <formula>"х"</formula>
    </cfRule>
    <cfRule type="cellIs" dxfId="38" priority="448" operator="equal">
      <formula>"."</formula>
    </cfRule>
  </conditionalFormatting>
  <conditionalFormatting sqref="K75">
    <cfRule type="cellIs" dxfId="37" priority="443" operator="equal">
      <formula>"х"</formula>
    </cfRule>
    <cfRule type="cellIs" dxfId="36" priority="444" operator="equal">
      <formula>"."</formula>
    </cfRule>
  </conditionalFormatting>
  <conditionalFormatting sqref="K51">
    <cfRule type="cellIs" dxfId="35" priority="441" operator="equal">
      <formula>"х"</formula>
    </cfRule>
    <cfRule type="cellIs" dxfId="34" priority="442" operator="equal">
      <formula>"."</formula>
    </cfRule>
  </conditionalFormatting>
  <conditionalFormatting sqref="K52">
    <cfRule type="cellIs" dxfId="33" priority="439" operator="equal">
      <formula>"х"</formula>
    </cfRule>
    <cfRule type="cellIs" dxfId="32" priority="440" operator="equal">
      <formula>"."</formula>
    </cfRule>
  </conditionalFormatting>
  <conditionalFormatting sqref="K74">
    <cfRule type="cellIs" dxfId="31" priority="437" operator="equal">
      <formula>"х"</formula>
    </cfRule>
    <cfRule type="cellIs" dxfId="30" priority="438" operator="equal">
      <formula>"."</formula>
    </cfRule>
  </conditionalFormatting>
  <conditionalFormatting sqref="K56">
    <cfRule type="cellIs" dxfId="29" priority="435" operator="equal">
      <formula>"х"</formula>
    </cfRule>
    <cfRule type="cellIs" dxfId="28" priority="436" operator="equal">
      <formula>"."</formula>
    </cfRule>
  </conditionalFormatting>
  <conditionalFormatting sqref="K55:K56">
    <cfRule type="cellIs" dxfId="27" priority="431" operator="equal">
      <formula>"х"</formula>
    </cfRule>
    <cfRule type="cellIs" dxfId="26" priority="432" operator="equal">
      <formula>"."</formula>
    </cfRule>
  </conditionalFormatting>
  <conditionalFormatting sqref="K70">
    <cfRule type="cellIs" dxfId="25" priority="429" operator="equal">
      <formula>"х"</formula>
    </cfRule>
    <cfRule type="cellIs" dxfId="24" priority="430" operator="equal">
      <formula>"."</formula>
    </cfRule>
  </conditionalFormatting>
  <conditionalFormatting sqref="Q69:U69 K69:O69 F69:I69 W69:AA82">
    <cfRule type="cellIs" dxfId="23" priority="181" operator="equal">
      <formula>"х"</formula>
    </cfRule>
    <cfRule type="cellIs" dxfId="22" priority="182" operator="equal">
      <formula>"."</formula>
    </cfRule>
  </conditionalFormatting>
  <conditionalFormatting sqref="K18">
    <cfRule type="cellIs" dxfId="21" priority="179" operator="equal">
      <formula>"х"</formula>
    </cfRule>
    <cfRule type="cellIs" dxfId="20" priority="180" operator="equal">
      <formula>"."</formula>
    </cfRule>
  </conditionalFormatting>
  <conditionalFormatting sqref="K19">
    <cfRule type="cellIs" dxfId="19" priority="177" operator="equal">
      <formula>"х"</formula>
    </cfRule>
    <cfRule type="cellIs" dxfId="18" priority="178" operator="equal">
      <formula>"."</formula>
    </cfRule>
  </conditionalFormatting>
  <conditionalFormatting sqref="L26:O26">
    <cfRule type="cellIs" dxfId="17" priority="163" operator="equal">
      <formula>"х"</formula>
    </cfRule>
    <cfRule type="cellIs" dxfId="16" priority="164" operator="equal">
      <formula>"."</formula>
    </cfRule>
  </conditionalFormatting>
  <conditionalFormatting sqref="BC63:BF67 BB71:BB82 BB69 BC27:BF29 BB26:BF26 BC57:BF61 BB50:BF54">
    <cfRule type="cellIs" dxfId="15" priority="161" operator="equal">
      <formula>"х"</formula>
    </cfRule>
    <cfRule type="cellIs" dxfId="14" priority="162" operator="equal">
      <formula>"."</formula>
    </cfRule>
  </conditionalFormatting>
  <conditionalFormatting sqref="BC62:BF62">
    <cfRule type="cellIs" dxfId="13" priority="79" operator="equal">
      <formula>"х"</formula>
    </cfRule>
    <cfRule type="cellIs" dxfId="12" priority="80" operator="equal">
      <formula>"."</formula>
    </cfRule>
  </conditionalFormatting>
  <conditionalFormatting sqref="AX70:AX83">
    <cfRule type="cellIs" dxfId="11" priority="49" operator="equal">
      <formula>"х"</formula>
    </cfRule>
    <cfRule type="cellIs" dxfId="10" priority="50" operator="equal">
      <formula>"."</formula>
    </cfRule>
  </conditionalFormatting>
  <conditionalFormatting sqref="BG41">
    <cfRule type="cellIs" dxfId="9" priority="11" operator="equal">
      <formula>"х"</formula>
    </cfRule>
    <cfRule type="cellIs" dxfId="8" priority="12" operator="equal">
      <formula>"."</formula>
    </cfRule>
  </conditionalFormatting>
  <conditionalFormatting sqref="AX69:BA69">
    <cfRule type="cellIs" dxfId="7" priority="7" operator="equal">
      <formula>"х"</formula>
    </cfRule>
    <cfRule type="cellIs" dxfId="6" priority="8" operator="equal">
      <formula>"."</formula>
    </cfRule>
  </conditionalFormatting>
  <conditionalFormatting sqref="BC69:BF69">
    <cfRule type="cellIs" dxfId="5" priority="5" operator="equal">
      <formula>"х"</formula>
    </cfRule>
    <cfRule type="cellIs" dxfId="4" priority="6" operator="equal">
      <formula>"."</formula>
    </cfRule>
  </conditionalFormatting>
  <conditionalFormatting sqref="BH69:BK69">
    <cfRule type="cellIs" dxfId="3" priority="3" operator="equal">
      <formula>"х"</formula>
    </cfRule>
    <cfRule type="cellIs" dxfId="2" priority="4" operator="equal">
      <formula>"."</formula>
    </cfRule>
  </conditionalFormatting>
  <conditionalFormatting sqref="K5:O5">
    <cfRule type="cellIs" dxfId="1" priority="1" operator="equal">
      <formula>"х"</formula>
    </cfRule>
    <cfRule type="cellIs" dxfId="0" priority="2" operator="equal">
      <formula>"."</formula>
    </cfRule>
  </conditionalFormatting>
  <hyperlinks>
    <hyperlink ref="B3" r:id="rId1" xr:uid="{0DA7BA91-8002-4EB8-B098-DF3A4404FA92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AB55-FE50-4CA8-9292-B8F56046D181}">
  <sheetPr codeName="Лист3">
    <tabColor theme="0" tint="-0.34998626667073579"/>
  </sheetPr>
  <dimension ref="A1:N13"/>
  <sheetViews>
    <sheetView zoomScale="70" zoomScaleNormal="70" workbookViewId="0">
      <pane xSplit="1" ySplit="1" topLeftCell="B2" activePane="bottomRight" state="frozen"/>
      <selection activeCell="F2" sqref="F2:H2"/>
      <selection pane="topRight" activeCell="F2" sqref="F2:H2"/>
      <selection pane="bottomLeft" activeCell="F2" sqref="F2:H2"/>
      <selection pane="bottomRight" activeCell="A3" sqref="A3"/>
    </sheetView>
  </sheetViews>
  <sheetFormatPr defaultColWidth="12.6640625" defaultRowHeight="13.2" x14ac:dyDescent="0.3"/>
  <cols>
    <col min="1" max="1" width="14.6640625" style="183" customWidth="1"/>
    <col min="2" max="14" width="40.6640625" style="183" customWidth="1"/>
    <col min="15" max="16384" width="12.6640625" style="183"/>
  </cols>
  <sheetData>
    <row r="1" spans="1:14" ht="26.4" x14ac:dyDescent="0.3">
      <c r="A1" s="183" t="s">
        <v>98</v>
      </c>
      <c r="B1" s="184" t="s">
        <v>25</v>
      </c>
      <c r="C1" s="184" t="s">
        <v>26</v>
      </c>
      <c r="D1" s="184" t="s">
        <v>4</v>
      </c>
      <c r="E1" s="184" t="s">
        <v>9</v>
      </c>
      <c r="F1" s="184" t="s">
        <v>11</v>
      </c>
      <c r="G1" s="204" t="s">
        <v>257</v>
      </c>
      <c r="H1" s="204" t="s">
        <v>258</v>
      </c>
      <c r="I1" s="204" t="s">
        <v>259</v>
      </c>
      <c r="J1" s="204" t="s">
        <v>260</v>
      </c>
      <c r="K1" s="204" t="s">
        <v>319</v>
      </c>
      <c r="L1" s="204" t="s">
        <v>320</v>
      </c>
      <c r="M1" s="204" t="s">
        <v>321</v>
      </c>
      <c r="N1" s="204" t="s">
        <v>322</v>
      </c>
    </row>
    <row r="2" spans="1:14" ht="52.8" x14ac:dyDescent="0.3">
      <c r="A2" s="183" t="s">
        <v>81</v>
      </c>
      <c r="B2" s="183" t="s">
        <v>99</v>
      </c>
      <c r="C2" s="183" t="s">
        <v>100</v>
      </c>
      <c r="D2" s="183" t="s">
        <v>101</v>
      </c>
      <c r="E2" s="183" t="s">
        <v>101</v>
      </c>
      <c r="F2" s="183" t="s">
        <v>101</v>
      </c>
      <c r="G2" s="205" t="str">
        <f>C2</f>
        <v>БУХГАЛТЕРУ, РУКОВОДИТЕЛЮ</v>
      </c>
      <c r="H2" s="205" t="str">
        <f>D2</f>
        <v>РУКОВОДИТЕЛЮ, БУХГАЛТЕРУ, ЮРИСТУ, ЭКОНОМИСТУ, 
СПЕЦИАЛИСТУ ПО КАДРАМ И ОХРАНЕ ТРУДА, ДЕЛОПРОИЗВОДИТЕЛЮ, ЭКОЛОГУ</v>
      </c>
      <c r="I2" s="205" t="str">
        <f>E2</f>
        <v>РУКОВОДИТЕЛЮ, БУХГАЛТЕРУ, ЮРИСТУ, ЭКОНОМИСТУ, 
СПЕЦИАЛИСТУ ПО КАДРАМ И ОХРАНЕ ТРУДА, ДЕЛОПРОИЗВОДИТЕЛЮ, ЭКОЛОГУ</v>
      </c>
      <c r="J2" s="205" t="str">
        <f>F2</f>
        <v>РУКОВОДИТЕЛЮ, БУХГАЛТЕРУ, ЮРИСТУ, ЭКОНОМИСТУ, 
СПЕЦИАЛИСТУ ПО КАДРАМ И ОХРАНЕ ТРУДА, ДЕЛОПРОИЗВОДИТЕЛЮ, ЭКОЛОГУ</v>
      </c>
      <c r="K2" s="205" t="str">
        <f>B2</f>
        <v>БУХГАЛТЕРУ</v>
      </c>
      <c r="L2" s="205" t="str">
        <f>B2</f>
        <v>БУХГАЛТЕРУ</v>
      </c>
      <c r="M2" s="205" t="str">
        <f>C2</f>
        <v>БУХГАЛТЕРУ, РУКОВОДИТЕЛЮ</v>
      </c>
      <c r="N2" s="205" t="str">
        <f>C2</f>
        <v>БУХГАЛТЕРУ, РУКОВОДИТЕЛЮ</v>
      </c>
    </row>
    <row r="3" spans="1:14" x14ac:dyDescent="0.3">
      <c r="A3" s="183" t="s">
        <v>102</v>
      </c>
      <c r="B3" s="183" t="s">
        <v>103</v>
      </c>
      <c r="C3" s="183" t="s">
        <v>103</v>
      </c>
      <c r="D3" s="183" t="s">
        <v>104</v>
      </c>
      <c r="E3" s="183" t="s">
        <v>104</v>
      </c>
      <c r="F3" s="183" t="s">
        <v>104</v>
      </c>
      <c r="G3" s="205" t="str">
        <f t="shared" ref="G3:G7" si="0">C3</f>
        <v>Законодательная база</v>
      </c>
      <c r="H3" s="205" t="str">
        <f t="shared" ref="H3:H7" si="1">D3</f>
        <v>Полная законодательная база</v>
      </c>
      <c r="I3" s="205" t="str">
        <f t="shared" ref="I3:I7" si="2">E3</f>
        <v>Полная законодательная база</v>
      </c>
      <c r="J3" s="205" t="str">
        <f t="shared" ref="J3:J7" si="3">F3</f>
        <v>Полная законодательная база</v>
      </c>
      <c r="K3" s="205" t="str">
        <f t="shared" ref="K3:K7" si="4">B3</f>
        <v>Законодательная база</v>
      </c>
      <c r="L3" s="205" t="str">
        <f t="shared" ref="L3:L7" si="5">B3</f>
        <v>Законодательная база</v>
      </c>
      <c r="M3" s="205" t="str">
        <f t="shared" ref="M3:M7" si="6">C3</f>
        <v>Законодательная база</v>
      </c>
      <c r="N3" s="205" t="str">
        <f t="shared" ref="N3:N7" si="7">C3</f>
        <v>Законодательная база</v>
      </c>
    </row>
    <row r="4" spans="1:14" x14ac:dyDescent="0.3">
      <c r="B4" s="206"/>
      <c r="G4" s="205"/>
      <c r="H4" s="205"/>
      <c r="I4" s="205"/>
      <c r="J4" s="205"/>
      <c r="K4" s="205">
        <f t="shared" si="4"/>
        <v>0</v>
      </c>
      <c r="L4" s="205">
        <f t="shared" si="5"/>
        <v>0</v>
      </c>
      <c r="M4" s="205">
        <f t="shared" si="6"/>
        <v>0</v>
      </c>
      <c r="N4" s="205">
        <f t="shared" si="7"/>
        <v>0</v>
      </c>
    </row>
    <row r="5" spans="1:14" ht="39.6" x14ac:dyDescent="0.3">
      <c r="A5" s="183" t="s">
        <v>269</v>
      </c>
      <c r="B5" s="185" t="s">
        <v>374</v>
      </c>
      <c r="C5" s="185" t="s">
        <v>375</v>
      </c>
      <c r="D5" s="185" t="s">
        <v>376</v>
      </c>
      <c r="E5" s="185" t="s">
        <v>376</v>
      </c>
      <c r="F5" s="185" t="s">
        <v>376</v>
      </c>
      <c r="G5" s="205" t="str">
        <f t="shared" si="0"/>
        <v>Более 9 200 форм и образцов документов</v>
      </c>
      <c r="H5" s="205" t="str">
        <f t="shared" si="1"/>
        <v>Более 44 500 форм и образцов документов</v>
      </c>
      <c r="I5" s="205" t="str">
        <f t="shared" si="2"/>
        <v>Более 44 500 форм и образцов документов</v>
      </c>
      <c r="J5" s="205" t="str">
        <f t="shared" si="3"/>
        <v>Более 44 500 форм и образцов документов</v>
      </c>
      <c r="K5" s="205" t="str">
        <f t="shared" si="4"/>
        <v>Более 5 200 форм и образцов  документов</v>
      </c>
      <c r="L5" s="205" t="str">
        <f t="shared" si="5"/>
        <v>Более 5 200 форм и образцов  документов</v>
      </c>
      <c r="M5" s="205" t="str">
        <f t="shared" si="6"/>
        <v>Более 9 200 форм и образцов документов</v>
      </c>
      <c r="N5" s="205" t="str">
        <f t="shared" si="7"/>
        <v>Более 9 200 форм и образцов документов</v>
      </c>
    </row>
    <row r="6" spans="1:14" s="186" customFormat="1" ht="409.6" x14ac:dyDescent="0.3">
      <c r="A6" s="186" t="s">
        <v>212</v>
      </c>
      <c r="B6" s="183" t="s">
        <v>307</v>
      </c>
      <c r="C6" s="183" t="s">
        <v>369</v>
      </c>
      <c r="D6" s="183" t="s">
        <v>369</v>
      </c>
      <c r="E6" s="183" t="s">
        <v>370</v>
      </c>
      <c r="F6" s="183" t="s">
        <v>370</v>
      </c>
      <c r="G6" s="205" t="str">
        <f t="shared" si="0"/>
        <v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
Дополнительно: акцизы, единый налог для с/х производителей, налог на доходы от осуществления лотерейной деятельности, налог на игорный бизнес, оффшорный сбор, отчисление части прибыли РУП, плата за использование радиочастотного спектра, отчисления в фонд универсального обслуживания (резерв универсального обслуживания), налог за добычу (изъятие) природных ресурсов, утилизационный сбор, гербовый сбор (вексель).</v>
      </c>
      <c r="H6" s="205" t="str">
        <f t="shared" si="1"/>
        <v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
Дополнительно: акцизы, единый налог для с/х производителей, налог на доходы от осуществления лотерейной деятельности, налог на игорный бизнес, оффшорный сбор, отчисление части прибыли РУП, плата за использование радиочастотного спектра, отчисления в фонд универсального обслуживания (резерв универсального обслуживания), налог за добычу (изъятие) природных ресурсов, утилизационный сбор, гербовый сбор (вексель).</v>
      </c>
      <c r="I6" s="205" t="str">
        <f t="shared" si="2"/>
        <v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
Дополнительно: акцизы, единый налог для с/х производителей, налог на доходы от осуществления лотерейной деятельности, налог на игорный бизнес, оффшорный сбор, отчисление части прибыли РУП, плата за использование радиочастотного спектра, отчисления в фонд универсального обслуживания (резерв универсального обслуживания), налог за добычу (изъятие) природных ресурсов, утилизационный сбор, гербовый сбор (вексель); ценные бумаги; юр. лица: предприятия дочерние, зависимые; представительства и филиалы (в том числе иностранные, обособленные подразделения); резиденты СЭЗ; АО; МСФО и НСФО; консолидированная отчетность; ФЭС (для финансовых и экономических служб): управленческий учет, бюджетирование, эк. анализ и управление хоз. деятельностью, эк. планирование, нормирование; страховые организации; общественные организации (политическая партия, профессиональный союз); финансируемые -собственником учреждения, благотворительные и иные фонды, ассоциации и союзы и т.п.</v>
      </c>
      <c r="J6" s="205" t="str">
        <f t="shared" si="3"/>
        <v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
Дополнительно: акцизы, единый налог для с/х производителей, налог на доходы от осуществления лотерейной деятельности, налог на игорный бизнес, оффшорный сбор, отчисление части прибыли РУП, плата за использование радиочастотного спектра, отчисления в фонд универсального обслуживания (резерв универсального обслуживания), налог за добычу (изъятие) природных ресурсов, утилизационный сбор, гербовый сбор (вексель); ценные бумаги; юр. лица: предприятия дочерние, зависимые; представительства и филиалы (в том числе иностранные, обособленные подразделения); резиденты СЭЗ; АО; МСФО и НСФО; консолидированная отчетность; ФЭС (для финансовых и экономических служб): управленческий учет, бюджетирование, эк. анализ и управление хоз. деятельностью, эк. планирование, нормирование; страховые организации; общественные организации (политическая партия, профессиональный союз); финансируемые -собственником учреждения, благотворительные и иные фонды, ассоциации и союзы и т.п.</v>
      </c>
      <c r="K6" s="205" t="str">
        <f t="shared" si="4"/>
        <v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</v>
      </c>
      <c r="L6" s="205" t="str">
        <f t="shared" si="5"/>
        <v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</v>
      </c>
      <c r="M6" s="205" t="str">
        <f t="shared" si="6"/>
        <v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
Дополнительно: акцизы, единый налог для с/х производителей, налог на доходы от осуществления лотерейной деятельности, налог на игорный бизнес, оффшорный сбор, отчисление части прибыли РУП, плата за использование радиочастотного спектра, отчисления в фонд универсального обслуживания (резерв универсального обслуживания), налог за добычу (изъятие) природных ресурсов, утилизационный сбор, гербовый сбор (вексель).</v>
      </c>
      <c r="N6" s="205" t="str">
        <f t="shared" si="7"/>
        <v>налогообложение;
организация и ведение бухучета и отчетности;
оплата труда и пособия;
порядок формирования цен и тарифов;
проведение наличных и безналичных расчетов;
валютное регулирование;
внешнеэкономическая деятельность;
консультации по различным видам деятельности.
Дополнительно: акцизы, единый налог для с/х производителей, налог на доходы от осуществления лотерейной деятельности, налог на игорный бизнес, оффшорный сбор, отчисление части прибыли РУП, плата за использование радиочастотного спектра, отчисления в фонд универсального обслуживания (резерв универсального обслуживания), налог за добычу (изъятие) природных ресурсов, утилизационный сбор, гербовый сбор (вексель).</v>
      </c>
    </row>
    <row r="7" spans="1:14" ht="61.2" customHeight="1" x14ac:dyDescent="0.3">
      <c r="A7" s="183" t="s">
        <v>105</v>
      </c>
      <c r="B7" s="184" t="s">
        <v>371</v>
      </c>
      <c r="C7" s="184" t="s">
        <v>372</v>
      </c>
      <c r="D7" s="184" t="s">
        <v>373</v>
      </c>
      <c r="E7" s="184" t="s">
        <v>373</v>
      </c>
      <c r="F7" s="184" t="s">
        <v>373</v>
      </c>
      <c r="G7" s="205" t="str">
        <f t="shared" si="0"/>
        <v>Нюансы учета по видам деятельности: оптовой, розничной торговли, общепита, производства, строительства, различных услуг и др.</v>
      </c>
      <c r="H7" s="205" t="str">
        <f t="shared" si="1"/>
        <v>Нюансы учета по видам деятельности (оптовой, розничной торговли, общепита, производства, строительства, различных услуг) и т.п.</v>
      </c>
      <c r="I7" s="205" t="str">
        <f t="shared" si="2"/>
        <v>Нюансы учета по видам деятельности (оптовой, розничной торговли, общепита, производства, строительства, различных услуг) и т.п.</v>
      </c>
      <c r="J7" s="205" t="str">
        <f t="shared" si="3"/>
        <v>Нюансы учета по видам деятельности (оптовой, розничной торговли, общепита, производства, строительства, различных услуг) и т.п.</v>
      </c>
      <c r="K7" s="205" t="str">
        <f t="shared" si="4"/>
        <v>Нюансы по видам деятельности: оптовой, розничной торговли, общепита, производства, строительства, различных услуг и др.</v>
      </c>
      <c r="L7" s="205" t="str">
        <f t="shared" si="5"/>
        <v>Нюансы по видам деятельности: оптовой, розничной торговли, общепита, производства, строительства, различных услуг и др.</v>
      </c>
      <c r="M7" s="205" t="str">
        <f t="shared" si="6"/>
        <v>Нюансы учета по видам деятельности: оптовой, розничной торговли, общепита, производства, строительства, различных услуг и др.</v>
      </c>
      <c r="N7" s="205" t="str">
        <f t="shared" si="7"/>
        <v>Нюансы учета по видам деятельности: оптовой, розничной торговли, общепита, производства, строительства, различных услуг и др.</v>
      </c>
    </row>
    <row r="10" spans="1:14" ht="13.8" x14ac:dyDescent="0.3">
      <c r="A10" s="183" t="s">
        <v>16</v>
      </c>
      <c r="B10" s="147" t="s">
        <v>391</v>
      </c>
    </row>
    <row r="11" spans="1:14" ht="13.8" x14ac:dyDescent="0.3">
      <c r="A11" s="183" t="s">
        <v>2</v>
      </c>
      <c r="B11" s="147" t="s">
        <v>392</v>
      </c>
    </row>
    <row r="12" spans="1:14" ht="13.8" x14ac:dyDescent="0.3">
      <c r="A12" s="183" t="s">
        <v>1</v>
      </c>
      <c r="B12" s="147" t="s">
        <v>393</v>
      </c>
    </row>
    <row r="13" spans="1:14" ht="13.8" x14ac:dyDescent="0.3">
      <c r="A13" s="183" t="s">
        <v>3</v>
      </c>
      <c r="B13" s="147" t="s">
        <v>391</v>
      </c>
    </row>
  </sheetData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;045;5F  >=;09=- ?>4?8A:8/ 0720=85 !GQB/ >78F88  AG5B0/ @>4C:B !GQB/ >78F88  AG5B0/ 5;8G8=0  A:84:8  2 !GQB/ >78F88  AG5B0/ !C<<0  c   ! #A;C30/ &5=0  ?>  459AB2CNI5<C  ?@59A:C@0=BC  ( 157  $&  8  A:84:8 ;045;5F  >=;09=- ?>4?8A:8/ >;- 2>  0:B82=KE  A>B@C4=8:>2 ;045;5F  >=;09=- ?>4?8A:8/ &25B  :;85=B0 !GQB/ 0B0  2KAB02;5=8O  AG5B0  2  1 ! !GQB/ "8?  AGQB0 !GQB/ #A;>28O  >?;0BK !GQB/ >3>2>@/ 84  4>3>2>@0 #A;C30/ 0B0  =0G0;0  459AB28O  CA;C38 #A;C30/ 0B0  >:>=G0=8O  459AB28O  CA;C38  ( 2:;NG8B5;L=> #A;C30/ >;8G5AB2>  0:B82=KE  CA;C3  ?>  ?>4?8A:5 #A;C30/ 5@8>4  D8:A0F88  F5=K/ >MDD8F85=B #A;C30/ 5@8>4  D8:A0F88  F5=K/ 0720=85 #A;C30/ 5@8>4  D8:A0F88  F5=K/ >;- 2>  ?5@8>4>2  D8:A0F88  ( <5A #A;C30/ 5@8>4  D8:A0F88  F5=K/ !B0BCA  $& #A;C30/ &5=0  c   $&  ?>  ?@59A:C@0=BC "0@8D=K9  ?;0=/ 0720=85 ;045;5F  >=;09=- ?>4?8A:8/ 0720=85 !GQB/ >78F88  AG5B0/ @>4C:B !GQB/ >78F88  AG5B0/ 5;8G8=0  A:84:8  2 !GQB/ >78F88  AG5B0/ !C<<0  c   ! #A;C30/ &5=0  ?>  459AB2CNI5<C  ?@59A:C@0=BC  ( 157  $&  8  A:84:8 ;045;5F  >=;09=- ?>4?8A:8/ >;- 2>  0:B82=KE  A>B@C4=8:>2 ;045;5F  >=;09=- ?>4?8A:8/ &25B  :;85=B0 !GQB/ 0B0  2KAB02;5=8O  AG5B0  2  1 ! !GQB/ "8?  AGQB0 !GQB/ #A;>28O  >?;0BK !GQB/ >3>2>@/ 84  4>3>2>@0 #A;C30/ 0B0  =0G0;0  459AB28O  CA;C38 #A;C30/ 0B0  >:>=G0=8O  459AB28O  CA;C38  ( 2:;NG8B5;L=> #A;C30/ >;8G5AB2>  0:B82=KE  CA;C3  ?>  ?>4?8A:5 #A;C30/ 5@8>4  D8:A0F88  F5=K/ >MDD8F85=B #A;C30/ 5@8>4  D8:A0F88  F5=K/ 0720=85 #A;C30/ 5@8>4  D8:A0F88  F5=K/ >;- 2>  ?5@8>4>2  D8:A0F88  ( <5A #A;C30/ 5@8>4  D8:A0F88  F5=K/ !B0BCA  $& #A;C30/ &5=0  c   $&  ?>  ?@59A:C@0=BC "0@8D=K9  ?;0=/ 0720=85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;045;5F  >=;09=- ?>4?8A:8/ 0720=85 !GQB/ >78F88  AG5B0/ @>4C:B !GQB/ >78F88  AG5B0/ 5;8G8=0  A:84:8  2 !GQB/ >78F88  AG5B0/ !C<<0  c   ! #A;C30/ &5=0  ?>  459AB2CNI5<C  ?@59A:C@0=BC  ( 157  $&  8  A:84:8 ;045;5F  >=;09=- ?>4?8A:8/ >;- 2>  0:B82=KE  A>B@C4=8:>2 ;045;5F  >=;09=- ?>4?8A:8/ &25B  :;85=B0 !GQB/ 0B0  2KAB02;5=8O  AG5B0  2  1 ! !GQB/ "8?  AGQB0 !GQB/ #A;>28O  >?;0BK !GQB/ >3>2>@/ 84  4>3>2>@0 #A;C30/ 0B0  =0G0;0  459AB28O  CA;C38 #A;C30/ 0B0  >:>=G0=8O  459AB28O  CA;C38  ( 2:;NG8B5;L=> #A;C30/ >;8G5AB2>  0:B82=KE  CA;C3  ?>  ?>4?8A:5 #A;C30/ 5@8>4  D8:A0F88  F5=K/ >MDD8F85=B #A;C30/ 5@8>4  D8:A0F88  F5=K/ 0720=85 #A;C30/ 5@8>4  D8:A0F88  F5=K/ >;- 2>  ?5@8>4>2  D8:A0F88  ( <5A #A;C30/ 5@8>4  D8:A0F88  F5=K/ !B0BCA  $& #A;C30/ &5=0  c   $&  ?>  ?@59A:C@0=BC "0@8D=K9  ?;0=/ 0720=85 ;045;5F  >=;09=- ?>4?8A:8/ 0720=85 !GQB/ >78F88  AG5B0/ @>4C:B !GQB/ >78F88  AG5B0/ 5;8G8=0  A:84:8  2 !GQB/ >78F88  AG5B0/ !C<<0  c   ! #A;C30/ &5=0  ?>  459AB2CNI5<C  ?@59A:C@0=BC  ( 157  $&  8  A:84:8 ;045;5F  >=;09=- ?>4?8A:8/ >;- 2>  0:B82=KE  A>B@C4=8:>2 ;045;5F  >=;09=- ?>4?8A:8/ &25B  :;85=B0 !GQB/ 0B0  2KAB02;5=8O  AG5B0  2  1 ! !GQB/ "8?  AGQB0 !GQB/ #A;>28O  >?;0BK !GQB/ >3>2>@/ 84  4>3>2>@0 #A;C30/ 0B0  =0G0;0  459AB28O  CA;C38 #A;C30/ 0B0  >:>=G0=8O  459AB28O  CA;C38  ( 2:;NG8B5;L=> #A;C30/ >;8G5AB2>  0:B82=KE  CA;C3  ?>  ?>4?8A:5 #A;C30/ 5@8>4  D8:A0F88  F5=K/ >MDD8F85=B #A;C30/ 5@8>4  D8:A0F88  F5=K/ 0720=85 #A;C30/ 5@8>4  D8:A0F88  F5=K/ >;- 2>  ?5@8>4>2  D8:A0F88  ( <5A #A;C30/ 5@8>4  D8:A0F88  F5=K/ !B0BCA  $& #A;C30/ &5=0  c   $&  ?>  ?@59A:C@0=BC "0@8D=K9  ?;0=/ 0720=85 
</file>

<file path=customXml/item14.xml>�� ;045;5F  >=;09=- ?>4?8A:8/ 0720=85 !GQB/ >78F88  AG5B0/ @>4C:B !GQB/ >78F88  AG5B0/ 5;8G8=0  A:84:8  2 !GQB/ >78F88  AG5B0/ !C<<0  c   ! #A;C30/ &5=0  ?>  459AB2CNI5<C  ?@59A:C@0=BC  ( 157  $&  8  A:84:8 ;045;5F  >=;09=- ?>4?8A:8/ >;- 2>  0:B82=KE  A>B@C4=8:>2 ;045;5F  >=;09=- ?>4?8A:8/ &25B  :;85=B0 !GQB/ 0B0  2KAB02;5=8O  AG5B0  2  1 ! !GQB/ "8?  AGQB0 !GQB/ #A;>28O  >?;0BK !GQB/ >3>2>@/ 84  4>3>2>@0 #A;C30/ 0B0  =0G0;0  459AB28O  CA;C38 #A;C30/ 0B0  >:>=G0=8O  459AB28O  CA;C38  ( 2:;NG8B5;L=> #A;C30/ >;8G5AB2>  0:B82=KE  CA;C3  ?>  ?>4?8A:5 #A;C30/ 5@8>4  D8:A0F88  F5=K/ >MDD8F85=B #A;C30/ 5@8>4  D8:A0F88  F5=K/ 0720=85 #A;C30/ 5@8>4  D8:A0F88  F5=K/ >;- 2>  ?5@8>4>2  D8:A0F88  ( <5A #A;C30/ 5@8>4  D8:A0F88  F5=K/ !B0BCA  $& #A;C30/ &5=0  c   $&  ?>  ?@59A:C@0=BC "0@8D=K9  ?;0=/ 0720=85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8F1AFD1-1046-46AB-B7C9-77D87AF3151D}">
  <ds:schemaRefs/>
</ds:datastoreItem>
</file>

<file path=customXml/itemProps2.xml><?xml version="1.0" encoding="utf-8"?>
<ds:datastoreItem xmlns:ds="http://schemas.openxmlformats.org/officeDocument/2006/customXml" ds:itemID="{4577064F-5B1F-4B18-9834-FE59CFCA1C75}">
  <ds:schemaRefs/>
</ds:datastoreItem>
</file>

<file path=customXml/itemProps3.xml><?xml version="1.0" encoding="utf-8"?>
<ds:datastoreItem xmlns:ds="http://schemas.openxmlformats.org/officeDocument/2006/customXml" ds:itemID="{8DC9FA9B-3B04-4226-B1F1-B43490662AB9}">
  <ds:schemaRefs/>
</ds:datastoreItem>
</file>

<file path=customXml/itemProps4.xml><?xml version="1.0" encoding="utf-8"?>
<ds:datastoreItem xmlns:ds="http://schemas.openxmlformats.org/officeDocument/2006/customXml" ds:itemID="{59BA4198-AFD0-4DA2-AF70-AF3A16935F88}">
  <ds:schemaRefs/>
</ds:datastoreItem>
</file>

<file path=customXml/itemProps5.xml><?xml version="1.0" encoding="utf-8"?>
<ds:datastoreItem xmlns:ds="http://schemas.openxmlformats.org/officeDocument/2006/customXml" ds:itemID="{4AC160DA-F83F-4CC7-BFCF-785F5FF65CBD}">
  <ds:schemaRefs/>
</ds:datastoreItem>
</file>

<file path=customXml/itemProps6.xml><?xml version="1.0" encoding="utf-8"?>
<ds:datastoreItem xmlns:ds="http://schemas.openxmlformats.org/officeDocument/2006/customXml" ds:itemID="{B0A8652F-3441-4FE0-B9C1-FF6363170DB7}">
  <ds:schemaRefs/>
</ds:datastoreItem>
</file>

<file path=customXml/itemProps7.xml><?xml version="1.0" encoding="utf-8"?>
<ds:datastoreItem xmlns:ds="http://schemas.openxmlformats.org/officeDocument/2006/customXml" ds:itemID="{BDF312E7-E85C-42FF-B064-0DD91AC446E7}">
  <ds:schemaRefs/>
</ds:datastoreItem>
</file>

<file path=customXml/itemProps8.xml><?xml version="1.0" encoding="utf-8"?>
<ds:datastoreItem xmlns:ds="http://schemas.openxmlformats.org/officeDocument/2006/customXml" ds:itemID="{7DEF5939-233A-4D63-84B1-83B96B50EC34}">
  <ds:schemaRefs/>
</ds:datastoreItem>
</file>

<file path=customXml/itemProps9.xml><?xml version="1.0" encoding="utf-8"?>
<ds:datastoreItem xmlns:ds="http://schemas.openxmlformats.org/officeDocument/2006/customXml" ds:itemID="{087C429F-50C9-49DE-8E89-6C3C658F98D5}">
  <ds:schemaRefs/>
</ds:datastoreItem>
</file>

<file path=customXml/itemProps10.xml><?xml version="1.0" encoding="utf-8"?>
<ds:datastoreItem xmlns:ds="http://schemas.openxmlformats.org/officeDocument/2006/customXml" ds:itemID="{505E5540-D24F-4654-A3B9-C11B16B5DA4A}">
  <ds:schemaRefs/>
</ds:datastoreItem>
</file>

<file path=customXml/itemProps11.xml><?xml version="1.0" encoding="utf-8"?>
<ds:datastoreItem xmlns:ds="http://schemas.openxmlformats.org/officeDocument/2006/customXml" ds:itemID="{FF532434-F2CE-4C3B-AA42-E28F599EE878}">
  <ds:schemaRefs/>
</ds:datastoreItem>
</file>

<file path=customXml/itemProps12.xml><?xml version="1.0" encoding="utf-8"?>
<ds:datastoreItem xmlns:ds="http://schemas.openxmlformats.org/officeDocument/2006/customXml" ds:itemID="{4DCE4C37-3D83-4E19-8F51-381ABC36AAD0}">
  <ds:schemaRefs/>
</ds:datastoreItem>
</file>

<file path=customXml/itemProps13.xml><?xml version="1.0" encoding="utf-8"?>
<ds:datastoreItem xmlns:ds="http://schemas.openxmlformats.org/officeDocument/2006/customXml" ds:itemID="{C575817E-ABD3-4ADE-9676-2DBA10202A84}">
  <ds:schemaRefs/>
</ds:datastoreItem>
</file>

<file path=customXml/itemProps14.xml><?xml version="1.0" encoding="utf-8"?>
<ds:datastoreItem xmlns:ds="http://schemas.openxmlformats.org/officeDocument/2006/customXml" ds:itemID="{4D462B7C-D234-4584-89D3-02FB0AEDCD01}">
  <ds:schemaRefs/>
</ds:datastoreItem>
</file>

<file path=customXml/itemProps15.xml><?xml version="1.0" encoding="utf-8"?>
<ds:datastoreItem xmlns:ds="http://schemas.openxmlformats.org/officeDocument/2006/customXml" ds:itemID="{BC0E85E3-3273-4C6C-B305-0AD2E3BA1931}">
  <ds:schemaRefs/>
</ds:datastoreItem>
</file>

<file path=customXml/itemProps16.xml><?xml version="1.0" encoding="utf-8"?>
<ds:datastoreItem xmlns:ds="http://schemas.openxmlformats.org/officeDocument/2006/customXml" ds:itemID="{A5022C5A-809F-4735-A2F2-516918C53C58}">
  <ds:schemaRefs/>
</ds:datastoreItem>
</file>

<file path=customXml/itemProps17.xml><?xml version="1.0" encoding="utf-8"?>
<ds:datastoreItem xmlns:ds="http://schemas.openxmlformats.org/officeDocument/2006/customXml" ds:itemID="{69047401-767C-400E-98C5-D82100F583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9</vt:i4>
      </vt:variant>
    </vt:vector>
  </HeadingPairs>
  <TitlesOfParts>
    <vt:vector size="18" baseType="lpstr">
      <vt:lpstr>Калькулятор</vt:lpstr>
      <vt:lpstr>Расчет РС</vt:lpstr>
      <vt:lpstr>Примеры_расчет РС</vt:lpstr>
      <vt:lpstr>Сравнение версий</vt:lpstr>
      <vt:lpstr>Прейскурант НМВ</vt:lpstr>
      <vt:lpstr>КП</vt:lpstr>
      <vt:lpstr>списки</vt:lpstr>
      <vt:lpstr>Данные для сравнения</vt:lpstr>
      <vt:lpstr>ТП</vt:lpstr>
      <vt:lpstr>БАЗОВЫЙ</vt:lpstr>
      <vt:lpstr>МИНИМАЛЬНЫЙ</vt:lpstr>
      <vt:lpstr>Минут</vt:lpstr>
      <vt:lpstr>НМВ</vt:lpstr>
      <vt:lpstr>НМВ_безНДС</vt:lpstr>
      <vt:lpstr>НМВ_Пользователей</vt:lpstr>
      <vt:lpstr>'Сравнение версий'!Область_печати</vt:lpstr>
      <vt:lpstr>ОПТИМАЛЬНЫЙ</vt:lpstr>
      <vt:lpstr>ЭКСПЕРТ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Овчинникова Ольга Викентьевна</dc:creator>
  <cp:lastModifiedBy>User</cp:lastModifiedBy>
  <cp:lastPrinted>2024-07-10T13:35:31Z</cp:lastPrinted>
  <dcterms:created xsi:type="dcterms:W3CDTF">2021-11-16T07:34:17Z</dcterms:created>
  <dcterms:modified xsi:type="dcterms:W3CDTF">2025-08-15T09:08:55Z</dcterms:modified>
</cp:coreProperties>
</file>